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240" yWindow="795" windowWidth="14805" windowHeight="7320" activeTab="1"/>
  </bookViews>
  <sheets>
    <sheet name="辅助" sheetId="3" r:id="rId1"/>
    <sheet name="每日推送" sheetId="4" r:id="rId2"/>
    <sheet name="十月汇总" sheetId="16" r:id="rId3"/>
    <sheet name="图表数据" sheetId="5" r:id="rId4"/>
    <sheet name="深海捕鱼" sheetId="7" r:id="rId5"/>
    <sheet name="全民跑酷" sheetId="9" r:id="rId6"/>
    <sheet name="欢乐消消乐" sheetId="17" r:id="rId7"/>
    <sheet name="欢乐斗地主" sheetId="18" r:id="rId8"/>
  </sheets>
  <definedNames>
    <definedName name="_xlnm._FilterDatabase" localSheetId="0" hidden="1">辅助!$E$13:$G$76</definedName>
    <definedName name="_xlnm._FilterDatabase" localSheetId="1" hidden="1">每日推送!$A$1:$F$152</definedName>
    <definedName name="欢乐斗地主">OFFSET(图表数据!$B$8,0,0,1,(COUNTA(图表数据!$6:$6)-2))</definedName>
    <definedName name="欢乐斗地主新" localSheetId="7">OFFSET(图表数据!$B$9,0,0,1,(COUNTA(图表数据!$6:$6)-1))</definedName>
    <definedName name="欢乐消消乐">OFFSET(图表数据!$B$6,0,0,1,(COUNTA(图表数据!$6:$6)-2))</definedName>
    <definedName name="欢乐消消乐新" localSheetId="6">OFFSET(图表数据!$B$7,0,0,1,(COUNTA(图表数据!$7:$7)-1))</definedName>
    <definedName name="全民跑酷" localSheetId="5">OFFSET(图表数据!$B$4,0,0,1,(COUNTA(图表数据!$4:$4)-1))</definedName>
    <definedName name="全民跑酷日期">OFFSET(图表数据!$B$1,0,0,1,(DAY(TODAY()-1)))</definedName>
    <definedName name="全民跑酷新" localSheetId="5">OFFSET(图表数据!$B$5,0,0,1,(COUNTA(图表数据!$5:$5)-1))</definedName>
    <definedName name="深海捕鱼arpu" localSheetId="4">OFFSET(图表数据!$B$2,0,0,1,COUNTA(图表数据!$2:$2)-1)</definedName>
    <definedName name="深海捕鱼日期" localSheetId="4">OFFSET(图表数据!$B$1,0,0,1,(DAY(TODAY()-1)))</definedName>
    <definedName name="深海捕鱼新">OFFSET(图表数据!$B$3,0,0,1,COUNTA(图表数据!$3:$3)-1)</definedName>
  </definedNames>
  <calcPr calcId="162913"/>
</workbook>
</file>

<file path=xl/calcChain.xml><?xml version="1.0" encoding="utf-8"?>
<calcChain xmlns="http://schemas.openxmlformats.org/spreadsheetml/2006/main">
  <c r="T8" i="16" l="1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B102" i="4"/>
  <c r="B103" i="4"/>
  <c r="B104" i="4"/>
  <c r="B105" i="4"/>
  <c r="B106" i="4"/>
  <c r="B107" i="4"/>
  <c r="B108" i="4"/>
  <c r="F108" i="4"/>
  <c r="F104" i="4"/>
  <c r="F102" i="4"/>
  <c r="F103" i="4"/>
  <c r="F105" i="4"/>
  <c r="F106" i="4"/>
  <c r="F107" i="4"/>
  <c r="F98" i="4"/>
  <c r="F99" i="4"/>
  <c r="F100" i="4"/>
  <c r="B97" i="4"/>
  <c r="B98" i="4"/>
  <c r="B99" i="4"/>
  <c r="B100" i="4"/>
  <c r="B101" i="4"/>
  <c r="F101" i="4" l="1"/>
  <c r="F97" i="4"/>
  <c r="C8" i="16"/>
  <c r="C9" i="16"/>
  <c r="B8" i="16"/>
  <c r="B9" i="16"/>
  <c r="G8" i="16"/>
  <c r="H8" i="16"/>
  <c r="J8" i="16"/>
  <c r="K8" i="16"/>
  <c r="L8" i="16"/>
  <c r="M8" i="16"/>
  <c r="N8" i="16"/>
  <c r="O8" i="16"/>
  <c r="P8" i="16"/>
  <c r="Q8" i="16"/>
  <c r="R8" i="16"/>
  <c r="S8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F8" i="16"/>
  <c r="F9" i="16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I8" i="16" s="1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2" i="4"/>
  <c r="B91" i="4"/>
  <c r="B92" i="4"/>
  <c r="B93" i="4"/>
  <c r="B94" i="4"/>
  <c r="B95" i="4"/>
  <c r="B96" i="4"/>
  <c r="D8" i="16" l="1"/>
  <c r="D9" i="16"/>
  <c r="C3" i="3"/>
  <c r="C4" i="3"/>
  <c r="C5" i="3"/>
  <c r="C6" i="3"/>
  <c r="C7" i="3"/>
  <c r="C8" i="3"/>
  <c r="C9" i="3"/>
  <c r="D3" i="3"/>
  <c r="D4" i="3"/>
  <c r="D5" i="3"/>
  <c r="D6" i="3"/>
  <c r="D7" i="3"/>
  <c r="D8" i="3"/>
  <c r="D9" i="3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2" i="4"/>
  <c r="A85" i="4"/>
  <c r="A86" i="4" s="1"/>
  <c r="A87" i="4" s="1"/>
  <c r="A88" i="4" s="1"/>
  <c r="A89" i="4" s="1"/>
  <c r="A90" i="4" s="1"/>
  <c r="A81" i="4"/>
  <c r="A82" i="4" s="1"/>
  <c r="A83" i="4" s="1"/>
  <c r="A75" i="4"/>
  <c r="A76" i="4" s="1"/>
  <c r="A77" i="4" s="1"/>
  <c r="A78" i="4" s="1"/>
  <c r="A79" i="4" s="1"/>
  <c r="A69" i="4"/>
  <c r="A70" i="4" s="1"/>
  <c r="A71" i="4" s="1"/>
  <c r="A72" i="4" s="1"/>
  <c r="A73" i="4" s="1"/>
  <c r="A68" i="4"/>
  <c r="A61" i="4"/>
  <c r="A62" i="4" s="1"/>
  <c r="A63" i="4" s="1"/>
  <c r="A64" i="4" s="1"/>
  <c r="A65" i="4" s="1"/>
  <c r="A66" i="4" s="1"/>
  <c r="A55" i="4"/>
  <c r="A56" i="4" s="1"/>
  <c r="A57" i="4" s="1"/>
  <c r="A58" i="4" s="1"/>
  <c r="A59" i="4" s="1"/>
  <c r="A48" i="4"/>
  <c r="A49" i="4" s="1"/>
  <c r="A50" i="4" s="1"/>
  <c r="A51" i="4" s="1"/>
  <c r="A52" i="4" s="1"/>
  <c r="A53" i="4" s="1"/>
  <c r="A47" i="4"/>
  <c r="A40" i="4"/>
  <c r="A41" i="4" s="1"/>
  <c r="A42" i="4" s="1"/>
  <c r="A43" i="4" s="1"/>
  <c r="A44" i="4" s="1"/>
  <c r="A45" i="4" s="1"/>
  <c r="A34" i="4"/>
  <c r="A35" i="4" s="1"/>
  <c r="A36" i="4" s="1"/>
  <c r="A37" i="4" s="1"/>
  <c r="A38" i="4" s="1"/>
  <c r="A33" i="4"/>
  <c r="A26" i="4"/>
  <c r="A27" i="4" s="1"/>
  <c r="A28" i="4" s="1"/>
  <c r="A29" i="4" s="1"/>
  <c r="A30" i="4" s="1"/>
  <c r="A31" i="4" s="1"/>
  <c r="A20" i="4"/>
  <c r="A21" i="4" s="1"/>
  <c r="A22" i="4" s="1"/>
  <c r="A23" i="4" s="1"/>
  <c r="A24" i="4" s="1"/>
  <c r="A19" i="4"/>
  <c r="A11" i="4"/>
  <c r="A12" i="4" s="1"/>
  <c r="A13" i="4" s="1"/>
  <c r="A14" i="4" s="1"/>
  <c r="A15" i="4" s="1"/>
  <c r="A16" i="4" s="1"/>
  <c r="A17" i="4" s="1"/>
  <c r="A4" i="4"/>
  <c r="A5" i="4" s="1"/>
  <c r="A6" i="4" s="1"/>
  <c r="A7" i="4" s="1"/>
  <c r="A8" i="4" s="1"/>
  <c r="A9" i="4" s="1"/>
  <c r="A3" i="4"/>
  <c r="D2" i="3" l="1"/>
  <c r="C2" i="3" l="1"/>
  <c r="W3" i="5" l="1"/>
  <c r="X4" i="5"/>
  <c r="Y5" i="5"/>
  <c r="W7" i="5"/>
  <c r="X3" i="5"/>
  <c r="Y4" i="5"/>
  <c r="W6" i="5"/>
  <c r="X7" i="5"/>
  <c r="Y2" i="5"/>
  <c r="Y3" i="5"/>
  <c r="W5" i="5"/>
  <c r="X6" i="5"/>
  <c r="Y7" i="5"/>
  <c r="X2" i="5"/>
  <c r="W4" i="5"/>
  <c r="X5" i="5"/>
  <c r="Y6" i="5"/>
  <c r="B11" i="5" l="1"/>
  <c r="D11" i="5"/>
  <c r="F11" i="5"/>
  <c r="H11" i="5"/>
  <c r="J11" i="5"/>
  <c r="L11" i="5"/>
  <c r="N11" i="5"/>
  <c r="P11" i="5"/>
  <c r="R11" i="5"/>
  <c r="T11" i="5"/>
  <c r="V11" i="5"/>
  <c r="X11" i="5"/>
  <c r="Z11" i="5"/>
  <c r="AB11" i="5"/>
  <c r="AD11" i="5"/>
  <c r="C11" i="5"/>
  <c r="E11" i="5"/>
  <c r="G11" i="5"/>
  <c r="I11" i="5"/>
  <c r="K11" i="5"/>
  <c r="M11" i="5"/>
  <c r="O11" i="5"/>
  <c r="Q11" i="5"/>
  <c r="S11" i="5"/>
  <c r="U11" i="5"/>
  <c r="W11" i="5"/>
  <c r="Y11" i="5"/>
  <c r="AA11" i="5"/>
  <c r="AC11" i="5"/>
  <c r="AE11" i="5"/>
  <c r="AH7" i="16" l="1"/>
  <c r="AF7" i="16"/>
  <c r="AD7" i="16"/>
  <c r="AB7" i="16"/>
  <c r="Z7" i="16"/>
  <c r="X7" i="16"/>
  <c r="V7" i="16"/>
  <c r="B7" i="16"/>
  <c r="AI6" i="16"/>
  <c r="AG6" i="16"/>
  <c r="AE6" i="16"/>
  <c r="AC6" i="16"/>
  <c r="AA6" i="16"/>
  <c r="Y6" i="16"/>
  <c r="W6" i="16"/>
  <c r="U6" i="16"/>
  <c r="AI7" i="16"/>
  <c r="AG7" i="16"/>
  <c r="AE7" i="16"/>
  <c r="AC7" i="16"/>
  <c r="AA7" i="16"/>
  <c r="Y7" i="16"/>
  <c r="W7" i="16"/>
  <c r="U7" i="16"/>
  <c r="C7" i="16"/>
  <c r="AH6" i="16"/>
  <c r="AF6" i="16"/>
  <c r="AD6" i="16"/>
  <c r="AB6" i="16"/>
  <c r="Z6" i="16"/>
  <c r="X6" i="16"/>
  <c r="V6" i="16"/>
  <c r="B6" i="16"/>
  <c r="AI5" i="16"/>
  <c r="AG5" i="16"/>
  <c r="AE5" i="16"/>
  <c r="AF5" i="16"/>
  <c r="AC5" i="16"/>
  <c r="AA5" i="16"/>
  <c r="Y5" i="16"/>
  <c r="W5" i="16"/>
  <c r="U5" i="16"/>
  <c r="C5" i="16"/>
  <c r="AH4" i="16"/>
  <c r="AF4" i="16"/>
  <c r="AD4" i="16"/>
  <c r="AB4" i="16"/>
  <c r="Z4" i="16"/>
  <c r="X4" i="16"/>
  <c r="V4" i="16"/>
  <c r="B4" i="16"/>
  <c r="AI3" i="16"/>
  <c r="AG3" i="16"/>
  <c r="AE3" i="16"/>
  <c r="AC3" i="16"/>
  <c r="AA3" i="16"/>
  <c r="Y3" i="16"/>
  <c r="W3" i="16"/>
  <c r="U3" i="16"/>
  <c r="C3" i="16"/>
  <c r="AH2" i="16"/>
  <c r="AF2" i="16"/>
  <c r="AD2" i="16"/>
  <c r="AB2" i="16"/>
  <c r="Z2" i="16"/>
  <c r="X2" i="16"/>
  <c r="V2" i="16"/>
  <c r="B2" i="16"/>
  <c r="AE2" i="5"/>
  <c r="AA2" i="16"/>
  <c r="W2" i="16"/>
  <c r="C6" i="16"/>
  <c r="AH5" i="16"/>
  <c r="AD5" i="16"/>
  <c r="AB5" i="16"/>
  <c r="Z5" i="16"/>
  <c r="X5" i="16"/>
  <c r="V5" i="16"/>
  <c r="B5" i="16"/>
  <c r="AI4" i="16"/>
  <c r="AG4" i="16"/>
  <c r="AE4" i="16"/>
  <c r="AC4" i="16"/>
  <c r="AA4" i="16"/>
  <c r="Y4" i="16"/>
  <c r="W4" i="16"/>
  <c r="U4" i="16"/>
  <c r="C4" i="16"/>
  <c r="AH3" i="16"/>
  <c r="AF3" i="16"/>
  <c r="AD3" i="16"/>
  <c r="AB3" i="16"/>
  <c r="Z3" i="16"/>
  <c r="X3" i="16"/>
  <c r="V3" i="16"/>
  <c r="B3" i="16"/>
  <c r="AI2" i="16"/>
  <c r="AG2" i="16"/>
  <c r="AE2" i="16"/>
  <c r="AC2" i="16"/>
  <c r="Y2" i="16"/>
  <c r="U2" i="16"/>
  <c r="C2" i="16"/>
  <c r="C10" i="5"/>
  <c r="B10" i="5"/>
  <c r="T4" i="16"/>
  <c r="T6" i="16"/>
  <c r="T3" i="16"/>
  <c r="T2" i="16"/>
  <c r="T5" i="16"/>
  <c r="T7" i="16"/>
  <c r="C10" i="16" l="1"/>
  <c r="B10" i="16"/>
  <c r="D6" i="16"/>
  <c r="D7" i="16"/>
  <c r="AC10" i="16"/>
  <c r="AE10" i="16"/>
  <c r="U10" i="16"/>
  <c r="AG10" i="16"/>
  <c r="Y10" i="16"/>
  <c r="AI10" i="16"/>
  <c r="W10" i="16"/>
  <c r="V10" i="16"/>
  <c r="Z10" i="16"/>
  <c r="AD10" i="16"/>
  <c r="AH10" i="16"/>
  <c r="T10" i="16"/>
  <c r="AA10" i="16"/>
  <c r="X10" i="16"/>
  <c r="AB10" i="16"/>
  <c r="AF10" i="16"/>
  <c r="D2" i="16"/>
  <c r="D4" i="16"/>
  <c r="D3" i="16"/>
  <c r="D5" i="16"/>
  <c r="S6" i="16"/>
  <c r="S3" i="16"/>
  <c r="S2" i="16"/>
  <c r="S5" i="16"/>
  <c r="S4" i="16"/>
  <c r="S7" i="16"/>
  <c r="D10" i="16" l="1"/>
  <c r="S10" i="16"/>
  <c r="R6" i="16"/>
  <c r="R3" i="16"/>
  <c r="R2" i="16"/>
  <c r="R5" i="16"/>
  <c r="R4" i="16"/>
  <c r="R7" i="16"/>
  <c r="R10" i="16" l="1"/>
  <c r="Q6" i="16"/>
  <c r="Q3" i="16"/>
  <c r="Q2" i="16"/>
  <c r="Q5" i="16"/>
  <c r="Q4" i="16"/>
  <c r="Q7" i="16"/>
  <c r="Q10" i="16" l="1"/>
  <c r="P4" i="16"/>
  <c r="P6" i="16"/>
  <c r="P3" i="16"/>
  <c r="P2" i="16"/>
  <c r="P5" i="16"/>
  <c r="P7" i="16"/>
  <c r="P10" i="16" l="1"/>
  <c r="I4" i="5"/>
  <c r="M4" i="16"/>
  <c r="I10" i="5"/>
  <c r="I2" i="5"/>
  <c r="M2" i="16"/>
  <c r="I6" i="5"/>
  <c r="M6" i="16"/>
  <c r="J7" i="5"/>
  <c r="N7" i="16"/>
  <c r="J8" i="5"/>
  <c r="J5" i="5"/>
  <c r="N5" i="16"/>
  <c r="J3" i="5"/>
  <c r="N3" i="16"/>
  <c r="J9" i="5"/>
  <c r="K4" i="5"/>
  <c r="O4" i="16"/>
  <c r="K10" i="5"/>
  <c r="K2" i="5"/>
  <c r="O2" i="16"/>
  <c r="K6" i="5"/>
  <c r="O6" i="16"/>
  <c r="I7" i="5"/>
  <c r="M7" i="16"/>
  <c r="I8" i="5"/>
  <c r="I5" i="5"/>
  <c r="M5" i="16"/>
  <c r="I3" i="5"/>
  <c r="M3" i="16"/>
  <c r="I9" i="5"/>
  <c r="J4" i="5"/>
  <c r="N4" i="16"/>
  <c r="J10" i="5"/>
  <c r="J2" i="5"/>
  <c r="N2" i="16"/>
  <c r="J6" i="5"/>
  <c r="N6" i="16"/>
  <c r="K7" i="5"/>
  <c r="O7" i="16"/>
  <c r="K8" i="5"/>
  <c r="K5" i="5"/>
  <c r="O5" i="16"/>
  <c r="K3" i="5"/>
  <c r="O3" i="16"/>
  <c r="K9" i="5"/>
  <c r="N10" i="16" l="1"/>
  <c r="M10" i="16"/>
  <c r="O10" i="16"/>
  <c r="H4" i="5"/>
  <c r="L4" i="16"/>
  <c r="H10" i="5"/>
  <c r="H2" i="5"/>
  <c r="L2" i="16"/>
  <c r="H6" i="5"/>
  <c r="L6" i="16"/>
  <c r="H7" i="5"/>
  <c r="L7" i="16"/>
  <c r="H8" i="5"/>
  <c r="H5" i="5"/>
  <c r="L5" i="16"/>
  <c r="H3" i="5"/>
  <c r="L3" i="16"/>
  <c r="H9" i="5"/>
  <c r="L10" i="16" l="1"/>
  <c r="G4" i="5"/>
  <c r="K4" i="16"/>
  <c r="G10" i="5"/>
  <c r="G2" i="5"/>
  <c r="K2" i="16"/>
  <c r="G6" i="5"/>
  <c r="K6" i="16"/>
  <c r="G7" i="5"/>
  <c r="K7" i="16"/>
  <c r="G8" i="5"/>
  <c r="G5" i="5"/>
  <c r="K5" i="16"/>
  <c r="G3" i="5"/>
  <c r="K3" i="16"/>
  <c r="G9" i="5"/>
  <c r="K10" i="16" l="1"/>
  <c r="D10" i="5"/>
  <c r="D2" i="5"/>
  <c r="H2" i="16"/>
  <c r="D6" i="5"/>
  <c r="H6" i="16"/>
  <c r="E7" i="5"/>
  <c r="I7" i="16"/>
  <c r="E10" i="5"/>
  <c r="E2" i="5"/>
  <c r="I2" i="16"/>
  <c r="E6" i="5"/>
  <c r="I6" i="16"/>
  <c r="E4" i="5"/>
  <c r="I4" i="16"/>
  <c r="F4" i="5"/>
  <c r="J4" i="16"/>
  <c r="F10" i="5"/>
  <c r="F2" i="5"/>
  <c r="J2" i="16"/>
  <c r="F6" i="5"/>
  <c r="J6" i="16"/>
  <c r="D4" i="5"/>
  <c r="H4" i="16"/>
  <c r="D7" i="5"/>
  <c r="H7" i="16"/>
  <c r="D8" i="5"/>
  <c r="D5" i="5"/>
  <c r="H5" i="16"/>
  <c r="D3" i="5"/>
  <c r="H3" i="16"/>
  <c r="D9" i="5"/>
  <c r="E8" i="5"/>
  <c r="E5" i="5"/>
  <c r="I5" i="16"/>
  <c r="E3" i="5"/>
  <c r="I3" i="16"/>
  <c r="E9" i="5"/>
  <c r="F7" i="5"/>
  <c r="J7" i="16"/>
  <c r="F8" i="5"/>
  <c r="F5" i="5"/>
  <c r="J5" i="16"/>
  <c r="F3" i="5"/>
  <c r="J3" i="16"/>
  <c r="F9" i="5"/>
  <c r="J10" i="16" l="1"/>
  <c r="I10" i="16"/>
  <c r="H10" i="16"/>
  <c r="C7" i="5"/>
  <c r="G7" i="16"/>
  <c r="C8" i="5"/>
  <c r="C2" i="5"/>
  <c r="G2" i="16"/>
  <c r="C6" i="5"/>
  <c r="G6" i="16"/>
  <c r="C4" i="5"/>
  <c r="G4" i="16"/>
  <c r="C5" i="5"/>
  <c r="G5" i="16"/>
  <c r="C3" i="5"/>
  <c r="G3" i="16"/>
  <c r="C9" i="5"/>
  <c r="L9" i="5"/>
  <c r="L10" i="5"/>
  <c r="L2" i="5"/>
  <c r="L3" i="5"/>
  <c r="L4" i="5"/>
  <c r="L5" i="5"/>
  <c r="L6" i="5"/>
  <c r="L7" i="5"/>
  <c r="G10" i="16" l="1"/>
  <c r="B7" i="5"/>
  <c r="F7" i="16"/>
  <c r="B8" i="5"/>
  <c r="B2" i="5"/>
  <c r="F2" i="16"/>
  <c r="B6" i="5"/>
  <c r="F6" i="16"/>
  <c r="B4" i="5"/>
  <c r="F4" i="16"/>
  <c r="B5" i="5"/>
  <c r="F5" i="16"/>
  <c r="B3" i="5"/>
  <c r="F3" i="16"/>
  <c r="B9" i="5"/>
  <c r="M2" i="5"/>
  <c r="M3" i="5"/>
  <c r="M4" i="5"/>
  <c r="M5" i="5"/>
  <c r="M6" i="5"/>
  <c r="M7" i="5"/>
  <c r="M9" i="5"/>
  <c r="M10" i="5"/>
  <c r="F10" i="16" l="1"/>
  <c r="N2" i="5"/>
  <c r="N3" i="5"/>
  <c r="N4" i="5"/>
  <c r="N5" i="5"/>
  <c r="N6" i="5"/>
  <c r="N7" i="5"/>
  <c r="N9" i="5"/>
  <c r="N10" i="5"/>
  <c r="O2" i="5" l="1"/>
  <c r="O3" i="5"/>
  <c r="O4" i="5"/>
  <c r="O5" i="5"/>
  <c r="O6" i="5"/>
  <c r="O7" i="5"/>
  <c r="O9" i="5"/>
  <c r="O10" i="5"/>
  <c r="P9" i="5" l="1"/>
  <c r="P10" i="5"/>
  <c r="P2" i="5"/>
  <c r="P3" i="5"/>
  <c r="P4" i="5"/>
  <c r="P5" i="5"/>
  <c r="P6" i="5"/>
  <c r="P7" i="5"/>
  <c r="Q2" i="5" l="1"/>
  <c r="Q3" i="5"/>
  <c r="Q4" i="5"/>
  <c r="Q5" i="5"/>
  <c r="Q6" i="5"/>
  <c r="Q7" i="5"/>
  <c r="Q10" i="5"/>
  <c r="Q9" i="5"/>
  <c r="R2" i="5" l="1"/>
  <c r="R3" i="5"/>
  <c r="R4" i="5"/>
  <c r="R5" i="5"/>
  <c r="R6" i="5"/>
  <c r="R7" i="5"/>
  <c r="R9" i="5"/>
  <c r="R10" i="5"/>
  <c r="S2" i="5" l="1"/>
  <c r="S3" i="5"/>
  <c r="S4" i="5"/>
  <c r="S5" i="5"/>
  <c r="S6" i="5"/>
  <c r="S7" i="5"/>
  <c r="S9" i="5"/>
  <c r="S10" i="5"/>
  <c r="T9" i="5" l="1"/>
  <c r="T10" i="5"/>
  <c r="T2" i="5"/>
  <c r="T3" i="5"/>
  <c r="T4" i="5"/>
  <c r="T5" i="5"/>
  <c r="T6" i="5"/>
  <c r="T7" i="5"/>
  <c r="U2" i="5" l="1"/>
  <c r="U3" i="5"/>
  <c r="U4" i="5"/>
  <c r="U5" i="5"/>
  <c r="U6" i="5"/>
  <c r="U7" i="5"/>
  <c r="U10" i="5"/>
  <c r="U9" i="5"/>
  <c r="V2" i="5" l="1"/>
  <c r="V3" i="5"/>
  <c r="V4" i="5"/>
  <c r="V5" i="5"/>
  <c r="V6" i="5"/>
  <c r="V7" i="5"/>
  <c r="V9" i="5"/>
  <c r="V10" i="5"/>
  <c r="W2" i="5" l="1"/>
  <c r="W9" i="5"/>
  <c r="W10" i="5"/>
  <c r="X9" i="5" l="1"/>
  <c r="X10" i="5"/>
  <c r="Y10" i="5" l="1"/>
  <c r="Y9" i="5"/>
  <c r="Z2" i="5" l="1"/>
  <c r="Z3" i="5"/>
  <c r="Z4" i="5"/>
  <c r="Z5" i="5"/>
  <c r="Z6" i="5"/>
  <c r="Z7" i="5"/>
  <c r="Z9" i="5"/>
  <c r="Z10" i="5"/>
  <c r="AA2" i="5" l="1"/>
  <c r="AA3" i="5"/>
  <c r="AA4" i="5"/>
  <c r="AA5" i="5"/>
  <c r="AA6" i="5"/>
  <c r="AA7" i="5"/>
  <c r="AA9" i="5"/>
  <c r="AA10" i="5"/>
  <c r="AB7" i="5" l="1"/>
  <c r="AB9" i="5"/>
  <c r="AB10" i="5"/>
  <c r="AB2" i="5"/>
  <c r="AB3" i="5"/>
  <c r="AB4" i="5"/>
  <c r="AB5" i="5"/>
  <c r="AB6" i="5"/>
  <c r="AC2" i="5" l="1"/>
  <c r="AC3" i="5"/>
  <c r="AC4" i="5"/>
  <c r="AC5" i="5"/>
  <c r="AC6" i="5"/>
  <c r="AC7" i="5"/>
  <c r="AC10" i="5"/>
  <c r="AC9" i="5"/>
  <c r="AD2" i="5" l="1"/>
  <c r="AD3" i="5"/>
  <c r="AD4" i="5"/>
  <c r="AD5" i="5"/>
  <c r="AD6" i="5"/>
  <c r="AD7" i="5"/>
  <c r="AD9" i="5"/>
  <c r="AD10" i="5"/>
  <c r="AE4" i="5" l="1"/>
  <c r="AE6" i="5"/>
  <c r="AE10" i="5"/>
  <c r="AE5" i="5"/>
  <c r="AE9" i="5"/>
  <c r="AE3" i="5"/>
  <c r="AE7" i="5"/>
</calcChain>
</file>

<file path=xl/sharedStrings.xml><?xml version="1.0" encoding="utf-8"?>
<sst xmlns="http://schemas.openxmlformats.org/spreadsheetml/2006/main" count="186" uniqueCount="45">
  <si>
    <t>实际激活数</t>
    <phoneticPr fontId="1" type="noConversion"/>
  </si>
  <si>
    <t>名称</t>
    <phoneticPr fontId="1" type="noConversion"/>
  </si>
  <si>
    <t>渠道号</t>
    <phoneticPr fontId="1" type="noConversion"/>
  </si>
  <si>
    <t>日期</t>
    <phoneticPr fontId="1" type="noConversion"/>
  </si>
  <si>
    <t>付费金额（元）</t>
    <phoneticPr fontId="1" type="noConversion"/>
  </si>
  <si>
    <t>arpu（平均用户收益）</t>
    <phoneticPr fontId="1" type="noConversion"/>
  </si>
  <si>
    <t>应用名称</t>
    <phoneticPr fontId="1" type="noConversion"/>
  </si>
  <si>
    <t>名称</t>
    <phoneticPr fontId="1" type="noConversion"/>
  </si>
  <si>
    <t>总激活数</t>
    <phoneticPr fontId="1" type="noConversion"/>
  </si>
  <si>
    <t>总付费金额（元）</t>
    <phoneticPr fontId="1" type="noConversion"/>
  </si>
  <si>
    <t>上月APPU值</t>
    <phoneticPr fontId="1" type="noConversion"/>
  </si>
  <si>
    <t>平均值</t>
    <phoneticPr fontId="1" type="noConversion"/>
  </si>
  <si>
    <t>总ARPU值</t>
    <phoneticPr fontId="1" type="noConversion"/>
  </si>
  <si>
    <t>BUYDRZXBPUSH120-QIANY-0827-1</t>
  </si>
  <si>
    <t>BUYDRZXBPUSH120-QIANY-0909-1</t>
  </si>
  <si>
    <t>MALAPUSH100-QIANY-0827-1</t>
  </si>
  <si>
    <t>QUANMPK100-QIANY-0913-1</t>
  </si>
  <si>
    <t>XXLPUSH140-QIANY-0827-1</t>
  </si>
  <si>
    <t>XXL140-QIANY-0918-1</t>
  </si>
  <si>
    <t>全民跑酷</t>
  </si>
  <si>
    <t>欢乐消消乐</t>
  </si>
  <si>
    <t>深海捕鱼</t>
    <phoneticPr fontId="1" type="noConversion"/>
  </si>
  <si>
    <t>深海捕鱼（新）</t>
    <phoneticPr fontId="1" type="noConversion"/>
  </si>
  <si>
    <t>全民跑酷（新）</t>
    <phoneticPr fontId="1" type="noConversion"/>
  </si>
  <si>
    <t>欢乐消消乐（新）</t>
    <phoneticPr fontId="1" type="noConversion"/>
  </si>
  <si>
    <t>DDZ180-QIANY-0810-1</t>
  </si>
  <si>
    <t>DDZPUSH180-QIANY-0827-1</t>
  </si>
  <si>
    <t>金额</t>
    <phoneticPr fontId="1" type="noConversion"/>
  </si>
  <si>
    <t>人数</t>
    <phoneticPr fontId="1" type="noConversion"/>
  </si>
  <si>
    <t>金额</t>
    <phoneticPr fontId="1" type="noConversion"/>
  </si>
  <si>
    <t>10月1日</t>
  </si>
  <si>
    <t>10月2日</t>
  </si>
  <si>
    <t>10月3日</t>
  </si>
  <si>
    <t>10月4日</t>
  </si>
  <si>
    <t>10月5日</t>
  </si>
  <si>
    <t>10月6日</t>
  </si>
  <si>
    <t>10月7日</t>
  </si>
  <si>
    <t>10月8日</t>
  </si>
  <si>
    <t>10月9日</t>
  </si>
  <si>
    <t>10月10日</t>
  </si>
  <si>
    <t>10月11日</t>
  </si>
  <si>
    <t>10月12日</t>
  </si>
  <si>
    <t>10月13日</t>
  </si>
  <si>
    <t>欢乐斗地主</t>
    <phoneticPr fontId="1" type="noConversion"/>
  </si>
  <si>
    <t>欢乐斗地主（新）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</si>
</sst>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0.00_);[Red]\(0.00\)"/>
    <numFmt numFmtId="178" formatCode="m&quot;月&quot;d&quot;日&quot;;@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444444"/>
      <name val="宋体"/>
      <family val="2"/>
    </font>
    <font>
      <b/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Protection="1"/>
    <xf numFmtId="176" fontId="0" fillId="0" borderId="0" xfId="0" applyNumberFormat="1" applyProtection="1"/>
    <xf numFmtId="0" fontId="3" fillId="2" borderId="1" xfId="0" applyFont="1" applyFill="1" applyBorder="1" applyAlignment="1">
      <alignment horizontal="center" vertical="center"/>
    </xf>
    <xf numFmtId="58" fontId="0" fillId="3" borderId="0" xfId="0" applyNumberFormat="1" applyFill="1" applyProtection="1"/>
    <xf numFmtId="177" fontId="0" fillId="0" borderId="0" xfId="0" applyNumberFormat="1"/>
    <xf numFmtId="0" fontId="2" fillId="0" borderId="0" xfId="0" applyFont="1" applyProtection="1"/>
    <xf numFmtId="176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0" fontId="3" fillId="2" borderId="0" xfId="0" applyFont="1" applyFill="1" applyBorder="1" applyAlignment="1">
      <alignment horizontal="center" vertical="center"/>
    </xf>
    <xf numFmtId="0" fontId="0" fillId="4" borderId="0" xfId="0" applyFill="1" applyProtection="1"/>
    <xf numFmtId="0" fontId="0" fillId="4" borderId="0" xfId="0" applyFill="1" applyAlignment="1" applyProtection="1">
      <alignment horizontal="left"/>
    </xf>
    <xf numFmtId="176" fontId="0" fillId="4" borderId="0" xfId="0" applyNumberFormat="1" applyFill="1" applyAlignment="1" applyProtection="1">
      <alignment horizontal="center"/>
    </xf>
    <xf numFmtId="176" fontId="0" fillId="4" borderId="0" xfId="0" applyNumberFormat="1" applyFill="1" applyAlignment="1" applyProtection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 applyAlignment="1">
      <alignment horizontal="right"/>
    </xf>
    <xf numFmtId="176" fontId="0" fillId="0" borderId="0" xfId="0" applyNumberFormat="1" applyAlignment="1">
      <alignment horizontal="center"/>
    </xf>
    <xf numFmtId="176" fontId="3" fillId="2" borderId="1" xfId="0" applyNumberFormat="1" applyFont="1" applyFill="1" applyBorder="1" applyAlignment="1">
      <alignment horizontal="center" vertical="center"/>
    </xf>
    <xf numFmtId="176" fontId="0" fillId="0" borderId="0" xfId="0" applyNumberFormat="1" applyAlignment="1" applyProtection="1">
      <alignment horizontal="left"/>
    </xf>
    <xf numFmtId="176" fontId="0" fillId="4" borderId="0" xfId="0" applyNumberFormat="1" applyFill="1" applyAlignment="1" applyProtection="1">
      <alignment horizontal="left"/>
    </xf>
    <xf numFmtId="22" fontId="0" fillId="0" borderId="0" xfId="0" applyNumberFormat="1" applyProtection="1"/>
    <xf numFmtId="14" fontId="0" fillId="0" borderId="0" xfId="0" applyNumberFormat="1"/>
    <xf numFmtId="178" fontId="0" fillId="0" borderId="0" xfId="0" applyNumberFormat="1" applyAlignment="1">
      <alignment horizontal="left"/>
    </xf>
    <xf numFmtId="178" fontId="0" fillId="0" borderId="0" xfId="0" applyNumberFormat="1" applyAlignment="1">
      <alignment vertical="center"/>
    </xf>
    <xf numFmtId="178" fontId="0" fillId="0" borderId="0" xfId="0" applyNumberFormat="1"/>
    <xf numFmtId="178" fontId="0" fillId="0" borderId="0" xfId="0" applyNumberFormat="1" applyAlignment="1" applyProtection="1">
      <alignment horizontal="left"/>
    </xf>
    <xf numFmtId="178" fontId="0" fillId="0" borderId="0" xfId="0" applyNumberFormat="1" applyAlignment="1">
      <alignment horizontal="left" vertical="center"/>
    </xf>
    <xf numFmtId="176" fontId="0" fillId="5" borderId="0" xfId="0" applyNumberFormat="1" applyFill="1" applyAlignment="1" applyProtection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6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图表数据!$A$2</c:f>
              <c:strCache>
                <c:ptCount val="1"/>
                <c:pt idx="0">
                  <c:v>深海捕鱼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深海捕鱼!深海捕鱼日期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深海捕鱼!深海捕鱼arpu</c:f>
              <c:numCache>
                <c:formatCode>0.00_ </c:formatCode>
                <c:ptCount val="30"/>
                <c:pt idx="0">
                  <c:v>10.02</c:v>
                </c:pt>
                <c:pt idx="1">
                  <c:v>15.321999999999999</c:v>
                </c:pt>
                <c:pt idx="2">
                  <c:v>0</c:v>
                </c:pt>
                <c:pt idx="3">
                  <c:v>0</c:v>
                </c:pt>
                <c:pt idx="4">
                  <c:v>25.05</c:v>
                </c:pt>
                <c:pt idx="5">
                  <c:v>57</c:v>
                </c:pt>
                <c:pt idx="6">
                  <c:v>23.180000000000003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8.6363636363636367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B-4A46-A159-B2B822AE3486}"/>
            </c:ext>
          </c:extLst>
        </c:ser>
        <c:ser>
          <c:idx val="1"/>
          <c:order val="1"/>
          <c:tx>
            <c:strRef>
              <c:f>图表数据!$A$3</c:f>
              <c:strCache>
                <c:ptCount val="1"/>
                <c:pt idx="0">
                  <c:v>深海捕鱼（新）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深海捕鱼!深海捕鱼日期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[0]!深海捕鱼新</c:f>
              <c:numCache>
                <c:formatCode>0.00_ </c:formatCode>
                <c:ptCount val="30"/>
                <c:pt idx="0">
                  <c:v>7.8555000000000001</c:v>
                </c:pt>
                <c:pt idx="1">
                  <c:v>4.6637500000000003</c:v>
                </c:pt>
                <c:pt idx="2">
                  <c:v>7.7728260869565222</c:v>
                </c:pt>
                <c:pt idx="3">
                  <c:v>4.55</c:v>
                </c:pt>
                <c:pt idx="4">
                  <c:v>5.741190476190476</c:v>
                </c:pt>
                <c:pt idx="5">
                  <c:v>10.397105263157894</c:v>
                </c:pt>
                <c:pt idx="6">
                  <c:v>10.248387096774193</c:v>
                </c:pt>
                <c:pt idx="7">
                  <c:v>1.8803125000000001</c:v>
                </c:pt>
                <c:pt idx="8">
                  <c:v>17.653333333333332</c:v>
                </c:pt>
                <c:pt idx="9">
                  <c:v>13.809166666666668</c:v>
                </c:pt>
                <c:pt idx="10">
                  <c:v>2.6551351351351351</c:v>
                </c:pt>
                <c:pt idx="11">
                  <c:v>2.2555555555555555</c:v>
                </c:pt>
                <c:pt idx="12">
                  <c:v>6.6666666666666671E-3</c:v>
                </c:pt>
                <c:pt idx="13">
                  <c:v>9.8372727272727261</c:v>
                </c:pt>
                <c:pt idx="14">
                  <c:v>6.1262962962962959</c:v>
                </c:pt>
                <c:pt idx="15">
                  <c:v>7.5795238095238089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A-4C3B-9759-19F1865E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95232512"/>
        <c:axId val="195234816"/>
      </c:lineChart>
      <c:dateAx>
        <c:axId val="195232512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234816"/>
        <c:crosses val="autoZero"/>
        <c:auto val="1"/>
        <c:lblOffset val="100"/>
        <c:baseTimeUnit val="days"/>
      </c:dateAx>
      <c:valAx>
        <c:axId val="195234816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2325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图表数据!$A$4</c:f>
              <c:strCache>
                <c:ptCount val="1"/>
                <c:pt idx="0">
                  <c:v>全民跑酷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全民跑酷!全民跑酷</c:f>
              <c:numCache>
                <c:formatCode>0.00_ </c:formatCode>
                <c:ptCount val="30"/>
                <c:pt idx="0">
                  <c:v>3.7039130434782606</c:v>
                </c:pt>
                <c:pt idx="1">
                  <c:v>5.1465517241379306</c:v>
                </c:pt>
                <c:pt idx="2">
                  <c:v>4.9892500000000002</c:v>
                </c:pt>
                <c:pt idx="3">
                  <c:v>0.5625</c:v>
                </c:pt>
                <c:pt idx="4">
                  <c:v>4.6571875</c:v>
                </c:pt>
                <c:pt idx="5">
                  <c:v>5.4788235294117644</c:v>
                </c:pt>
                <c:pt idx="6">
                  <c:v>4.8705263157894736</c:v>
                </c:pt>
                <c:pt idx="7">
                  <c:v>4.3125</c:v>
                </c:pt>
                <c:pt idx="8">
                  <c:v>1.6</c:v>
                </c:pt>
                <c:pt idx="9">
                  <c:v>0.83333333333333337</c:v>
                </c:pt>
                <c:pt idx="10">
                  <c:v>0</c:v>
                </c:pt>
                <c:pt idx="11">
                  <c:v>0</c:v>
                </c:pt>
                <c:pt idx="12">
                  <c:v>2.0950000000000002</c:v>
                </c:pt>
                <c:pt idx="13">
                  <c:v>0</c:v>
                </c:pt>
                <c:pt idx="14">
                  <c:v>6.1538461538461542</c:v>
                </c:pt>
                <c:pt idx="15">
                  <c:v>5.0449999999999999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52-496F-B37D-9492A146A791}"/>
            </c:ext>
          </c:extLst>
        </c:ser>
        <c:ser>
          <c:idx val="1"/>
          <c:order val="1"/>
          <c:tx>
            <c:strRef>
              <c:f>图表数据!$A$5</c:f>
              <c:strCache>
                <c:ptCount val="1"/>
                <c:pt idx="0">
                  <c:v>全民跑酷（新）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全民跑酷!全民跑酷新</c:f>
              <c:numCache>
                <c:formatCode>0.00_ </c:formatCode>
                <c:ptCount val="30"/>
                <c:pt idx="0">
                  <c:v>5.3664634146341461</c:v>
                </c:pt>
                <c:pt idx="1">
                  <c:v>3.4127272727272726</c:v>
                </c:pt>
                <c:pt idx="2">
                  <c:v>2.169879518072289</c:v>
                </c:pt>
                <c:pt idx="3">
                  <c:v>2.4172289156626507</c:v>
                </c:pt>
                <c:pt idx="4">
                  <c:v>4.9203703703703701</c:v>
                </c:pt>
                <c:pt idx="5">
                  <c:v>4.0638095238095238</c:v>
                </c:pt>
                <c:pt idx="6">
                  <c:v>4.1834375000000001</c:v>
                </c:pt>
                <c:pt idx="7">
                  <c:v>10.343500000000001</c:v>
                </c:pt>
                <c:pt idx="8">
                  <c:v>8.1243478260869573</c:v>
                </c:pt>
                <c:pt idx="9">
                  <c:v>5.074871794871795</c:v>
                </c:pt>
                <c:pt idx="10">
                  <c:v>1.2478350515463918</c:v>
                </c:pt>
                <c:pt idx="11">
                  <c:v>0</c:v>
                </c:pt>
                <c:pt idx="12">
                  <c:v>1.0611111111111111</c:v>
                </c:pt>
                <c:pt idx="13">
                  <c:v>1.8663636363636364</c:v>
                </c:pt>
                <c:pt idx="14">
                  <c:v>4.2549999999999999</c:v>
                </c:pt>
                <c:pt idx="15">
                  <c:v>9.9415624999999999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B-464D-A82E-A001F467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37089664"/>
        <c:axId val="337133952"/>
      </c:lineChart>
      <c:dateAx>
        <c:axId val="337089664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133952"/>
        <c:crosses val="autoZero"/>
        <c:auto val="1"/>
        <c:lblOffset val="100"/>
        <c:baseTimeUnit val="days"/>
      </c:dateAx>
      <c:valAx>
        <c:axId val="337133952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0896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图表数据!$A$6</c:f>
              <c:strCache>
                <c:ptCount val="1"/>
                <c:pt idx="0">
                  <c:v>欢乐消消乐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[0]!欢乐消消乐</c:f>
              <c:numCache>
                <c:formatCode>0.00_ </c:formatCode>
                <c:ptCount val="29"/>
                <c:pt idx="0">
                  <c:v>2.7754285714285714</c:v>
                </c:pt>
                <c:pt idx="1">
                  <c:v>5.4170833333333333</c:v>
                </c:pt>
                <c:pt idx="2">
                  <c:v>4.4306666666666663</c:v>
                </c:pt>
                <c:pt idx="3">
                  <c:v>11.622000000000002</c:v>
                </c:pt>
                <c:pt idx="4">
                  <c:v>7.4099999999999993</c:v>
                </c:pt>
                <c:pt idx="5">
                  <c:v>5.5306249999999997</c:v>
                </c:pt>
                <c:pt idx="6">
                  <c:v>6.8181818181818183</c:v>
                </c:pt>
                <c:pt idx="7">
                  <c:v>4.8546153846153848</c:v>
                </c:pt>
                <c:pt idx="8">
                  <c:v>8</c:v>
                </c:pt>
                <c:pt idx="9">
                  <c:v>12.1425</c:v>
                </c:pt>
                <c:pt idx="10">
                  <c:v>4.871818181818182</c:v>
                </c:pt>
                <c:pt idx="11">
                  <c:v>0</c:v>
                </c:pt>
                <c:pt idx="12">
                  <c:v>30.76</c:v>
                </c:pt>
                <c:pt idx="13">
                  <c:v>0.83333333333333337</c:v>
                </c:pt>
                <c:pt idx="14">
                  <c:v>0</c:v>
                </c:pt>
                <c:pt idx="15">
                  <c:v>1.3333333333333333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7-40FA-AD8B-85B29842908C}"/>
            </c:ext>
          </c:extLst>
        </c:ser>
        <c:ser>
          <c:idx val="1"/>
          <c:order val="1"/>
          <c:tx>
            <c:strRef>
              <c:f>图表数据!$A$7</c:f>
              <c:strCache>
                <c:ptCount val="1"/>
                <c:pt idx="0">
                  <c:v>欢乐消消乐（新）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欢乐消消乐!欢乐消消乐新</c:f>
              <c:numCache>
                <c:formatCode>0.00_ </c:formatCode>
                <c:ptCount val="30"/>
                <c:pt idx="0">
                  <c:v>3.2338009049773753</c:v>
                </c:pt>
                <c:pt idx="1">
                  <c:v>3.293626373626374</c:v>
                </c:pt>
                <c:pt idx="2">
                  <c:v>1.8725000000000001</c:v>
                </c:pt>
                <c:pt idx="3">
                  <c:v>2.4578037383177573</c:v>
                </c:pt>
                <c:pt idx="4">
                  <c:v>2.9655555555555555</c:v>
                </c:pt>
                <c:pt idx="5">
                  <c:v>4.3513953488372099</c:v>
                </c:pt>
                <c:pt idx="6">
                  <c:v>7.0869811320754712</c:v>
                </c:pt>
                <c:pt idx="7">
                  <c:v>4.1264601769911504</c:v>
                </c:pt>
                <c:pt idx="8">
                  <c:v>8.7485148514851492</c:v>
                </c:pt>
                <c:pt idx="9">
                  <c:v>8.0755434782608706</c:v>
                </c:pt>
                <c:pt idx="10">
                  <c:v>20.276363636363637</c:v>
                </c:pt>
                <c:pt idx="11">
                  <c:v>1.9275000000000002</c:v>
                </c:pt>
                <c:pt idx="12">
                  <c:v>2.9636231884057973</c:v>
                </c:pt>
                <c:pt idx="13">
                  <c:v>1.2222222222222223</c:v>
                </c:pt>
                <c:pt idx="14">
                  <c:v>0</c:v>
                </c:pt>
                <c:pt idx="15">
                  <c:v>0.24193548387096775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7-40FA-AD8B-85B298429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91280752"/>
        <c:axId val="491279920"/>
      </c:lineChart>
      <c:dateAx>
        <c:axId val="491280752"/>
        <c:scaling>
          <c:orientation val="minMax"/>
        </c:scaling>
        <c:delete val="0"/>
        <c:axPos val="b"/>
        <c:numFmt formatCode="m&quot;月&quot;d&quot;日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1279920"/>
        <c:crosses val="autoZero"/>
        <c:auto val="1"/>
        <c:lblOffset val="100"/>
        <c:baseTimeUnit val="days"/>
      </c:dateAx>
      <c:valAx>
        <c:axId val="491279920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12807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图表数据!$A$8</c:f>
              <c:strCache>
                <c:ptCount val="1"/>
                <c:pt idx="0">
                  <c:v>欢乐斗地主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[0]!欢乐斗地主</c:f>
              <c:numCache>
                <c:formatCode>0.00_ </c:formatCode>
                <c:ptCount val="29"/>
                <c:pt idx="0">
                  <c:v>21.703333333333333</c:v>
                </c:pt>
                <c:pt idx="1">
                  <c:v>1.4285714285714287E-2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</c:v>
                </c:pt>
                <c:pt idx="7">
                  <c:v>0</c:v>
                </c:pt>
                <c:pt idx="8">
                  <c:v>29.574999999999999</c:v>
                </c:pt>
                <c:pt idx="9">
                  <c:v>5</c:v>
                </c:pt>
                <c:pt idx="10">
                  <c:v>0</c:v>
                </c:pt>
                <c:pt idx="11">
                  <c:v>87.5</c:v>
                </c:pt>
                <c:pt idx="12">
                  <c:v>0</c:v>
                </c:pt>
                <c:pt idx="13">
                  <c:v>23.333333333333332</c:v>
                </c:pt>
                <c:pt idx="14">
                  <c:v>20.033333333333335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5-489B-A3DD-121D34CA366E}"/>
            </c:ext>
          </c:extLst>
        </c:ser>
        <c:ser>
          <c:idx val="1"/>
          <c:order val="1"/>
          <c:tx>
            <c:strRef>
              <c:f>图表数据!$A$9</c:f>
              <c:strCache>
                <c:ptCount val="1"/>
                <c:pt idx="0">
                  <c:v>欢乐斗地主（新）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[0]!全民跑酷日期</c:f>
              <c:numCache>
                <c:formatCode>m"月"d"日"</c:formatCode>
                <c:ptCount val="16"/>
                <c:pt idx="0">
                  <c:v>42644</c:v>
                </c:pt>
                <c:pt idx="1">
                  <c:v>42645</c:v>
                </c:pt>
                <c:pt idx="2">
                  <c:v>42646</c:v>
                </c:pt>
                <c:pt idx="3">
                  <c:v>42647</c:v>
                </c:pt>
                <c:pt idx="4">
                  <c:v>42648</c:v>
                </c:pt>
                <c:pt idx="5">
                  <c:v>42649</c:v>
                </c:pt>
                <c:pt idx="6">
                  <c:v>42650</c:v>
                </c:pt>
                <c:pt idx="7">
                  <c:v>42651</c:v>
                </c:pt>
                <c:pt idx="8">
                  <c:v>42652</c:v>
                </c:pt>
                <c:pt idx="9">
                  <c:v>42653</c:v>
                </c:pt>
                <c:pt idx="10">
                  <c:v>42654</c:v>
                </c:pt>
                <c:pt idx="11">
                  <c:v>42655</c:v>
                </c:pt>
                <c:pt idx="12">
                  <c:v>42656</c:v>
                </c:pt>
                <c:pt idx="13">
                  <c:v>42657</c:v>
                </c:pt>
                <c:pt idx="14">
                  <c:v>42658</c:v>
                </c:pt>
                <c:pt idx="15">
                  <c:v>42659</c:v>
                </c:pt>
              </c:numCache>
            </c:numRef>
          </c:cat>
          <c:val>
            <c:numRef>
              <c:f>欢乐斗地主!欢乐斗地主新</c:f>
              <c:numCache>
                <c:formatCode>0.00_ </c:formatCode>
                <c:ptCount val="30"/>
                <c:pt idx="0">
                  <c:v>9.4805882352941175</c:v>
                </c:pt>
                <c:pt idx="1">
                  <c:v>5.068307692307692</c:v>
                </c:pt>
                <c:pt idx="2">
                  <c:v>12.340632911392404</c:v>
                </c:pt>
                <c:pt idx="3">
                  <c:v>15.499344262295082</c:v>
                </c:pt>
                <c:pt idx="4">
                  <c:v>21.589259259259258</c:v>
                </c:pt>
                <c:pt idx="5">
                  <c:v>22.985932203389833</c:v>
                </c:pt>
                <c:pt idx="6">
                  <c:v>16.32679245283019</c:v>
                </c:pt>
                <c:pt idx="7">
                  <c:v>24.133829787234042</c:v>
                </c:pt>
                <c:pt idx="8">
                  <c:v>13.625249999999999</c:v>
                </c:pt>
                <c:pt idx="9">
                  <c:v>16.356999999999999</c:v>
                </c:pt>
                <c:pt idx="10">
                  <c:v>24.098749999999999</c:v>
                </c:pt>
                <c:pt idx="11">
                  <c:v>16.176785714285714</c:v>
                </c:pt>
                <c:pt idx="12">
                  <c:v>47.120909090909095</c:v>
                </c:pt>
                <c:pt idx="13">
                  <c:v>48.062380952380948</c:v>
                </c:pt>
                <c:pt idx="14">
                  <c:v>30.245249999999999</c:v>
                </c:pt>
                <c:pt idx="15">
                  <c:v>28.935555555555553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5-489B-A3DD-121D34CA3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37089664"/>
        <c:axId val="337133952"/>
      </c:lineChart>
      <c:dateAx>
        <c:axId val="337089664"/>
        <c:scaling>
          <c:orientation val="minMax"/>
        </c:scaling>
        <c:delete val="0"/>
        <c:axPos val="b"/>
        <c:numFmt formatCode="m&quot;月&quot;d&quot;日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133952"/>
        <c:crosses val="autoZero"/>
        <c:auto val="1"/>
        <c:lblOffset val="100"/>
        <c:baseTimeUnit val="days"/>
      </c:dateAx>
      <c:valAx>
        <c:axId val="337133952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0896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666750</xdr:colOff>
      <xdr:row>23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9524</xdr:rowOff>
    </xdr:from>
    <xdr:to>
      <xdr:col>14</xdr:col>
      <xdr:colOff>38100</xdr:colOff>
      <xdr:row>21</xdr:row>
      <xdr:rowOff>171449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19049</xdr:rowOff>
    </xdr:from>
    <xdr:to>
      <xdr:col>13</xdr:col>
      <xdr:colOff>676274</xdr:colOff>
      <xdr:row>20</xdr:row>
      <xdr:rowOff>161924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38100</xdr:colOff>
      <xdr:row>21</xdr:row>
      <xdr:rowOff>161925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1"/>
  <sheetViews>
    <sheetView workbookViewId="0">
      <selection activeCell="A8" sqref="A8"/>
    </sheetView>
  </sheetViews>
  <sheetFormatPr defaultRowHeight="13.5" x14ac:dyDescent="0.15"/>
  <cols>
    <col min="1" max="1" width="29.625" customWidth="1"/>
    <col min="2" max="2" width="29" customWidth="1"/>
  </cols>
  <sheetData>
    <row r="1" spans="1:8" ht="13.5" customHeight="1" x14ac:dyDescent="0.15">
      <c r="A1" t="s">
        <v>2</v>
      </c>
      <c r="B1" t="s">
        <v>1</v>
      </c>
      <c r="C1" t="s">
        <v>27</v>
      </c>
      <c r="D1" t="s">
        <v>28</v>
      </c>
    </row>
    <row r="2" spans="1:8" ht="13.5" customHeight="1" x14ac:dyDescent="0.15">
      <c r="A2" s="16" t="s">
        <v>13</v>
      </c>
      <c r="B2" s="17" t="s">
        <v>21</v>
      </c>
      <c r="C2">
        <f>(VLOOKUP(A2,$A$10:$B$29,2,0)/100)</f>
        <v>10.02</v>
      </c>
      <c r="D2">
        <f>VLOOKUP(A2,$A$31:$B$51,2,0)</f>
        <v>3</v>
      </c>
    </row>
    <row r="3" spans="1:8" ht="13.5" customHeight="1" x14ac:dyDescent="0.15">
      <c r="A3" t="s">
        <v>14</v>
      </c>
      <c r="B3" s="17" t="s">
        <v>22</v>
      </c>
      <c r="C3">
        <f t="shared" ref="C3:C9" si="0">(VLOOKUP(A3,$A$10:$B$29,2,0)/100)</f>
        <v>471.33</v>
      </c>
      <c r="D3">
        <f t="shared" ref="D3:D9" si="1">VLOOKUP(A3,$A$31:$B$51,2,0)</f>
        <v>46</v>
      </c>
    </row>
    <row r="4" spans="1:8" ht="13.5" customHeight="1" x14ac:dyDescent="0.15">
      <c r="A4" s="16" t="s">
        <v>15</v>
      </c>
      <c r="B4" s="17" t="s">
        <v>19</v>
      </c>
      <c r="C4">
        <f t="shared" si="0"/>
        <v>170.38</v>
      </c>
      <c r="D4">
        <f t="shared" si="1"/>
        <v>40</v>
      </c>
    </row>
    <row r="5" spans="1:8" ht="13.5" customHeight="1" x14ac:dyDescent="0.15">
      <c r="A5" t="s">
        <v>16</v>
      </c>
      <c r="B5" s="17" t="s">
        <v>23</v>
      </c>
      <c r="C5">
        <f t="shared" si="0"/>
        <v>440.05</v>
      </c>
      <c r="D5">
        <f t="shared" si="1"/>
        <v>83</v>
      </c>
    </row>
    <row r="6" spans="1:8" ht="13.5" customHeight="1" x14ac:dyDescent="0.15">
      <c r="A6" s="16" t="s">
        <v>17</v>
      </c>
      <c r="B6" s="17" t="s">
        <v>20</v>
      </c>
      <c r="C6">
        <f t="shared" si="0"/>
        <v>97.14</v>
      </c>
      <c r="D6">
        <f t="shared" si="1"/>
        <v>15</v>
      </c>
    </row>
    <row r="7" spans="1:8" ht="13.5" customHeight="1" x14ac:dyDescent="0.15">
      <c r="A7" t="s">
        <v>18</v>
      </c>
      <c r="B7" s="17" t="s">
        <v>24</v>
      </c>
      <c r="C7">
        <f t="shared" si="0"/>
        <v>714.67</v>
      </c>
      <c r="D7">
        <f t="shared" si="1"/>
        <v>208</v>
      </c>
    </row>
    <row r="8" spans="1:8" ht="13.5" customHeight="1" x14ac:dyDescent="0.15">
      <c r="A8" s="16" t="s">
        <v>25</v>
      </c>
      <c r="B8" s="17" t="s">
        <v>43</v>
      </c>
      <c r="C8">
        <f t="shared" si="0"/>
        <v>65.11</v>
      </c>
      <c r="D8" t="e">
        <f t="shared" si="1"/>
        <v>#N/A</v>
      </c>
    </row>
    <row r="9" spans="1:8" ht="13.5" customHeight="1" x14ac:dyDescent="0.15">
      <c r="A9" t="s">
        <v>26</v>
      </c>
      <c r="B9" s="17" t="s">
        <v>44</v>
      </c>
      <c r="C9">
        <f t="shared" si="0"/>
        <v>644.67999999999995</v>
      </c>
      <c r="D9">
        <f t="shared" si="1"/>
        <v>79</v>
      </c>
    </row>
    <row r="10" spans="1:8" ht="13.5" customHeight="1" x14ac:dyDescent="0.15"/>
    <row r="11" spans="1:8" ht="13.5" customHeight="1" x14ac:dyDescent="0.15"/>
    <row r="12" spans="1:8" x14ac:dyDescent="0.15">
      <c r="D12" s="2"/>
      <c r="E12" s="2"/>
      <c r="F12" s="2"/>
    </row>
    <row r="13" spans="1:8" x14ac:dyDescent="0.15">
      <c r="D13" s="2"/>
      <c r="E13" s="2"/>
      <c r="F13" s="2"/>
      <c r="G13" s="2"/>
      <c r="H13" s="2"/>
    </row>
    <row r="14" spans="1:8" x14ac:dyDescent="0.15">
      <c r="A14" t="s">
        <v>29</v>
      </c>
      <c r="D14" s="2"/>
      <c r="E14" s="2"/>
      <c r="F14" s="2"/>
      <c r="G14" s="2"/>
      <c r="H14" s="2"/>
    </row>
    <row r="15" spans="1:8" x14ac:dyDescent="0.15">
      <c r="A15" s="16" t="s">
        <v>13</v>
      </c>
      <c r="B15" s="1">
        <v>1002</v>
      </c>
      <c r="D15" s="2"/>
      <c r="E15" s="2"/>
      <c r="F15" s="2"/>
      <c r="G15" s="2"/>
      <c r="H15" s="2"/>
    </row>
    <row r="16" spans="1:8" x14ac:dyDescent="0.15">
      <c r="A16" s="16" t="s">
        <v>14</v>
      </c>
      <c r="B16" s="1">
        <v>47133</v>
      </c>
      <c r="D16" s="2"/>
      <c r="E16" s="2"/>
      <c r="F16" s="2"/>
      <c r="G16" s="2"/>
      <c r="H16" s="2"/>
    </row>
    <row r="17" spans="1:8" x14ac:dyDescent="0.15">
      <c r="A17" s="16" t="s">
        <v>25</v>
      </c>
      <c r="B17" s="1">
        <v>6511</v>
      </c>
      <c r="D17" s="2"/>
      <c r="E17" s="2"/>
      <c r="F17" s="2"/>
      <c r="G17" s="2"/>
      <c r="H17" s="2"/>
    </row>
    <row r="18" spans="1:8" x14ac:dyDescent="0.15">
      <c r="A18" s="16" t="s">
        <v>26</v>
      </c>
      <c r="B18" s="1">
        <v>64468</v>
      </c>
      <c r="D18" s="2"/>
      <c r="E18" s="2"/>
      <c r="F18" s="2"/>
      <c r="G18" s="2"/>
      <c r="H18" s="2"/>
    </row>
    <row r="19" spans="1:8" x14ac:dyDescent="0.15">
      <c r="A19" s="16" t="s">
        <v>15</v>
      </c>
      <c r="B19" s="1">
        <v>17038</v>
      </c>
      <c r="D19" s="2"/>
      <c r="E19" s="2"/>
      <c r="F19" s="2"/>
      <c r="G19" s="2"/>
      <c r="H19" s="2"/>
    </row>
    <row r="20" spans="1:8" x14ac:dyDescent="0.15">
      <c r="A20" s="16" t="s">
        <v>16</v>
      </c>
      <c r="B20" s="1">
        <v>44005</v>
      </c>
      <c r="D20" s="2"/>
      <c r="E20" s="2"/>
      <c r="F20" s="2"/>
      <c r="G20" s="2"/>
      <c r="H20" s="2"/>
    </row>
    <row r="21" spans="1:8" x14ac:dyDescent="0.15">
      <c r="A21" s="16" t="s">
        <v>18</v>
      </c>
      <c r="B21" s="1">
        <v>71467</v>
      </c>
      <c r="D21" s="2"/>
      <c r="E21" s="2"/>
      <c r="F21" s="2"/>
      <c r="G21" s="2"/>
      <c r="H21" s="2"/>
    </row>
    <row r="22" spans="1:8" x14ac:dyDescent="0.15">
      <c r="A22" s="16" t="s">
        <v>17</v>
      </c>
      <c r="B22" s="1">
        <v>9714</v>
      </c>
      <c r="D22" s="2"/>
      <c r="E22" s="2"/>
      <c r="F22" s="2"/>
      <c r="G22" s="2"/>
      <c r="H22" s="2"/>
    </row>
    <row r="23" spans="1:8" x14ac:dyDescent="0.15">
      <c r="A23" s="16"/>
      <c r="B23" s="1"/>
      <c r="D23" s="2"/>
      <c r="E23" s="2"/>
      <c r="F23" s="2"/>
      <c r="G23" s="2"/>
      <c r="H23" s="2"/>
    </row>
    <row r="24" spans="1:8" x14ac:dyDescent="0.15">
      <c r="D24" s="2"/>
      <c r="E24" s="2"/>
      <c r="F24" s="2"/>
      <c r="G24" s="2"/>
      <c r="H24" s="2"/>
    </row>
    <row r="25" spans="1:8" x14ac:dyDescent="0.15">
      <c r="D25" s="2"/>
      <c r="E25" s="2"/>
      <c r="F25" s="2"/>
      <c r="G25" s="2"/>
      <c r="H25" s="2"/>
    </row>
    <row r="26" spans="1:8" x14ac:dyDescent="0.15">
      <c r="D26" s="2"/>
      <c r="E26" s="2"/>
      <c r="F26" s="2"/>
      <c r="G26" s="2"/>
      <c r="H26" s="2"/>
    </row>
    <row r="27" spans="1:8" x14ac:dyDescent="0.15">
      <c r="D27" s="2"/>
      <c r="E27" s="2"/>
      <c r="F27" s="2"/>
      <c r="G27" s="2"/>
      <c r="H27" s="2"/>
    </row>
    <row r="28" spans="1:8" x14ac:dyDescent="0.15">
      <c r="D28" s="2"/>
      <c r="E28" s="2"/>
      <c r="F28" s="2"/>
      <c r="G28" s="2"/>
      <c r="H28" s="2"/>
    </row>
    <row r="29" spans="1:8" x14ac:dyDescent="0.15">
      <c r="D29" s="2"/>
      <c r="E29" s="2"/>
      <c r="F29" s="2"/>
      <c r="G29" s="2"/>
      <c r="H29" s="2"/>
    </row>
    <row r="30" spans="1:8" x14ac:dyDescent="0.15">
      <c r="A30" t="s">
        <v>28</v>
      </c>
      <c r="D30" s="2"/>
      <c r="E30" s="2"/>
      <c r="F30" s="2"/>
      <c r="G30" s="2"/>
      <c r="H30" s="2"/>
    </row>
    <row r="31" spans="1:8" x14ac:dyDescent="0.15">
      <c r="A31" s="16" t="s">
        <v>13</v>
      </c>
      <c r="B31" s="1">
        <v>3</v>
      </c>
      <c r="D31" s="2"/>
      <c r="E31" s="2"/>
      <c r="F31" s="2"/>
      <c r="G31" s="2"/>
      <c r="H31" s="2"/>
    </row>
    <row r="32" spans="1:8" x14ac:dyDescent="0.15">
      <c r="A32" s="16" t="s">
        <v>14</v>
      </c>
      <c r="B32" s="1">
        <v>46</v>
      </c>
      <c r="D32" s="2"/>
      <c r="E32" s="2"/>
      <c r="F32" s="2"/>
      <c r="G32" s="2"/>
      <c r="H32" s="2"/>
    </row>
    <row r="33" spans="1:8" x14ac:dyDescent="0.15">
      <c r="A33" s="16" t="s">
        <v>26</v>
      </c>
      <c r="B33" s="1">
        <v>79</v>
      </c>
      <c r="D33" s="2"/>
      <c r="E33" s="2"/>
      <c r="F33" s="2"/>
      <c r="G33" s="2"/>
      <c r="H33" s="2"/>
    </row>
    <row r="34" spans="1:8" x14ac:dyDescent="0.15">
      <c r="A34" s="16" t="s">
        <v>15</v>
      </c>
      <c r="B34" s="1">
        <v>40</v>
      </c>
      <c r="D34" s="2"/>
      <c r="E34" s="2"/>
      <c r="F34" s="2"/>
      <c r="G34" s="2"/>
      <c r="H34" s="2"/>
    </row>
    <row r="35" spans="1:8" x14ac:dyDescent="0.15">
      <c r="A35" s="16" t="s">
        <v>16</v>
      </c>
      <c r="B35" s="1">
        <v>83</v>
      </c>
      <c r="D35" s="2"/>
      <c r="E35" s="2"/>
      <c r="F35" s="2"/>
      <c r="G35" s="2"/>
      <c r="H35" s="2"/>
    </row>
    <row r="36" spans="1:8" x14ac:dyDescent="0.15">
      <c r="A36" s="16" t="s">
        <v>18</v>
      </c>
      <c r="B36" s="1">
        <v>208</v>
      </c>
      <c r="D36" s="2"/>
      <c r="E36" s="2"/>
      <c r="F36" s="2"/>
      <c r="G36" s="2"/>
      <c r="H36" s="2"/>
    </row>
    <row r="37" spans="1:8" x14ac:dyDescent="0.15">
      <c r="A37" s="16" t="s">
        <v>17</v>
      </c>
      <c r="B37" s="1">
        <v>15</v>
      </c>
      <c r="D37" s="2"/>
      <c r="E37" s="2"/>
      <c r="F37" s="2"/>
      <c r="G37" s="2"/>
      <c r="H37" s="2"/>
    </row>
    <row r="38" spans="1:8" x14ac:dyDescent="0.15">
      <c r="A38" s="16"/>
      <c r="B38" s="1"/>
      <c r="D38" s="2"/>
      <c r="E38" s="2"/>
      <c r="F38" s="2"/>
      <c r="G38" s="2"/>
      <c r="H38" s="2"/>
    </row>
    <row r="39" spans="1:8" x14ac:dyDescent="0.15">
      <c r="D39" s="2"/>
      <c r="E39" s="2"/>
      <c r="F39" s="2"/>
      <c r="G39" s="2"/>
      <c r="H39" s="2"/>
    </row>
    <row r="40" spans="1:8" x14ac:dyDescent="0.15">
      <c r="D40" s="2"/>
      <c r="E40" s="2"/>
      <c r="F40" s="2"/>
      <c r="G40" s="2"/>
      <c r="H40" s="2"/>
    </row>
    <row r="41" spans="1:8" x14ac:dyDescent="0.15">
      <c r="D41" s="2"/>
      <c r="E41" s="2"/>
      <c r="F41" s="2"/>
      <c r="G41" s="2"/>
      <c r="H41" s="2"/>
    </row>
    <row r="42" spans="1:8" x14ac:dyDescent="0.15">
      <c r="D42" s="2"/>
      <c r="E42" s="2"/>
      <c r="F42" s="2"/>
      <c r="G42" s="2"/>
      <c r="H42" s="2"/>
    </row>
    <row r="43" spans="1:8" x14ac:dyDescent="0.15">
      <c r="D43" s="2"/>
      <c r="E43" s="2"/>
      <c r="F43" s="2"/>
      <c r="G43" s="2"/>
      <c r="H43" s="2"/>
    </row>
    <row r="44" spans="1:8" x14ac:dyDescent="0.15">
      <c r="D44" s="2"/>
      <c r="E44" s="2"/>
      <c r="F44" s="2"/>
      <c r="G44" s="2"/>
      <c r="H44" s="2"/>
    </row>
    <row r="45" spans="1:8" x14ac:dyDescent="0.15">
      <c r="D45" s="2"/>
      <c r="E45" s="2"/>
      <c r="F45" s="2"/>
      <c r="G45" s="2"/>
      <c r="H45" s="2"/>
    </row>
    <row r="46" spans="1:8" x14ac:dyDescent="0.15">
      <c r="D46" s="2"/>
      <c r="E46" s="2"/>
      <c r="F46" s="2"/>
      <c r="G46" s="2"/>
      <c r="H46" s="2"/>
    </row>
    <row r="47" spans="1:8" x14ac:dyDescent="0.15">
      <c r="D47" s="2"/>
      <c r="E47" s="2"/>
      <c r="F47" s="2"/>
      <c r="G47" s="2"/>
      <c r="H47" s="2"/>
    </row>
    <row r="48" spans="1:8" x14ac:dyDescent="0.15">
      <c r="D48" s="2"/>
      <c r="E48" s="2"/>
      <c r="F48" s="2"/>
      <c r="G48" s="2"/>
      <c r="H48" s="2"/>
    </row>
    <row r="49" spans="4:8" x14ac:dyDescent="0.15">
      <c r="D49" s="2"/>
      <c r="E49" s="2"/>
      <c r="F49" s="2"/>
      <c r="G49" s="2"/>
      <c r="H49" s="2"/>
    </row>
    <row r="50" spans="4:8" x14ac:dyDescent="0.15">
      <c r="D50" s="2"/>
      <c r="E50" s="2"/>
      <c r="F50" s="2"/>
      <c r="G50" s="2"/>
      <c r="H50" s="2"/>
    </row>
    <row r="51" spans="4:8" x14ac:dyDescent="0.15">
      <c r="D51" s="2"/>
      <c r="E51" s="2"/>
      <c r="F51" s="2"/>
      <c r="G51" s="2"/>
      <c r="H51" s="2"/>
    </row>
    <row r="52" spans="4:8" x14ac:dyDescent="0.15">
      <c r="D52" s="2"/>
      <c r="E52" s="2"/>
      <c r="F52" s="2"/>
      <c r="G52" s="2"/>
      <c r="H52" s="2"/>
    </row>
    <row r="53" spans="4:8" x14ac:dyDescent="0.15">
      <c r="D53" s="2"/>
      <c r="E53" s="2"/>
      <c r="F53" s="2"/>
      <c r="G53" s="2"/>
      <c r="H53" s="2"/>
    </row>
    <row r="54" spans="4:8" x14ac:dyDescent="0.15">
      <c r="D54" s="2"/>
      <c r="E54" s="2"/>
      <c r="F54" s="2"/>
      <c r="G54" s="2"/>
      <c r="H54" s="2"/>
    </row>
    <row r="55" spans="4:8" x14ac:dyDescent="0.15">
      <c r="D55" s="2"/>
      <c r="E55" s="2"/>
      <c r="F55" s="2"/>
      <c r="G55" s="2"/>
      <c r="H55" s="2"/>
    </row>
    <row r="56" spans="4:8" x14ac:dyDescent="0.15">
      <c r="D56" s="2"/>
      <c r="E56" s="2"/>
      <c r="F56" s="2"/>
      <c r="G56" s="2"/>
      <c r="H56" s="2"/>
    </row>
    <row r="57" spans="4:8" x14ac:dyDescent="0.15">
      <c r="D57" s="2"/>
      <c r="E57" s="2"/>
      <c r="F57" s="2"/>
      <c r="G57" s="2"/>
      <c r="H57" s="2"/>
    </row>
    <row r="58" spans="4:8" x14ac:dyDescent="0.15">
      <c r="D58" s="2"/>
      <c r="E58" s="2"/>
      <c r="F58" s="2"/>
      <c r="G58" s="2"/>
      <c r="H58" s="2"/>
    </row>
    <row r="59" spans="4:8" x14ac:dyDescent="0.15">
      <c r="D59" s="2"/>
      <c r="E59" s="2"/>
      <c r="F59" s="2"/>
      <c r="G59" s="2"/>
      <c r="H59" s="2"/>
    </row>
    <row r="60" spans="4:8" x14ac:dyDescent="0.15">
      <c r="D60" s="2"/>
      <c r="E60" s="2"/>
      <c r="F60" s="2"/>
      <c r="G60" s="2"/>
      <c r="H60" s="2"/>
    </row>
    <row r="61" spans="4:8" x14ac:dyDescent="0.15">
      <c r="D61" s="2"/>
      <c r="E61" s="2"/>
      <c r="F61" s="2"/>
      <c r="G61" s="2"/>
      <c r="H61" s="2"/>
    </row>
    <row r="62" spans="4:8" x14ac:dyDescent="0.15">
      <c r="D62" s="2"/>
      <c r="E62" s="2"/>
      <c r="F62" s="2"/>
      <c r="G62" s="2"/>
      <c r="H62" s="2"/>
    </row>
    <row r="63" spans="4:8" x14ac:dyDescent="0.15">
      <c r="D63" s="2"/>
      <c r="E63" s="2"/>
      <c r="F63" s="2"/>
      <c r="G63" s="2"/>
      <c r="H63" s="2"/>
    </row>
    <row r="64" spans="4:8" x14ac:dyDescent="0.15">
      <c r="D64" s="2"/>
      <c r="E64" s="2"/>
      <c r="F64" s="2"/>
      <c r="G64" s="2"/>
      <c r="H64" s="2"/>
    </row>
    <row r="65" spans="4:8" x14ac:dyDescent="0.15">
      <c r="D65" s="2"/>
      <c r="E65" s="2"/>
      <c r="F65" s="2"/>
      <c r="G65" s="2"/>
      <c r="H65" s="2"/>
    </row>
    <row r="66" spans="4:8" x14ac:dyDescent="0.15">
      <c r="D66" s="2"/>
      <c r="E66" s="2"/>
      <c r="F66" s="2"/>
      <c r="G66" s="2"/>
      <c r="H66" s="2"/>
    </row>
    <row r="67" spans="4:8" x14ac:dyDescent="0.15">
      <c r="D67" s="2"/>
      <c r="E67" s="2"/>
      <c r="F67" s="2"/>
      <c r="G67" s="2"/>
      <c r="H67" s="2"/>
    </row>
    <row r="68" spans="4:8" x14ac:dyDescent="0.15">
      <c r="D68" s="2"/>
      <c r="E68" s="2"/>
      <c r="F68" s="2"/>
      <c r="G68" s="2"/>
      <c r="H68" s="2"/>
    </row>
    <row r="69" spans="4:8" x14ac:dyDescent="0.15">
      <c r="D69" s="2"/>
      <c r="E69" s="2"/>
      <c r="F69" s="2"/>
      <c r="G69" s="2"/>
      <c r="H69" s="2"/>
    </row>
    <row r="70" spans="4:8" x14ac:dyDescent="0.15">
      <c r="D70" s="2"/>
      <c r="E70" s="2"/>
      <c r="F70" s="2"/>
      <c r="G70" s="2"/>
      <c r="H70" s="2"/>
    </row>
    <row r="71" spans="4:8" x14ac:dyDescent="0.15">
      <c r="D71" s="2"/>
      <c r="E71" s="2"/>
      <c r="F71" s="2"/>
      <c r="G71" s="2"/>
      <c r="H71" s="2"/>
    </row>
    <row r="72" spans="4:8" x14ac:dyDescent="0.15">
      <c r="D72" s="2"/>
      <c r="E72" s="2"/>
      <c r="F72" s="2"/>
      <c r="G72" s="2"/>
      <c r="H72" s="2"/>
    </row>
    <row r="73" spans="4:8" x14ac:dyDescent="0.15">
      <c r="D73" s="2"/>
      <c r="E73" s="2"/>
      <c r="F73" s="2"/>
      <c r="G73" s="2"/>
      <c r="H73" s="2"/>
    </row>
    <row r="74" spans="4:8" x14ac:dyDescent="0.15">
      <c r="D74" s="2"/>
      <c r="E74" s="2"/>
      <c r="F74" s="2"/>
      <c r="G74" s="2"/>
      <c r="H74" s="2"/>
    </row>
    <row r="75" spans="4:8" x14ac:dyDescent="0.15">
      <c r="D75" s="2"/>
      <c r="E75" s="2"/>
      <c r="F75" s="2"/>
      <c r="G75" s="2"/>
      <c r="H75" s="2"/>
    </row>
    <row r="76" spans="4:8" x14ac:dyDescent="0.15">
      <c r="D76" s="2"/>
      <c r="E76" s="2"/>
      <c r="F76" s="2"/>
      <c r="G76" s="2"/>
      <c r="H76" s="2"/>
    </row>
    <row r="77" spans="4:8" x14ac:dyDescent="0.15">
      <c r="D77" s="2"/>
      <c r="E77" s="2"/>
      <c r="F77" s="2"/>
      <c r="G77" s="2"/>
      <c r="H77" s="2"/>
    </row>
    <row r="78" spans="4:8" x14ac:dyDescent="0.15">
      <c r="D78" s="2"/>
      <c r="E78" s="2"/>
      <c r="F78" s="2"/>
      <c r="G78" s="2"/>
      <c r="H78" s="2"/>
    </row>
    <row r="79" spans="4:8" x14ac:dyDescent="0.15">
      <c r="D79" s="2"/>
      <c r="E79" s="2"/>
      <c r="F79" s="2"/>
      <c r="G79" s="2"/>
      <c r="H79" s="2"/>
    </row>
    <row r="80" spans="4:8" x14ac:dyDescent="0.15">
      <c r="D80" s="2"/>
      <c r="E80" s="2"/>
      <c r="F80" s="2"/>
      <c r="G80" s="2"/>
      <c r="H80" s="2"/>
    </row>
    <row r="81" spans="4:8" x14ac:dyDescent="0.15">
      <c r="D81" s="2"/>
      <c r="E81" s="2"/>
      <c r="F81" s="2"/>
      <c r="G81" s="2"/>
      <c r="H81" s="2"/>
    </row>
    <row r="82" spans="4:8" x14ac:dyDescent="0.15">
      <c r="D82" s="2"/>
      <c r="E82" s="2"/>
      <c r="F82" s="2"/>
      <c r="G82" s="2"/>
      <c r="H82" s="2"/>
    </row>
    <row r="83" spans="4:8" x14ac:dyDescent="0.15">
      <c r="D83" s="2"/>
      <c r="E83" s="2"/>
      <c r="F83" s="2"/>
      <c r="G83" s="2"/>
      <c r="H83" s="2"/>
    </row>
    <row r="84" spans="4:8" x14ac:dyDescent="0.15">
      <c r="D84" s="2"/>
      <c r="E84" s="2"/>
      <c r="F84" s="2"/>
      <c r="G84" s="2"/>
      <c r="H84" s="2"/>
    </row>
    <row r="85" spans="4:8" x14ac:dyDescent="0.15">
      <c r="D85" s="2"/>
      <c r="E85" s="2"/>
      <c r="F85" s="2"/>
      <c r="G85" s="2"/>
      <c r="H85" s="2"/>
    </row>
    <row r="86" spans="4:8" x14ac:dyDescent="0.15">
      <c r="D86" s="2"/>
      <c r="E86" s="2"/>
      <c r="F86" s="2"/>
      <c r="G86" s="2"/>
      <c r="H86" s="2"/>
    </row>
    <row r="87" spans="4:8" x14ac:dyDescent="0.15">
      <c r="D87" s="2"/>
      <c r="E87" s="2"/>
      <c r="F87" s="2"/>
      <c r="G87" s="2"/>
      <c r="H87" s="2"/>
    </row>
    <row r="88" spans="4:8" x14ac:dyDescent="0.15">
      <c r="D88" s="2"/>
      <c r="E88" s="2"/>
      <c r="F88" s="2"/>
      <c r="G88" s="2"/>
      <c r="H88" s="2"/>
    </row>
    <row r="89" spans="4:8" x14ac:dyDescent="0.15">
      <c r="D89" s="2"/>
      <c r="E89" s="2"/>
      <c r="F89" s="2"/>
      <c r="G89" s="2"/>
      <c r="H89" s="2"/>
    </row>
    <row r="90" spans="4:8" x14ac:dyDescent="0.15">
      <c r="D90" s="2"/>
      <c r="E90" s="2"/>
      <c r="F90" s="2"/>
      <c r="G90" s="2"/>
      <c r="H90" s="2"/>
    </row>
    <row r="91" spans="4:8" x14ac:dyDescent="0.15">
      <c r="D91" s="2"/>
      <c r="E91" s="2"/>
      <c r="F91" s="2"/>
      <c r="G91" s="2"/>
      <c r="H91" s="2"/>
    </row>
    <row r="92" spans="4:8" x14ac:dyDescent="0.15">
      <c r="D92" s="2"/>
      <c r="E92" s="2"/>
      <c r="F92" s="2"/>
      <c r="G92" s="2"/>
      <c r="H92" s="2"/>
    </row>
    <row r="93" spans="4:8" x14ac:dyDescent="0.15">
      <c r="D93" s="2"/>
      <c r="E93" s="2"/>
      <c r="F93" s="2"/>
      <c r="G93" s="2"/>
      <c r="H93" s="2"/>
    </row>
    <row r="94" spans="4:8" x14ac:dyDescent="0.15">
      <c r="D94" s="2"/>
      <c r="E94" s="2"/>
      <c r="F94" s="2"/>
      <c r="G94" s="2"/>
      <c r="H94" s="2"/>
    </row>
    <row r="95" spans="4:8" x14ac:dyDescent="0.15">
      <c r="E95" s="2"/>
      <c r="F95" s="2"/>
      <c r="G95" s="2"/>
      <c r="H95" s="2"/>
    </row>
    <row r="96" spans="4:8" x14ac:dyDescent="0.15">
      <c r="E96" s="2"/>
      <c r="F96" s="2"/>
      <c r="G96" s="2"/>
      <c r="H96" s="2"/>
    </row>
    <row r="97" spans="5:8" x14ac:dyDescent="0.15">
      <c r="E97" s="2"/>
      <c r="F97" s="2"/>
      <c r="G97" s="2"/>
      <c r="H97" s="2"/>
    </row>
    <row r="98" spans="5:8" x14ac:dyDescent="0.15">
      <c r="E98" s="2"/>
      <c r="F98" s="2"/>
      <c r="G98" s="2"/>
      <c r="H98" s="2"/>
    </row>
    <row r="99" spans="5:8" x14ac:dyDescent="0.15">
      <c r="E99" s="2"/>
      <c r="F99" s="2"/>
      <c r="G99" s="2"/>
    </row>
    <row r="100" spans="5:8" x14ac:dyDescent="0.15">
      <c r="E100" s="2"/>
      <c r="F100" s="2"/>
      <c r="G100" s="2"/>
    </row>
    <row r="101" spans="5:8" x14ac:dyDescent="0.15">
      <c r="E101" s="2"/>
      <c r="F101" s="2"/>
      <c r="G101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2"/>
  <sheetViews>
    <sheetView tabSelected="1" workbookViewId="0">
      <pane ySplit="1" topLeftCell="A87" activePane="bottomLeft" state="frozen"/>
      <selection pane="bottomLeft" activeCell="C110" sqref="C110"/>
    </sheetView>
  </sheetViews>
  <sheetFormatPr defaultRowHeight="13.5" x14ac:dyDescent="0.15"/>
  <cols>
    <col min="1" max="1" width="9.375" style="25" customWidth="1"/>
    <col min="2" max="2" width="24" customWidth="1"/>
    <col min="3" max="3" width="29.375" customWidth="1"/>
    <col min="4" max="4" width="12" customWidth="1"/>
    <col min="5" max="5" width="14.875" customWidth="1"/>
    <col min="6" max="6" width="12.875" style="7" customWidth="1"/>
    <col min="9" max="9" width="30.375" customWidth="1"/>
  </cols>
  <sheetData>
    <row r="1" spans="1:10" x14ac:dyDescent="0.15">
      <c r="A1" s="25" t="s">
        <v>3</v>
      </c>
      <c r="B1" t="s">
        <v>6</v>
      </c>
      <c r="C1" t="s">
        <v>2</v>
      </c>
      <c r="D1" t="s">
        <v>0</v>
      </c>
      <c r="E1" t="s">
        <v>4</v>
      </c>
      <c r="F1" s="7" t="s">
        <v>5</v>
      </c>
    </row>
    <row r="2" spans="1:10" x14ac:dyDescent="0.15">
      <c r="A2" s="26" t="s">
        <v>30</v>
      </c>
      <c r="B2" t="str">
        <f>VLOOKUP(C2,辅助!$A$2:$B$11,2,0)</f>
        <v>深海捕鱼</v>
      </c>
      <c r="C2" s="16" t="s">
        <v>13</v>
      </c>
      <c r="D2" s="1">
        <v>1</v>
      </c>
      <c r="E2">
        <v>10.02</v>
      </c>
      <c r="F2" s="18">
        <f>IFERROR(E2/D2,0)</f>
        <v>10.02</v>
      </c>
      <c r="I2" s="16"/>
      <c r="J2" s="1"/>
    </row>
    <row r="3" spans="1:10" x14ac:dyDescent="0.15">
      <c r="A3" s="26" t="str">
        <f t="shared" ref="A3:A9" si="0">A2</f>
        <v>10月1日</v>
      </c>
      <c r="B3" t="str">
        <f>VLOOKUP(C3,辅助!$A$2:$B$11,2,0)</f>
        <v>深海捕鱼（新）</v>
      </c>
      <c r="C3" t="s">
        <v>14</v>
      </c>
      <c r="D3" s="1">
        <v>60</v>
      </c>
      <c r="E3">
        <v>471.33</v>
      </c>
      <c r="F3" s="18">
        <f t="shared" ref="F3:F66" si="1">IFERROR(E3/D3,0)</f>
        <v>7.8555000000000001</v>
      </c>
      <c r="I3" s="16"/>
      <c r="J3" s="1"/>
    </row>
    <row r="4" spans="1:10" x14ac:dyDescent="0.15">
      <c r="A4" s="26" t="str">
        <f t="shared" si="0"/>
        <v>10月1日</v>
      </c>
      <c r="B4" t="str">
        <f>VLOOKUP(C4,辅助!$A$2:$B$11,2,0)</f>
        <v>欢乐斗地主</v>
      </c>
      <c r="C4" s="16" t="s">
        <v>25</v>
      </c>
      <c r="D4" s="1">
        <v>3</v>
      </c>
      <c r="E4">
        <v>65.11</v>
      </c>
      <c r="F4" s="18">
        <f t="shared" si="1"/>
        <v>21.703333333333333</v>
      </c>
      <c r="I4" s="16"/>
      <c r="J4" s="1"/>
    </row>
    <row r="5" spans="1:10" x14ac:dyDescent="0.15">
      <c r="A5" s="26" t="str">
        <f t="shared" si="0"/>
        <v>10月1日</v>
      </c>
      <c r="B5" t="str">
        <f>VLOOKUP(C5,辅助!$A$2:$B$11,2,0)</f>
        <v>欢乐斗地主（新）</v>
      </c>
      <c r="C5" t="s">
        <v>26</v>
      </c>
      <c r="D5" s="1">
        <v>68</v>
      </c>
      <c r="E5">
        <v>644.67999999999995</v>
      </c>
      <c r="F5" s="18">
        <f t="shared" si="1"/>
        <v>9.4805882352941175</v>
      </c>
      <c r="I5" s="16"/>
      <c r="J5" s="1"/>
    </row>
    <row r="6" spans="1:10" x14ac:dyDescent="0.15">
      <c r="A6" s="26" t="str">
        <f t="shared" si="0"/>
        <v>10月1日</v>
      </c>
      <c r="B6" t="str">
        <f>VLOOKUP(C6,辅助!$A$2:$B$11,2,0)</f>
        <v>全民跑酷</v>
      </c>
      <c r="C6" s="16" t="s">
        <v>15</v>
      </c>
      <c r="D6" s="1">
        <v>46</v>
      </c>
      <c r="E6">
        <v>170.38</v>
      </c>
      <c r="F6" s="18">
        <f t="shared" si="1"/>
        <v>3.7039130434782606</v>
      </c>
      <c r="I6" s="16"/>
      <c r="J6" s="1"/>
    </row>
    <row r="7" spans="1:10" x14ac:dyDescent="0.15">
      <c r="A7" s="26" t="str">
        <f t="shared" si="0"/>
        <v>10月1日</v>
      </c>
      <c r="B7" t="str">
        <f>VLOOKUP(C7,辅助!$A$2:$B$11,2,0)</f>
        <v>全民跑酷（新）</v>
      </c>
      <c r="C7" t="s">
        <v>16</v>
      </c>
      <c r="D7" s="1">
        <v>82</v>
      </c>
      <c r="E7">
        <v>440.05</v>
      </c>
      <c r="F7" s="18">
        <f t="shared" si="1"/>
        <v>5.3664634146341461</v>
      </c>
      <c r="I7" s="16"/>
      <c r="J7" s="1"/>
    </row>
    <row r="8" spans="1:10" x14ac:dyDescent="0.15">
      <c r="A8" s="26" t="str">
        <f t="shared" si="0"/>
        <v>10月1日</v>
      </c>
      <c r="B8" t="str">
        <f>VLOOKUP(C8,辅助!$A$2:$B$11,2,0)</f>
        <v>欢乐消消乐（新）</v>
      </c>
      <c r="C8" s="16" t="s">
        <v>18</v>
      </c>
      <c r="D8" s="1">
        <v>221</v>
      </c>
      <c r="E8">
        <v>714.67</v>
      </c>
      <c r="F8" s="18">
        <f t="shared" si="1"/>
        <v>3.2338009049773753</v>
      </c>
      <c r="I8" s="16"/>
      <c r="J8" s="1"/>
    </row>
    <row r="9" spans="1:10" x14ac:dyDescent="0.15">
      <c r="A9" s="26" t="str">
        <f t="shared" si="0"/>
        <v>10月1日</v>
      </c>
      <c r="B9" t="str">
        <f>VLOOKUP(C9,辅助!$A$2:$B$11,2,0)</f>
        <v>欢乐消消乐</v>
      </c>
      <c r="C9" t="s">
        <v>17</v>
      </c>
      <c r="D9" s="1">
        <v>35</v>
      </c>
      <c r="E9">
        <v>97.14</v>
      </c>
      <c r="F9" s="18">
        <f t="shared" si="1"/>
        <v>2.7754285714285714</v>
      </c>
      <c r="I9" s="16"/>
      <c r="J9" s="1"/>
    </row>
    <row r="10" spans="1:10" x14ac:dyDescent="0.15">
      <c r="A10" s="26" t="s">
        <v>31</v>
      </c>
      <c r="B10" t="str">
        <f>VLOOKUP(C10,辅助!$A$2:$B$11,2,0)</f>
        <v>深海捕鱼</v>
      </c>
      <c r="C10" s="16" t="s">
        <v>13</v>
      </c>
      <c r="D10" s="1">
        <v>5</v>
      </c>
      <c r="E10">
        <v>76.61</v>
      </c>
      <c r="F10" s="18">
        <f t="shared" si="1"/>
        <v>15.321999999999999</v>
      </c>
      <c r="I10" s="16"/>
      <c r="J10" s="1"/>
    </row>
    <row r="11" spans="1:10" x14ac:dyDescent="0.15">
      <c r="A11" s="26" t="str">
        <f t="shared" ref="A11:A17" si="2">A10</f>
        <v>10月2日</v>
      </c>
      <c r="B11" t="str">
        <f>VLOOKUP(C11,辅助!$A$2:$B$11,2,0)</f>
        <v>深海捕鱼（新）</v>
      </c>
      <c r="C11" t="s">
        <v>14</v>
      </c>
      <c r="D11" s="1">
        <v>64</v>
      </c>
      <c r="E11">
        <v>298.48</v>
      </c>
      <c r="F11" s="18">
        <f t="shared" si="1"/>
        <v>4.6637500000000003</v>
      </c>
    </row>
    <row r="12" spans="1:10" x14ac:dyDescent="0.15">
      <c r="A12" s="26" t="str">
        <f t="shared" si="2"/>
        <v>10月2日</v>
      </c>
      <c r="B12" t="str">
        <f>VLOOKUP(C12,辅助!$A$2:$B$11,2,0)</f>
        <v>欢乐斗地主</v>
      </c>
      <c r="C12" s="16" t="s">
        <v>25</v>
      </c>
      <c r="D12" s="1">
        <v>7</v>
      </c>
      <c r="E12">
        <v>0.1</v>
      </c>
      <c r="F12" s="18">
        <f t="shared" si="1"/>
        <v>1.4285714285714287E-2</v>
      </c>
    </row>
    <row r="13" spans="1:10" x14ac:dyDescent="0.15">
      <c r="A13" s="26" t="str">
        <f t="shared" si="2"/>
        <v>10月2日</v>
      </c>
      <c r="B13" t="str">
        <f>VLOOKUP(C13,辅助!$A$2:$B$11,2,0)</f>
        <v>欢乐斗地主（新）</v>
      </c>
      <c r="C13" t="s">
        <v>26</v>
      </c>
      <c r="D13" s="1">
        <v>65</v>
      </c>
      <c r="E13">
        <v>329.44</v>
      </c>
      <c r="F13" s="18">
        <f t="shared" si="1"/>
        <v>5.068307692307692</v>
      </c>
    </row>
    <row r="14" spans="1:10" x14ac:dyDescent="0.15">
      <c r="A14" s="26" t="str">
        <f t="shared" si="2"/>
        <v>10月2日</v>
      </c>
      <c r="B14" t="str">
        <f>VLOOKUP(C14,辅助!$A$2:$B$11,2,0)</f>
        <v>全民跑酷</v>
      </c>
      <c r="C14" s="16" t="s">
        <v>15</v>
      </c>
      <c r="D14" s="1">
        <v>29</v>
      </c>
      <c r="E14">
        <v>149.25</v>
      </c>
      <c r="F14" s="18">
        <f t="shared" si="1"/>
        <v>5.1465517241379306</v>
      </c>
    </row>
    <row r="15" spans="1:10" x14ac:dyDescent="0.15">
      <c r="A15" s="26" t="str">
        <f t="shared" si="2"/>
        <v>10月2日</v>
      </c>
      <c r="B15" t="str">
        <f>VLOOKUP(C15,辅助!$A$2:$B$11,2,0)</f>
        <v>全民跑酷（新）</v>
      </c>
      <c r="C15" t="s">
        <v>16</v>
      </c>
      <c r="D15" s="1">
        <v>110</v>
      </c>
      <c r="E15">
        <v>375.4</v>
      </c>
      <c r="F15" s="18">
        <f t="shared" si="1"/>
        <v>3.4127272727272726</v>
      </c>
    </row>
    <row r="16" spans="1:10" x14ac:dyDescent="0.15">
      <c r="A16" s="26" t="str">
        <f t="shared" si="2"/>
        <v>10月2日</v>
      </c>
      <c r="B16" t="str">
        <f>VLOOKUP(C16,辅助!$A$2:$B$11,2,0)</f>
        <v>欢乐消消乐（新）</v>
      </c>
      <c r="C16" s="16" t="s">
        <v>18</v>
      </c>
      <c r="D16" s="1">
        <v>182</v>
      </c>
      <c r="E16">
        <v>599.44000000000005</v>
      </c>
      <c r="F16" s="18">
        <f t="shared" si="1"/>
        <v>3.293626373626374</v>
      </c>
    </row>
    <row r="17" spans="1:6" x14ac:dyDescent="0.15">
      <c r="A17" s="26" t="str">
        <f t="shared" si="2"/>
        <v>10月2日</v>
      </c>
      <c r="B17" t="str">
        <f>VLOOKUP(C17,辅助!$A$2:$B$11,2,0)</f>
        <v>欢乐消消乐</v>
      </c>
      <c r="C17" t="s">
        <v>17</v>
      </c>
      <c r="D17" s="1">
        <v>24</v>
      </c>
      <c r="E17">
        <v>130.01</v>
      </c>
      <c r="F17" s="18">
        <f t="shared" si="1"/>
        <v>5.4170833333333333</v>
      </c>
    </row>
    <row r="18" spans="1:6" x14ac:dyDescent="0.15">
      <c r="A18" s="26" t="s">
        <v>32</v>
      </c>
      <c r="B18" t="str">
        <f>VLOOKUP(C18,辅助!$A$2:$B$11,2,0)</f>
        <v>深海捕鱼（新）</v>
      </c>
      <c r="C18" s="16" t="s">
        <v>14</v>
      </c>
      <c r="D18" s="1">
        <v>46</v>
      </c>
      <c r="E18">
        <v>357.55</v>
      </c>
      <c r="F18" s="18">
        <f t="shared" si="1"/>
        <v>7.7728260869565222</v>
      </c>
    </row>
    <row r="19" spans="1:6" x14ac:dyDescent="0.15">
      <c r="A19" s="26" t="str">
        <f t="shared" ref="A19:A24" si="3">A18</f>
        <v>10月3日</v>
      </c>
      <c r="B19" t="str">
        <f>VLOOKUP(C19,辅助!$A$2:$B$11,2,0)</f>
        <v>欢乐斗地主</v>
      </c>
      <c r="C19" t="s">
        <v>25</v>
      </c>
      <c r="D19" s="1">
        <v>0</v>
      </c>
      <c r="E19">
        <v>59</v>
      </c>
      <c r="F19" s="18">
        <f t="shared" si="1"/>
        <v>0</v>
      </c>
    </row>
    <row r="20" spans="1:6" x14ac:dyDescent="0.15">
      <c r="A20" s="26" t="str">
        <f t="shared" si="3"/>
        <v>10月3日</v>
      </c>
      <c r="B20" t="str">
        <f>VLOOKUP(C20,辅助!$A$2:$B$11,2,0)</f>
        <v>欢乐斗地主（新）</v>
      </c>
      <c r="C20" s="16" t="s">
        <v>26</v>
      </c>
      <c r="D20" s="1">
        <v>79</v>
      </c>
      <c r="E20">
        <v>974.91</v>
      </c>
      <c r="F20" s="18">
        <f t="shared" si="1"/>
        <v>12.340632911392404</v>
      </c>
    </row>
    <row r="21" spans="1:6" x14ac:dyDescent="0.15">
      <c r="A21" s="26" t="str">
        <f t="shared" si="3"/>
        <v>10月3日</v>
      </c>
      <c r="B21" t="str">
        <f>VLOOKUP(C21,辅助!$A$2:$B$11,2,0)</f>
        <v>全民跑酷</v>
      </c>
      <c r="C21" t="s">
        <v>15</v>
      </c>
      <c r="D21" s="1">
        <v>40</v>
      </c>
      <c r="E21">
        <v>199.57</v>
      </c>
      <c r="F21" s="18">
        <f t="shared" si="1"/>
        <v>4.9892500000000002</v>
      </c>
    </row>
    <row r="22" spans="1:6" x14ac:dyDescent="0.15">
      <c r="A22" s="26" t="str">
        <f t="shared" si="3"/>
        <v>10月3日</v>
      </c>
      <c r="B22" t="str">
        <f>VLOOKUP(C22,辅助!$A$2:$B$11,2,0)</f>
        <v>全民跑酷（新）</v>
      </c>
      <c r="C22" s="16" t="s">
        <v>16</v>
      </c>
      <c r="D22" s="1">
        <v>83</v>
      </c>
      <c r="E22">
        <v>180.1</v>
      </c>
      <c r="F22" s="18">
        <f t="shared" si="1"/>
        <v>2.169879518072289</v>
      </c>
    </row>
    <row r="23" spans="1:6" x14ac:dyDescent="0.15">
      <c r="A23" s="26" t="str">
        <f t="shared" si="3"/>
        <v>10月3日</v>
      </c>
      <c r="B23" t="str">
        <f>VLOOKUP(C23,辅助!$A$2:$B$11,2,0)</f>
        <v>欢乐消消乐（新）</v>
      </c>
      <c r="C23" t="s">
        <v>18</v>
      </c>
      <c r="D23" s="1">
        <v>208</v>
      </c>
      <c r="E23">
        <v>389.48</v>
      </c>
      <c r="F23" s="18">
        <f t="shared" si="1"/>
        <v>1.8725000000000001</v>
      </c>
    </row>
    <row r="24" spans="1:6" x14ac:dyDescent="0.15">
      <c r="A24" s="26" t="str">
        <f t="shared" si="3"/>
        <v>10月3日</v>
      </c>
      <c r="B24" t="str">
        <f>VLOOKUP(C24,辅助!$A$2:$B$11,2,0)</f>
        <v>欢乐消消乐</v>
      </c>
      <c r="C24" s="16" t="s">
        <v>17</v>
      </c>
      <c r="D24" s="1">
        <v>15</v>
      </c>
      <c r="E24">
        <v>66.459999999999994</v>
      </c>
      <c r="F24" s="18">
        <f t="shared" si="1"/>
        <v>4.4306666666666663</v>
      </c>
    </row>
    <row r="25" spans="1:6" x14ac:dyDescent="0.15">
      <c r="A25" s="26" t="s">
        <v>33</v>
      </c>
      <c r="B25" t="str">
        <f>VLOOKUP(C25,辅助!$A$2:$B$11,2,0)</f>
        <v>深海捕鱼（新）</v>
      </c>
      <c r="C25" t="s">
        <v>14</v>
      </c>
      <c r="D25" s="1">
        <v>39</v>
      </c>
      <c r="E25">
        <v>177.45</v>
      </c>
      <c r="F25" s="18">
        <f t="shared" si="1"/>
        <v>4.55</v>
      </c>
    </row>
    <row r="26" spans="1:6" x14ac:dyDescent="0.15">
      <c r="A26" s="26" t="str">
        <f t="shared" ref="A26:A31" si="4">A25</f>
        <v>10月4日</v>
      </c>
      <c r="B26" t="str">
        <f>VLOOKUP(C26,辅助!$A$2:$B$11,2,0)</f>
        <v>欢乐斗地主</v>
      </c>
      <c r="C26" s="16" t="s">
        <v>25</v>
      </c>
      <c r="D26" s="1">
        <v>0</v>
      </c>
      <c r="E26">
        <v>49.12</v>
      </c>
      <c r="F26" s="18">
        <f t="shared" si="1"/>
        <v>0</v>
      </c>
    </row>
    <row r="27" spans="1:6" x14ac:dyDescent="0.15">
      <c r="A27" s="26" t="str">
        <f t="shared" si="4"/>
        <v>10月4日</v>
      </c>
      <c r="B27" t="str">
        <f>VLOOKUP(C27,辅助!$A$2:$B$11,2,0)</f>
        <v>欢乐斗地主（新）</v>
      </c>
      <c r="C27" t="s">
        <v>26</v>
      </c>
      <c r="D27" s="1">
        <v>61</v>
      </c>
      <c r="E27">
        <v>945.46</v>
      </c>
      <c r="F27" s="18">
        <f t="shared" si="1"/>
        <v>15.499344262295082</v>
      </c>
    </row>
    <row r="28" spans="1:6" x14ac:dyDescent="0.15">
      <c r="A28" s="26" t="str">
        <f t="shared" si="4"/>
        <v>10月4日</v>
      </c>
      <c r="B28" t="str">
        <f>VLOOKUP(C28,辅助!$A$2:$B$11,2,0)</f>
        <v>全民跑酷</v>
      </c>
      <c r="C28" s="16" t="s">
        <v>15</v>
      </c>
      <c r="D28" s="1">
        <v>32</v>
      </c>
      <c r="E28">
        <v>18</v>
      </c>
      <c r="F28" s="18">
        <f t="shared" si="1"/>
        <v>0.5625</v>
      </c>
    </row>
    <row r="29" spans="1:6" x14ac:dyDescent="0.15">
      <c r="A29" s="26" t="str">
        <f t="shared" si="4"/>
        <v>10月4日</v>
      </c>
      <c r="B29" t="str">
        <f>VLOOKUP(C29,辅助!$A$2:$B$11,2,0)</f>
        <v>全民跑酷（新）</v>
      </c>
      <c r="C29" t="s">
        <v>16</v>
      </c>
      <c r="D29" s="1">
        <v>83</v>
      </c>
      <c r="E29">
        <v>200.63</v>
      </c>
      <c r="F29" s="18">
        <f t="shared" si="1"/>
        <v>2.4172289156626507</v>
      </c>
    </row>
    <row r="30" spans="1:6" x14ac:dyDescent="0.15">
      <c r="A30" s="26" t="str">
        <f t="shared" si="4"/>
        <v>10月4日</v>
      </c>
      <c r="B30" t="str">
        <f>VLOOKUP(C30,辅助!$A$2:$B$11,2,0)</f>
        <v>欢乐消消乐（新）</v>
      </c>
      <c r="C30" s="16" t="s">
        <v>18</v>
      </c>
      <c r="D30" s="1">
        <v>214</v>
      </c>
      <c r="E30">
        <v>525.97</v>
      </c>
      <c r="F30" s="18">
        <f t="shared" si="1"/>
        <v>2.4578037383177573</v>
      </c>
    </row>
    <row r="31" spans="1:6" x14ac:dyDescent="0.15">
      <c r="A31" s="26" t="str">
        <f t="shared" si="4"/>
        <v>10月4日</v>
      </c>
      <c r="B31" t="str">
        <f>VLOOKUP(C31,辅助!$A$2:$B$11,2,0)</f>
        <v>欢乐消消乐</v>
      </c>
      <c r="C31" t="s">
        <v>17</v>
      </c>
      <c r="D31" s="1">
        <v>15</v>
      </c>
      <c r="E31">
        <v>174.33</v>
      </c>
      <c r="F31" s="18">
        <f t="shared" si="1"/>
        <v>11.622000000000002</v>
      </c>
    </row>
    <row r="32" spans="1:6" x14ac:dyDescent="0.15">
      <c r="A32" s="26" t="s">
        <v>34</v>
      </c>
      <c r="B32" t="str">
        <f>VLOOKUP(C32,辅助!$A$2:$B$11,2,0)</f>
        <v>深海捕鱼</v>
      </c>
      <c r="C32" s="16" t="s">
        <v>13</v>
      </c>
      <c r="D32" s="1">
        <v>2</v>
      </c>
      <c r="E32">
        <v>50.1</v>
      </c>
      <c r="F32" s="18">
        <f t="shared" si="1"/>
        <v>25.05</v>
      </c>
    </row>
    <row r="33" spans="1:6" x14ac:dyDescent="0.15">
      <c r="A33" s="26" t="str">
        <f t="shared" ref="A33:A38" si="5">A32</f>
        <v>10月5日</v>
      </c>
      <c r="B33" t="str">
        <f>VLOOKUP(C33,辅助!$A$2:$B$11,2,0)</f>
        <v>深海捕鱼（新）</v>
      </c>
      <c r="C33" t="s">
        <v>14</v>
      </c>
      <c r="D33" s="1">
        <v>42</v>
      </c>
      <c r="E33">
        <v>241.13</v>
      </c>
      <c r="F33" s="18">
        <f t="shared" si="1"/>
        <v>5.741190476190476</v>
      </c>
    </row>
    <row r="34" spans="1:6" x14ac:dyDescent="0.15">
      <c r="A34" s="26" t="str">
        <f t="shared" si="5"/>
        <v>10月5日</v>
      </c>
      <c r="B34" t="str">
        <f>VLOOKUP(C34,辅助!$A$2:$B$11,2,0)</f>
        <v>欢乐斗地主（新）</v>
      </c>
      <c r="C34" s="16" t="s">
        <v>26</v>
      </c>
      <c r="D34" s="1">
        <v>54</v>
      </c>
      <c r="E34">
        <v>1165.82</v>
      </c>
      <c r="F34" s="18">
        <f t="shared" si="1"/>
        <v>21.589259259259258</v>
      </c>
    </row>
    <row r="35" spans="1:6" x14ac:dyDescent="0.15">
      <c r="A35" s="26" t="str">
        <f t="shared" si="5"/>
        <v>10月5日</v>
      </c>
      <c r="B35" t="str">
        <f>VLOOKUP(C35,辅助!$A$2:$B$11,2,0)</f>
        <v>全民跑酷</v>
      </c>
      <c r="C35" t="s">
        <v>15</v>
      </c>
      <c r="D35" s="1">
        <v>32</v>
      </c>
      <c r="E35">
        <v>149.03</v>
      </c>
      <c r="F35" s="18">
        <f t="shared" si="1"/>
        <v>4.6571875</v>
      </c>
    </row>
    <row r="36" spans="1:6" x14ac:dyDescent="0.15">
      <c r="A36" s="26" t="str">
        <f t="shared" si="5"/>
        <v>10月5日</v>
      </c>
      <c r="B36" t="str">
        <f>VLOOKUP(C36,辅助!$A$2:$B$11,2,0)</f>
        <v>全民跑酷（新）</v>
      </c>
      <c r="C36" s="16" t="s">
        <v>16</v>
      </c>
      <c r="D36" s="1">
        <v>54</v>
      </c>
      <c r="E36">
        <v>265.7</v>
      </c>
      <c r="F36" s="18">
        <f t="shared" si="1"/>
        <v>4.9203703703703701</v>
      </c>
    </row>
    <row r="37" spans="1:6" x14ac:dyDescent="0.15">
      <c r="A37" s="26" t="str">
        <f t="shared" si="5"/>
        <v>10月5日</v>
      </c>
      <c r="B37" t="str">
        <f>VLOOKUP(C37,辅助!$A$2:$B$11,2,0)</f>
        <v>欢乐消消乐（新）</v>
      </c>
      <c r="C37" t="s">
        <v>18</v>
      </c>
      <c r="D37" s="1">
        <v>198</v>
      </c>
      <c r="E37">
        <v>587.17999999999995</v>
      </c>
      <c r="F37" s="18">
        <f t="shared" si="1"/>
        <v>2.9655555555555555</v>
      </c>
    </row>
    <row r="38" spans="1:6" x14ac:dyDescent="0.15">
      <c r="A38" s="26" t="str">
        <f t="shared" si="5"/>
        <v>10月5日</v>
      </c>
      <c r="B38" t="str">
        <f>VLOOKUP(C38,辅助!$A$2:$B$11,2,0)</f>
        <v>欢乐消消乐</v>
      </c>
      <c r="C38" s="16" t="s">
        <v>17</v>
      </c>
      <c r="D38" s="1">
        <v>10</v>
      </c>
      <c r="E38">
        <v>74.099999999999994</v>
      </c>
      <c r="F38" s="18">
        <f t="shared" si="1"/>
        <v>7.4099999999999993</v>
      </c>
    </row>
    <row r="39" spans="1:6" x14ac:dyDescent="0.15">
      <c r="A39" s="26" t="s">
        <v>35</v>
      </c>
      <c r="B39" t="str">
        <f>VLOOKUP(C39,辅助!$A$2:$B$11,2,0)</f>
        <v>深海捕鱼</v>
      </c>
      <c r="C39" t="s">
        <v>13</v>
      </c>
      <c r="D39" s="1">
        <v>1</v>
      </c>
      <c r="E39">
        <v>57</v>
      </c>
      <c r="F39" s="18">
        <f t="shared" si="1"/>
        <v>57</v>
      </c>
    </row>
    <row r="40" spans="1:6" x14ac:dyDescent="0.15">
      <c r="A40" s="26" t="str">
        <f t="shared" ref="A40:A45" si="6">A39</f>
        <v>10月6日</v>
      </c>
      <c r="B40" t="str">
        <f>VLOOKUP(C40,辅助!$A$2:$B$11,2,0)</f>
        <v>深海捕鱼（新）</v>
      </c>
      <c r="C40" s="16" t="s">
        <v>14</v>
      </c>
      <c r="D40" s="1">
        <v>38</v>
      </c>
      <c r="E40">
        <v>395.09</v>
      </c>
      <c r="F40" s="18">
        <f t="shared" si="1"/>
        <v>10.397105263157894</v>
      </c>
    </row>
    <row r="41" spans="1:6" x14ac:dyDescent="0.15">
      <c r="A41" s="26" t="str">
        <f t="shared" si="6"/>
        <v>10月6日</v>
      </c>
      <c r="B41" t="str">
        <f>VLOOKUP(C41,辅助!$A$2:$B$11,2,0)</f>
        <v>欢乐斗地主（新）</v>
      </c>
      <c r="C41" t="s">
        <v>26</v>
      </c>
      <c r="D41" s="1">
        <v>59</v>
      </c>
      <c r="E41">
        <v>1356.17</v>
      </c>
      <c r="F41" s="18">
        <f t="shared" si="1"/>
        <v>22.985932203389833</v>
      </c>
    </row>
    <row r="42" spans="1:6" x14ac:dyDescent="0.15">
      <c r="A42" s="26" t="str">
        <f t="shared" si="6"/>
        <v>10月6日</v>
      </c>
      <c r="B42" t="str">
        <f>VLOOKUP(C42,辅助!$A$2:$B$11,2,0)</f>
        <v>全民跑酷</v>
      </c>
      <c r="C42" s="16" t="s">
        <v>15</v>
      </c>
      <c r="D42" s="1">
        <v>17</v>
      </c>
      <c r="E42">
        <v>93.14</v>
      </c>
      <c r="F42" s="18">
        <f t="shared" si="1"/>
        <v>5.4788235294117644</v>
      </c>
    </row>
    <row r="43" spans="1:6" x14ac:dyDescent="0.15">
      <c r="A43" s="26" t="str">
        <f t="shared" si="6"/>
        <v>10月6日</v>
      </c>
      <c r="B43" t="str">
        <f>VLOOKUP(C43,辅助!$A$2:$B$11,2,0)</f>
        <v>全民跑酷（新）</v>
      </c>
      <c r="C43" t="s">
        <v>16</v>
      </c>
      <c r="D43" s="1">
        <v>63</v>
      </c>
      <c r="E43">
        <v>256.02</v>
      </c>
      <c r="F43" s="18">
        <f t="shared" si="1"/>
        <v>4.0638095238095238</v>
      </c>
    </row>
    <row r="44" spans="1:6" x14ac:dyDescent="0.15">
      <c r="A44" s="26" t="str">
        <f t="shared" si="6"/>
        <v>10月6日</v>
      </c>
      <c r="B44" t="str">
        <f>VLOOKUP(C44,辅助!$A$2:$B$11,2,0)</f>
        <v>欢乐消消乐（新）</v>
      </c>
      <c r="C44" s="16" t="s">
        <v>18</v>
      </c>
      <c r="D44" s="1">
        <v>172</v>
      </c>
      <c r="E44">
        <v>748.44</v>
      </c>
      <c r="F44" s="18">
        <f t="shared" si="1"/>
        <v>4.3513953488372099</v>
      </c>
    </row>
    <row r="45" spans="1:6" x14ac:dyDescent="0.15">
      <c r="A45" s="26" t="str">
        <f t="shared" si="6"/>
        <v>10月6日</v>
      </c>
      <c r="B45" t="str">
        <f>VLOOKUP(C45,辅助!$A$2:$B$11,2,0)</f>
        <v>欢乐消消乐</v>
      </c>
      <c r="C45" t="s">
        <v>17</v>
      </c>
      <c r="D45" s="1">
        <v>16</v>
      </c>
      <c r="E45">
        <v>88.49</v>
      </c>
      <c r="F45" s="18">
        <f t="shared" si="1"/>
        <v>5.5306249999999997</v>
      </c>
    </row>
    <row r="46" spans="1:6" x14ac:dyDescent="0.15">
      <c r="A46" s="26" t="s">
        <v>36</v>
      </c>
      <c r="B46" t="str">
        <f>VLOOKUP(C46,辅助!$A$2:$B$11,2,0)</f>
        <v>深海捕鱼</v>
      </c>
      <c r="C46" s="16" t="s">
        <v>13</v>
      </c>
      <c r="D46" s="1">
        <v>3</v>
      </c>
      <c r="E46">
        <v>69.540000000000006</v>
      </c>
      <c r="F46" s="18">
        <f t="shared" si="1"/>
        <v>23.180000000000003</v>
      </c>
    </row>
    <row r="47" spans="1:6" x14ac:dyDescent="0.15">
      <c r="A47" s="26" t="str">
        <f t="shared" ref="A47:A53" si="7">A46</f>
        <v>10月7日</v>
      </c>
      <c r="B47" t="str">
        <f>VLOOKUP(C47,辅助!$A$2:$B$11,2,0)</f>
        <v>深海捕鱼（新）</v>
      </c>
      <c r="C47" t="s">
        <v>14</v>
      </c>
      <c r="D47" s="1">
        <v>31</v>
      </c>
      <c r="E47">
        <v>317.7</v>
      </c>
      <c r="F47" s="18">
        <f t="shared" si="1"/>
        <v>10.248387096774193</v>
      </c>
    </row>
    <row r="48" spans="1:6" x14ac:dyDescent="0.15">
      <c r="A48" s="26" t="str">
        <f t="shared" si="7"/>
        <v>10月7日</v>
      </c>
      <c r="B48" t="str">
        <f>VLOOKUP(C48,辅助!$A$2:$B$11,2,0)</f>
        <v>欢乐斗地主</v>
      </c>
      <c r="C48" s="16" t="s">
        <v>25</v>
      </c>
      <c r="D48" s="1">
        <v>2</v>
      </c>
      <c r="E48">
        <v>60</v>
      </c>
      <c r="F48" s="18">
        <f t="shared" si="1"/>
        <v>30</v>
      </c>
    </row>
    <row r="49" spans="1:6" x14ac:dyDescent="0.15">
      <c r="A49" s="26" t="str">
        <f t="shared" si="7"/>
        <v>10月7日</v>
      </c>
      <c r="B49" t="str">
        <f>VLOOKUP(C49,辅助!$A$2:$B$11,2,0)</f>
        <v>欢乐斗地主（新）</v>
      </c>
      <c r="C49" t="s">
        <v>26</v>
      </c>
      <c r="D49" s="1">
        <v>53</v>
      </c>
      <c r="E49">
        <v>865.32</v>
      </c>
      <c r="F49" s="18">
        <f t="shared" si="1"/>
        <v>16.32679245283019</v>
      </c>
    </row>
    <row r="50" spans="1:6" x14ac:dyDescent="0.15">
      <c r="A50" s="26" t="str">
        <f t="shared" si="7"/>
        <v>10月7日</v>
      </c>
      <c r="B50" t="str">
        <f>VLOOKUP(C50,辅助!$A$2:$B$11,2,0)</f>
        <v>全民跑酷</v>
      </c>
      <c r="C50" s="16" t="s">
        <v>15</v>
      </c>
      <c r="D50" s="1">
        <v>19</v>
      </c>
      <c r="E50">
        <v>92.54</v>
      </c>
      <c r="F50" s="18">
        <f t="shared" si="1"/>
        <v>4.8705263157894736</v>
      </c>
    </row>
    <row r="51" spans="1:6" x14ac:dyDescent="0.15">
      <c r="A51" s="26" t="str">
        <f t="shared" si="7"/>
        <v>10月7日</v>
      </c>
      <c r="B51" t="str">
        <f>VLOOKUP(C51,辅助!$A$2:$B$11,2,0)</f>
        <v>全民跑酷（新）</v>
      </c>
      <c r="C51" t="s">
        <v>16</v>
      </c>
      <c r="D51" s="1">
        <v>64</v>
      </c>
      <c r="E51">
        <v>267.74</v>
      </c>
      <c r="F51" s="18">
        <f t="shared" si="1"/>
        <v>4.1834375000000001</v>
      </c>
    </row>
    <row r="52" spans="1:6" x14ac:dyDescent="0.15">
      <c r="A52" s="26" t="str">
        <f t="shared" si="7"/>
        <v>10月7日</v>
      </c>
      <c r="B52" t="str">
        <f>VLOOKUP(C52,辅助!$A$2:$B$11,2,0)</f>
        <v>欢乐消消乐（新）</v>
      </c>
      <c r="C52" s="16" t="s">
        <v>18</v>
      </c>
      <c r="D52" s="1">
        <v>159</v>
      </c>
      <c r="E52">
        <v>1126.83</v>
      </c>
      <c r="F52" s="18">
        <f t="shared" si="1"/>
        <v>7.0869811320754712</v>
      </c>
    </row>
    <row r="53" spans="1:6" x14ac:dyDescent="0.15">
      <c r="A53" s="26" t="str">
        <f t="shared" si="7"/>
        <v>10月7日</v>
      </c>
      <c r="B53" t="str">
        <f>VLOOKUP(C53,辅助!$A$2:$B$11,2,0)</f>
        <v>欢乐消消乐</v>
      </c>
      <c r="C53" t="s">
        <v>17</v>
      </c>
      <c r="D53" s="1">
        <v>11</v>
      </c>
      <c r="E53">
        <v>75</v>
      </c>
      <c r="F53" s="18">
        <f t="shared" si="1"/>
        <v>6.8181818181818183</v>
      </c>
    </row>
    <row r="54" spans="1:6" x14ac:dyDescent="0.15">
      <c r="A54" s="26" t="s">
        <v>37</v>
      </c>
      <c r="B54" t="str">
        <f>VLOOKUP(C54,辅助!$A$2:$B$11,2,0)</f>
        <v>深海捕鱼（新）</v>
      </c>
      <c r="C54" s="16" t="s">
        <v>14</v>
      </c>
      <c r="D54" s="1">
        <v>32</v>
      </c>
      <c r="E54">
        <v>60.17</v>
      </c>
      <c r="F54" s="18">
        <f t="shared" si="1"/>
        <v>1.8803125000000001</v>
      </c>
    </row>
    <row r="55" spans="1:6" x14ac:dyDescent="0.15">
      <c r="A55" s="26" t="str">
        <f t="shared" ref="A55:A59" si="8">A54</f>
        <v>10月8日</v>
      </c>
      <c r="B55" t="str">
        <f>VLOOKUP(C55,辅助!$A$2:$B$11,2,0)</f>
        <v>欢乐斗地主（新）</v>
      </c>
      <c r="C55" t="s">
        <v>26</v>
      </c>
      <c r="D55" s="1">
        <v>47</v>
      </c>
      <c r="E55">
        <v>1134.29</v>
      </c>
      <c r="F55" s="18">
        <f t="shared" si="1"/>
        <v>24.133829787234042</v>
      </c>
    </row>
    <row r="56" spans="1:6" x14ac:dyDescent="0.15">
      <c r="A56" s="26" t="str">
        <f t="shared" si="8"/>
        <v>10月8日</v>
      </c>
      <c r="B56" t="str">
        <f>VLOOKUP(C56,辅助!$A$2:$B$11,2,0)</f>
        <v>全民跑酷</v>
      </c>
      <c r="C56" s="16" t="s">
        <v>15</v>
      </c>
      <c r="D56" s="1">
        <v>16</v>
      </c>
      <c r="E56">
        <v>69</v>
      </c>
      <c r="F56" s="18">
        <f t="shared" si="1"/>
        <v>4.3125</v>
      </c>
    </row>
    <row r="57" spans="1:6" x14ac:dyDescent="0.15">
      <c r="A57" s="26" t="str">
        <f t="shared" si="8"/>
        <v>10月8日</v>
      </c>
      <c r="B57" t="str">
        <f>VLOOKUP(C57,辅助!$A$2:$B$11,2,0)</f>
        <v>全民跑酷（新）</v>
      </c>
      <c r="C57" t="s">
        <v>16</v>
      </c>
      <c r="D57" s="1">
        <v>20</v>
      </c>
      <c r="E57">
        <v>206.87</v>
      </c>
      <c r="F57" s="18">
        <f t="shared" si="1"/>
        <v>10.343500000000001</v>
      </c>
    </row>
    <row r="58" spans="1:6" x14ac:dyDescent="0.15">
      <c r="A58" s="26" t="str">
        <f t="shared" si="8"/>
        <v>10月8日</v>
      </c>
      <c r="B58" t="str">
        <f>VLOOKUP(C58,辅助!$A$2:$B$11,2,0)</f>
        <v>欢乐消消乐（新）</v>
      </c>
      <c r="C58" s="16" t="s">
        <v>18</v>
      </c>
      <c r="D58" s="1">
        <v>113</v>
      </c>
      <c r="E58">
        <v>466.29</v>
      </c>
      <c r="F58" s="18">
        <f t="shared" si="1"/>
        <v>4.1264601769911504</v>
      </c>
    </row>
    <row r="59" spans="1:6" x14ac:dyDescent="0.15">
      <c r="A59" s="26" t="str">
        <f t="shared" si="8"/>
        <v>10月8日</v>
      </c>
      <c r="B59" t="str">
        <f>VLOOKUP(C59,辅助!$A$2:$B$11,2,0)</f>
        <v>欢乐消消乐</v>
      </c>
      <c r="C59" t="s">
        <v>17</v>
      </c>
      <c r="D59" s="1">
        <v>13</v>
      </c>
      <c r="E59">
        <v>63.11</v>
      </c>
      <c r="F59" s="18">
        <f t="shared" si="1"/>
        <v>4.8546153846153848</v>
      </c>
    </row>
    <row r="60" spans="1:6" x14ac:dyDescent="0.15">
      <c r="A60" s="26" t="s">
        <v>38</v>
      </c>
      <c r="B60" t="str">
        <f>VLOOKUP(C60,辅助!$A$2:$B$11,2,0)</f>
        <v>深海捕鱼（新）</v>
      </c>
      <c r="C60" s="16" t="s">
        <v>14</v>
      </c>
      <c r="D60" s="1">
        <v>9</v>
      </c>
      <c r="E60">
        <v>158.88</v>
      </c>
      <c r="F60" s="18">
        <f t="shared" si="1"/>
        <v>17.653333333333332</v>
      </c>
    </row>
    <row r="61" spans="1:6" x14ac:dyDescent="0.15">
      <c r="A61" s="26" t="str">
        <f t="shared" ref="A61:A66" si="9">A60</f>
        <v>10月9日</v>
      </c>
      <c r="B61" t="str">
        <f>VLOOKUP(C61,辅助!$A$2:$B$11,2,0)</f>
        <v>欢乐斗地主</v>
      </c>
      <c r="C61" t="s">
        <v>25</v>
      </c>
      <c r="D61" s="1">
        <v>2</v>
      </c>
      <c r="E61">
        <v>59.15</v>
      </c>
      <c r="F61" s="18">
        <f t="shared" si="1"/>
        <v>29.574999999999999</v>
      </c>
    </row>
    <row r="62" spans="1:6" x14ac:dyDescent="0.15">
      <c r="A62" s="26" t="str">
        <f t="shared" si="9"/>
        <v>10月9日</v>
      </c>
      <c r="B62" t="str">
        <f>VLOOKUP(C62,辅助!$A$2:$B$11,2,0)</f>
        <v>欢乐斗地主（新）</v>
      </c>
      <c r="C62" s="16" t="s">
        <v>26</v>
      </c>
      <c r="D62" s="1">
        <v>40</v>
      </c>
      <c r="E62">
        <v>545.01</v>
      </c>
      <c r="F62" s="18">
        <f t="shared" si="1"/>
        <v>13.625249999999999</v>
      </c>
    </row>
    <row r="63" spans="1:6" x14ac:dyDescent="0.15">
      <c r="A63" s="26" t="str">
        <f t="shared" si="9"/>
        <v>10月9日</v>
      </c>
      <c r="B63" t="str">
        <f>VLOOKUP(C63,辅助!$A$2:$B$11,2,0)</f>
        <v>全民跑酷</v>
      </c>
      <c r="C63" t="s">
        <v>15</v>
      </c>
      <c r="D63" s="1">
        <v>15</v>
      </c>
      <c r="E63">
        <v>24</v>
      </c>
      <c r="F63" s="18">
        <f t="shared" si="1"/>
        <v>1.6</v>
      </c>
    </row>
    <row r="64" spans="1:6" x14ac:dyDescent="0.15">
      <c r="A64" s="26" t="str">
        <f t="shared" si="9"/>
        <v>10月9日</v>
      </c>
      <c r="B64" t="str">
        <f>VLOOKUP(C64,辅助!$A$2:$B$11,2,0)</f>
        <v>全民跑酷（新）</v>
      </c>
      <c r="C64" s="16" t="s">
        <v>16</v>
      </c>
      <c r="D64" s="1">
        <v>23</v>
      </c>
      <c r="E64">
        <v>186.86</v>
      </c>
      <c r="F64" s="18">
        <f t="shared" si="1"/>
        <v>8.1243478260869573</v>
      </c>
    </row>
    <row r="65" spans="1:6" x14ac:dyDescent="0.15">
      <c r="A65" s="26" t="str">
        <f t="shared" si="9"/>
        <v>10月9日</v>
      </c>
      <c r="B65" t="str">
        <f>VLOOKUP(C65,辅助!$A$2:$B$11,2,0)</f>
        <v>欢乐消消乐（新）</v>
      </c>
      <c r="C65" t="s">
        <v>18</v>
      </c>
      <c r="D65" s="1">
        <v>101</v>
      </c>
      <c r="E65">
        <v>883.6</v>
      </c>
      <c r="F65" s="18">
        <f t="shared" si="1"/>
        <v>8.7485148514851492</v>
      </c>
    </row>
    <row r="66" spans="1:6" x14ac:dyDescent="0.15">
      <c r="A66" s="26" t="str">
        <f t="shared" si="9"/>
        <v>10月9日</v>
      </c>
      <c r="B66" t="str">
        <f>VLOOKUP(C66,辅助!$A$2:$B$11,2,0)</f>
        <v>欢乐消消乐</v>
      </c>
      <c r="C66" s="16" t="s">
        <v>17</v>
      </c>
      <c r="D66" s="1">
        <v>6</v>
      </c>
      <c r="E66">
        <v>48</v>
      </c>
      <c r="F66" s="18">
        <f t="shared" si="1"/>
        <v>8</v>
      </c>
    </row>
    <row r="67" spans="1:6" x14ac:dyDescent="0.15">
      <c r="A67" s="26" t="s">
        <v>39</v>
      </c>
      <c r="B67" t="str">
        <f>VLOOKUP(C67,辅助!$A$2:$B$11,2,0)</f>
        <v>深海捕鱼（新）</v>
      </c>
      <c r="C67" t="s">
        <v>14</v>
      </c>
      <c r="D67" s="1">
        <v>12</v>
      </c>
      <c r="E67">
        <v>165.71</v>
      </c>
      <c r="F67" s="18">
        <f t="shared" ref="F67:F110" si="10">IFERROR(E67/D67,0)</f>
        <v>13.809166666666668</v>
      </c>
    </row>
    <row r="68" spans="1:6" x14ac:dyDescent="0.15">
      <c r="A68" s="26" t="str">
        <f t="shared" ref="A68:A73" si="11">A67</f>
        <v>10月10日</v>
      </c>
      <c r="B68" t="str">
        <f>VLOOKUP(C68,辅助!$A$2:$B$11,2,0)</f>
        <v>欢乐斗地主</v>
      </c>
      <c r="C68" s="16" t="s">
        <v>25</v>
      </c>
      <c r="D68" s="1">
        <v>2</v>
      </c>
      <c r="E68">
        <v>10</v>
      </c>
      <c r="F68" s="18">
        <f t="shared" si="10"/>
        <v>5</v>
      </c>
    </row>
    <row r="69" spans="1:6" x14ac:dyDescent="0.15">
      <c r="A69" s="26" t="str">
        <f t="shared" si="11"/>
        <v>10月10日</v>
      </c>
      <c r="B69" t="str">
        <f>VLOOKUP(C69,辅助!$A$2:$B$11,2,0)</f>
        <v>欢乐斗地主（新）</v>
      </c>
      <c r="C69" t="s">
        <v>26</v>
      </c>
      <c r="D69" s="1">
        <v>30</v>
      </c>
      <c r="E69">
        <v>490.71</v>
      </c>
      <c r="F69" s="18">
        <f t="shared" si="10"/>
        <v>16.356999999999999</v>
      </c>
    </row>
    <row r="70" spans="1:6" x14ac:dyDescent="0.15">
      <c r="A70" s="26" t="str">
        <f t="shared" si="11"/>
        <v>10月10日</v>
      </c>
      <c r="B70" t="str">
        <f>VLOOKUP(C70,辅助!$A$2:$B$11,2,0)</f>
        <v>全民跑酷</v>
      </c>
      <c r="C70" s="16" t="s">
        <v>15</v>
      </c>
      <c r="D70" s="1">
        <v>6</v>
      </c>
      <c r="E70">
        <v>5</v>
      </c>
      <c r="F70" s="18">
        <f t="shared" si="10"/>
        <v>0.83333333333333337</v>
      </c>
    </row>
    <row r="71" spans="1:6" x14ac:dyDescent="0.15">
      <c r="A71" s="26" t="str">
        <f t="shared" si="11"/>
        <v>10月10日</v>
      </c>
      <c r="B71" t="str">
        <f>VLOOKUP(C71,辅助!$A$2:$B$11,2,0)</f>
        <v>全民跑酷（新）</v>
      </c>
      <c r="C71" t="s">
        <v>16</v>
      </c>
      <c r="D71" s="1">
        <v>39</v>
      </c>
      <c r="E71">
        <v>197.92</v>
      </c>
      <c r="F71" s="18">
        <f t="shared" si="10"/>
        <v>5.074871794871795</v>
      </c>
    </row>
    <row r="72" spans="1:6" x14ac:dyDescent="0.15">
      <c r="A72" s="26" t="str">
        <f t="shared" si="11"/>
        <v>10月10日</v>
      </c>
      <c r="B72" t="str">
        <f>VLOOKUP(C72,辅助!$A$2:$B$11,2,0)</f>
        <v>欢乐消消乐（新）</v>
      </c>
      <c r="C72" s="16" t="s">
        <v>18</v>
      </c>
      <c r="D72" s="1">
        <v>92</v>
      </c>
      <c r="E72">
        <v>742.95</v>
      </c>
      <c r="F72" s="18">
        <f t="shared" si="10"/>
        <v>8.0755434782608706</v>
      </c>
    </row>
    <row r="73" spans="1:6" x14ac:dyDescent="0.15">
      <c r="A73" s="26" t="str">
        <f t="shared" si="11"/>
        <v>10月10日</v>
      </c>
      <c r="B73" t="str">
        <f>VLOOKUP(C73,辅助!$A$2:$B$11,2,0)</f>
        <v>欢乐消消乐</v>
      </c>
      <c r="C73" t="s">
        <v>17</v>
      </c>
      <c r="D73" s="1">
        <v>8</v>
      </c>
      <c r="E73">
        <v>97.14</v>
      </c>
      <c r="F73" s="18">
        <f t="shared" si="10"/>
        <v>12.1425</v>
      </c>
    </row>
    <row r="74" spans="1:6" x14ac:dyDescent="0.15">
      <c r="A74" s="26" t="s">
        <v>40</v>
      </c>
      <c r="B74" t="str">
        <f>VLOOKUP(C74,辅助!$A$2:$B$11,2,0)</f>
        <v>深海捕鱼</v>
      </c>
      <c r="C74" s="16" t="s">
        <v>13</v>
      </c>
      <c r="D74" s="1">
        <v>22</v>
      </c>
      <c r="E74">
        <v>190</v>
      </c>
      <c r="F74" s="18">
        <f t="shared" si="10"/>
        <v>8.6363636363636367</v>
      </c>
    </row>
    <row r="75" spans="1:6" x14ac:dyDescent="0.15">
      <c r="A75" s="26" t="str">
        <f t="shared" ref="A75:A79" si="12">A74</f>
        <v>10月11日</v>
      </c>
      <c r="B75" t="str">
        <f>VLOOKUP(C75,辅助!$A$2:$B$11,2,0)</f>
        <v>深海捕鱼（新）</v>
      </c>
      <c r="C75" t="s">
        <v>14</v>
      </c>
      <c r="D75" s="1">
        <v>37</v>
      </c>
      <c r="E75">
        <v>98.24</v>
      </c>
      <c r="F75" s="18">
        <f t="shared" si="10"/>
        <v>2.6551351351351351</v>
      </c>
    </row>
    <row r="76" spans="1:6" x14ac:dyDescent="0.15">
      <c r="A76" s="26" t="str">
        <f t="shared" si="12"/>
        <v>10月11日</v>
      </c>
      <c r="B76" t="str">
        <f>VLOOKUP(C76,辅助!$A$2:$B$11,2,0)</f>
        <v>欢乐斗地主（新）</v>
      </c>
      <c r="C76" s="16" t="s">
        <v>26</v>
      </c>
      <c r="D76" s="1">
        <v>32</v>
      </c>
      <c r="E76">
        <v>771.16</v>
      </c>
      <c r="F76" s="18">
        <f t="shared" si="10"/>
        <v>24.098749999999999</v>
      </c>
    </row>
    <row r="77" spans="1:6" x14ac:dyDescent="0.15">
      <c r="A77" s="26" t="str">
        <f t="shared" si="12"/>
        <v>10月11日</v>
      </c>
      <c r="B77" t="str">
        <f>VLOOKUP(C77,辅助!$A$2:$B$11,2,0)</f>
        <v>全民跑酷（新）</v>
      </c>
      <c r="C77" t="s">
        <v>16</v>
      </c>
      <c r="D77" s="1">
        <v>97</v>
      </c>
      <c r="E77">
        <v>121.04</v>
      </c>
      <c r="F77" s="18">
        <f t="shared" si="10"/>
        <v>1.2478350515463918</v>
      </c>
    </row>
    <row r="78" spans="1:6" x14ac:dyDescent="0.15">
      <c r="A78" s="26" t="str">
        <f t="shared" si="12"/>
        <v>10月11日</v>
      </c>
      <c r="B78" t="str">
        <f>VLOOKUP(C78,辅助!$A$2:$B$11,2,0)</f>
        <v>欢乐消消乐（新）</v>
      </c>
      <c r="C78" s="16" t="s">
        <v>18</v>
      </c>
      <c r="D78" s="1">
        <v>11</v>
      </c>
      <c r="E78">
        <v>223.04</v>
      </c>
      <c r="F78" s="18">
        <f t="shared" si="10"/>
        <v>20.276363636363637</v>
      </c>
    </row>
    <row r="79" spans="1:6" x14ac:dyDescent="0.15">
      <c r="A79" s="26" t="str">
        <f t="shared" si="12"/>
        <v>10月11日</v>
      </c>
      <c r="B79" t="str">
        <f>VLOOKUP(C79,辅助!$A$2:$B$11,2,0)</f>
        <v>欢乐消消乐</v>
      </c>
      <c r="C79" t="s">
        <v>17</v>
      </c>
      <c r="D79" s="1">
        <v>22</v>
      </c>
      <c r="E79">
        <v>107.18</v>
      </c>
      <c r="F79" s="18">
        <f t="shared" si="10"/>
        <v>4.871818181818182</v>
      </c>
    </row>
    <row r="80" spans="1:6" x14ac:dyDescent="0.15">
      <c r="A80" s="26" t="s">
        <v>41</v>
      </c>
      <c r="B80" t="str">
        <f>VLOOKUP(C80,辅助!$A$2:$B$11,2,0)</f>
        <v>深海捕鱼（新）</v>
      </c>
      <c r="C80" s="16" t="s">
        <v>14</v>
      </c>
      <c r="D80" s="1">
        <v>9</v>
      </c>
      <c r="E80">
        <v>20.3</v>
      </c>
      <c r="F80" s="18">
        <f t="shared" si="10"/>
        <v>2.2555555555555555</v>
      </c>
    </row>
    <row r="81" spans="1:6" x14ac:dyDescent="0.15">
      <c r="A81" s="26" t="str">
        <f t="shared" ref="A81:A83" si="13">A80</f>
        <v>10月12日</v>
      </c>
      <c r="B81" t="str">
        <f>VLOOKUP(C81,辅助!$A$2:$B$11,2,0)</f>
        <v>欢乐斗地主</v>
      </c>
      <c r="C81" t="s">
        <v>25</v>
      </c>
      <c r="D81" s="1">
        <v>2</v>
      </c>
      <c r="E81">
        <v>175</v>
      </c>
      <c r="F81" s="18">
        <f t="shared" si="10"/>
        <v>87.5</v>
      </c>
    </row>
    <row r="82" spans="1:6" x14ac:dyDescent="0.15">
      <c r="A82" s="26" t="str">
        <f t="shared" si="13"/>
        <v>10月12日</v>
      </c>
      <c r="B82" t="str">
        <f>VLOOKUP(C82,辅助!$A$2:$B$11,2,0)</f>
        <v>欢乐斗地主（新）</v>
      </c>
      <c r="C82" s="16" t="s">
        <v>26</v>
      </c>
      <c r="D82" s="1">
        <v>28</v>
      </c>
      <c r="E82">
        <v>452.95</v>
      </c>
      <c r="F82" s="18">
        <f t="shared" si="10"/>
        <v>16.176785714285714</v>
      </c>
    </row>
    <row r="83" spans="1:6" x14ac:dyDescent="0.15">
      <c r="A83" s="26" t="str">
        <f t="shared" si="13"/>
        <v>10月12日</v>
      </c>
      <c r="B83" t="str">
        <f>VLOOKUP(C83,辅助!$A$2:$B$11,2,0)</f>
        <v>欢乐消消乐（新）</v>
      </c>
      <c r="C83" t="s">
        <v>18</v>
      </c>
      <c r="D83" s="1">
        <v>92</v>
      </c>
      <c r="E83">
        <v>177.33</v>
      </c>
      <c r="F83" s="18">
        <f t="shared" si="10"/>
        <v>1.9275000000000002</v>
      </c>
    </row>
    <row r="84" spans="1:6" x14ac:dyDescent="0.15">
      <c r="A84" s="26" t="s">
        <v>42</v>
      </c>
      <c r="B84" t="str">
        <f>VLOOKUP(C84,辅助!$A$2:$B$11,2,0)</f>
        <v>深海捕鱼（新）</v>
      </c>
      <c r="C84" s="16" t="s">
        <v>14</v>
      </c>
      <c r="D84" s="1">
        <v>15</v>
      </c>
      <c r="E84">
        <v>0.1</v>
      </c>
      <c r="F84" s="18">
        <f t="shared" si="10"/>
        <v>6.6666666666666671E-3</v>
      </c>
    </row>
    <row r="85" spans="1:6" x14ac:dyDescent="0.15">
      <c r="A85" s="26" t="str">
        <f t="shared" ref="A85:A90" si="14">A84</f>
        <v>10月13日</v>
      </c>
      <c r="B85" t="str">
        <f>VLOOKUP(C85,辅助!$A$2:$B$11,2,0)</f>
        <v>欢乐斗地主</v>
      </c>
      <c r="C85" t="s">
        <v>25</v>
      </c>
      <c r="D85" s="1">
        <v>0</v>
      </c>
      <c r="E85">
        <v>30.1</v>
      </c>
      <c r="F85" s="18">
        <f t="shared" si="10"/>
        <v>0</v>
      </c>
    </row>
    <row r="86" spans="1:6" x14ac:dyDescent="0.15">
      <c r="A86" s="26" t="str">
        <f t="shared" si="14"/>
        <v>10月13日</v>
      </c>
      <c r="B86" t="str">
        <f>VLOOKUP(C86,辅助!$A$2:$B$11,2,0)</f>
        <v>欢乐斗地主（新）</v>
      </c>
      <c r="C86" s="16" t="s">
        <v>26</v>
      </c>
      <c r="D86" s="1">
        <v>11</v>
      </c>
      <c r="E86">
        <v>518.33000000000004</v>
      </c>
      <c r="F86" s="18">
        <f t="shared" si="10"/>
        <v>47.120909090909095</v>
      </c>
    </row>
    <row r="87" spans="1:6" x14ac:dyDescent="0.15">
      <c r="A87" s="26" t="str">
        <f t="shared" si="14"/>
        <v>10月13日</v>
      </c>
      <c r="B87" t="str">
        <f>VLOOKUP(C87,辅助!$A$2:$B$11,2,0)</f>
        <v>全民跑酷</v>
      </c>
      <c r="C87" t="s">
        <v>15</v>
      </c>
      <c r="D87" s="1">
        <v>4</v>
      </c>
      <c r="E87">
        <v>8.3800000000000008</v>
      </c>
      <c r="F87" s="18">
        <f t="shared" si="10"/>
        <v>2.0950000000000002</v>
      </c>
    </row>
    <row r="88" spans="1:6" x14ac:dyDescent="0.15">
      <c r="A88" s="26" t="str">
        <f t="shared" si="14"/>
        <v>10月13日</v>
      </c>
      <c r="B88" t="str">
        <f>VLOOKUP(C88,辅助!$A$2:$B$11,2,0)</f>
        <v>全民跑酷（新）</v>
      </c>
      <c r="C88" s="16" t="s">
        <v>16</v>
      </c>
      <c r="D88" s="1">
        <v>18</v>
      </c>
      <c r="E88">
        <v>19.100000000000001</v>
      </c>
      <c r="F88" s="18">
        <f t="shared" si="10"/>
        <v>1.0611111111111111</v>
      </c>
    </row>
    <row r="89" spans="1:6" x14ac:dyDescent="0.15">
      <c r="A89" s="26" t="str">
        <f t="shared" si="14"/>
        <v>10月13日</v>
      </c>
      <c r="B89" t="str">
        <f>VLOOKUP(C89,辅助!$A$2:$B$11,2,0)</f>
        <v>欢乐消消乐（新）</v>
      </c>
      <c r="C89" t="s">
        <v>18</v>
      </c>
      <c r="D89" s="1">
        <v>69</v>
      </c>
      <c r="E89">
        <v>204.49</v>
      </c>
      <c r="F89" s="18">
        <f t="shared" si="10"/>
        <v>2.9636231884057973</v>
      </c>
    </row>
    <row r="90" spans="1:6" x14ac:dyDescent="0.15">
      <c r="A90" s="26" t="str">
        <f t="shared" si="14"/>
        <v>10月13日</v>
      </c>
      <c r="B90" t="str">
        <f>VLOOKUP(C90,辅助!$A$2:$B$11,2,0)</f>
        <v>欢乐消消乐</v>
      </c>
      <c r="C90" s="16" t="s">
        <v>17</v>
      </c>
      <c r="D90" s="1">
        <v>3</v>
      </c>
      <c r="E90">
        <v>92.28</v>
      </c>
      <c r="F90" s="18">
        <f t="shared" si="10"/>
        <v>30.76</v>
      </c>
    </row>
    <row r="91" spans="1:6" x14ac:dyDescent="0.15">
      <c r="A91" s="29">
        <v>42657</v>
      </c>
      <c r="B91" t="str">
        <f>VLOOKUP(C91,辅助!$A$2:$B$11,2,0)</f>
        <v>深海捕鱼（新）</v>
      </c>
      <c r="C91" s="16" t="s">
        <v>14</v>
      </c>
      <c r="D91" s="1">
        <v>11</v>
      </c>
      <c r="E91" s="17">
        <v>108.21</v>
      </c>
      <c r="F91" s="18">
        <f t="shared" si="10"/>
        <v>9.8372727272727261</v>
      </c>
    </row>
    <row r="92" spans="1:6" x14ac:dyDescent="0.15">
      <c r="A92" s="29">
        <v>42657</v>
      </c>
      <c r="B92" t="str">
        <f>VLOOKUP(C92,辅助!$A$2:$B$11,2,0)</f>
        <v>欢乐斗地主</v>
      </c>
      <c r="C92" s="16" t="s">
        <v>25</v>
      </c>
      <c r="D92" s="1">
        <v>3</v>
      </c>
      <c r="E92" s="17">
        <v>70</v>
      </c>
      <c r="F92" s="18">
        <f t="shared" si="10"/>
        <v>23.333333333333332</v>
      </c>
    </row>
    <row r="93" spans="1:6" x14ac:dyDescent="0.15">
      <c r="A93" s="29">
        <v>42657</v>
      </c>
      <c r="B93" t="str">
        <f>VLOOKUP(C93,辅助!$A$2:$B$11,2,0)</f>
        <v>欢乐斗地主（新）</v>
      </c>
      <c r="C93" s="16" t="s">
        <v>26</v>
      </c>
      <c r="D93" s="1">
        <v>21</v>
      </c>
      <c r="E93" s="17">
        <v>1009.31</v>
      </c>
      <c r="F93" s="18">
        <f t="shared" si="10"/>
        <v>48.062380952380948</v>
      </c>
    </row>
    <row r="94" spans="1:6" x14ac:dyDescent="0.15">
      <c r="A94" s="29">
        <v>42657</v>
      </c>
      <c r="B94" t="str">
        <f>VLOOKUP(C94,辅助!$A$2:$B$11,2,0)</f>
        <v>全民跑酷（新）</v>
      </c>
      <c r="C94" s="16" t="s">
        <v>16</v>
      </c>
      <c r="D94" s="1">
        <v>22</v>
      </c>
      <c r="E94" s="17">
        <v>41.06</v>
      </c>
      <c r="F94" s="18">
        <f t="shared" si="10"/>
        <v>1.8663636363636364</v>
      </c>
    </row>
    <row r="95" spans="1:6" x14ac:dyDescent="0.15">
      <c r="A95" s="29">
        <v>42657</v>
      </c>
      <c r="B95" t="str">
        <f>VLOOKUP(C95,辅助!$A$2:$B$11,2,0)</f>
        <v>欢乐消消乐（新）</v>
      </c>
      <c r="C95" s="16" t="s">
        <v>18</v>
      </c>
      <c r="D95" s="1">
        <v>63</v>
      </c>
      <c r="E95" s="17">
        <v>77</v>
      </c>
      <c r="F95" s="18">
        <f t="shared" si="10"/>
        <v>1.2222222222222223</v>
      </c>
    </row>
    <row r="96" spans="1:6" x14ac:dyDescent="0.15">
      <c r="A96" s="29">
        <v>42657</v>
      </c>
      <c r="B96" t="str">
        <f>VLOOKUP(C96,辅助!$A$2:$B$11,2,0)</f>
        <v>欢乐消消乐</v>
      </c>
      <c r="C96" s="16" t="s">
        <v>17</v>
      </c>
      <c r="D96" s="1">
        <v>6</v>
      </c>
      <c r="E96" s="17">
        <v>5</v>
      </c>
      <c r="F96" s="18">
        <f t="shared" si="10"/>
        <v>0.83333333333333337</v>
      </c>
    </row>
    <row r="97" spans="1:10" x14ac:dyDescent="0.15">
      <c r="A97" s="29">
        <v>42658</v>
      </c>
      <c r="B97" t="str">
        <f>VLOOKUP(C97,辅助!$A$2:$B$11,2,0)</f>
        <v>深海捕鱼（新）</v>
      </c>
      <c r="C97" s="16" t="s">
        <v>14</v>
      </c>
      <c r="D97">
        <v>27</v>
      </c>
      <c r="E97" s="1">
        <v>165.41</v>
      </c>
      <c r="F97" s="18">
        <f t="shared" si="10"/>
        <v>6.1262962962962959</v>
      </c>
      <c r="H97" s="16"/>
      <c r="I97" s="1"/>
    </row>
    <row r="98" spans="1:10" x14ac:dyDescent="0.15">
      <c r="A98" s="29">
        <v>42658</v>
      </c>
      <c r="B98" t="str">
        <f>VLOOKUP(C98,辅助!$A$2:$B$11,2,0)</f>
        <v>欢乐斗地主</v>
      </c>
      <c r="C98" s="16" t="s">
        <v>25</v>
      </c>
      <c r="D98">
        <v>3</v>
      </c>
      <c r="E98" s="1">
        <v>60.1</v>
      </c>
      <c r="F98" s="18">
        <f t="shared" si="10"/>
        <v>20.033333333333335</v>
      </c>
      <c r="H98" s="16"/>
      <c r="I98" s="1"/>
    </row>
    <row r="99" spans="1:10" x14ac:dyDescent="0.15">
      <c r="A99" s="29">
        <v>42658</v>
      </c>
      <c r="B99" t="str">
        <f>VLOOKUP(C99,辅助!$A$2:$B$11,2,0)</f>
        <v>欢乐斗地主（新）</v>
      </c>
      <c r="C99" s="16" t="s">
        <v>26</v>
      </c>
      <c r="D99">
        <v>40</v>
      </c>
      <c r="E99" s="1">
        <v>1209.81</v>
      </c>
      <c r="F99" s="18">
        <f t="shared" si="10"/>
        <v>30.245249999999999</v>
      </c>
      <c r="H99" s="16"/>
      <c r="I99" s="1"/>
    </row>
    <row r="100" spans="1:10" x14ac:dyDescent="0.15">
      <c r="A100" s="29">
        <v>42658</v>
      </c>
      <c r="B100" t="str">
        <f>VLOOKUP(C100,辅助!$A$2:$B$11,2,0)</f>
        <v>全民跑酷</v>
      </c>
      <c r="C100" s="16" t="s">
        <v>15</v>
      </c>
      <c r="D100">
        <v>13</v>
      </c>
      <c r="E100" s="1">
        <v>80</v>
      </c>
      <c r="F100" s="18">
        <f t="shared" si="10"/>
        <v>6.1538461538461542</v>
      </c>
      <c r="H100" s="16"/>
      <c r="I100" s="1"/>
    </row>
    <row r="101" spans="1:10" x14ac:dyDescent="0.15">
      <c r="A101" s="29">
        <v>42658</v>
      </c>
      <c r="B101" t="str">
        <f>VLOOKUP(C101,辅助!$A$2:$B$11,2,0)</f>
        <v>全民跑酷（新）</v>
      </c>
      <c r="C101" s="16" t="s">
        <v>16</v>
      </c>
      <c r="D101">
        <v>38</v>
      </c>
      <c r="E101" s="1">
        <v>161.69</v>
      </c>
      <c r="F101" s="18">
        <f t="shared" si="10"/>
        <v>4.2549999999999999</v>
      </c>
      <c r="H101" s="16"/>
      <c r="I101" s="16"/>
      <c r="J101" s="1"/>
    </row>
    <row r="102" spans="1:10" x14ac:dyDescent="0.15">
      <c r="A102" s="29">
        <v>42659</v>
      </c>
      <c r="B102" t="str">
        <f>VLOOKUP(C102,辅助!$A$2:$B$11,2,0)</f>
        <v>深海捕鱼（新）</v>
      </c>
      <c r="C102" s="16" t="s">
        <v>14</v>
      </c>
      <c r="D102" s="1">
        <v>21</v>
      </c>
      <c r="E102">
        <v>159.16999999999999</v>
      </c>
      <c r="F102" s="18">
        <f t="shared" si="10"/>
        <v>7.5795238095238089</v>
      </c>
      <c r="H102" s="16"/>
      <c r="I102" s="16"/>
      <c r="J102" s="1"/>
    </row>
    <row r="103" spans="1:10" x14ac:dyDescent="0.15">
      <c r="A103" s="29">
        <v>42659</v>
      </c>
      <c r="B103" t="str">
        <f>VLOOKUP(C103,辅助!$A$2:$B$11,2,0)</f>
        <v>欢乐斗地主</v>
      </c>
      <c r="C103" s="16" t="s">
        <v>25</v>
      </c>
      <c r="D103" s="1">
        <v>2</v>
      </c>
      <c r="E103">
        <v>30</v>
      </c>
      <c r="F103" s="18">
        <f t="shared" si="10"/>
        <v>15</v>
      </c>
      <c r="H103" s="16"/>
      <c r="I103" s="16"/>
      <c r="J103" s="1"/>
    </row>
    <row r="104" spans="1:10" x14ac:dyDescent="0.15">
      <c r="A104" s="29">
        <v>42659</v>
      </c>
      <c r="B104" t="str">
        <f>VLOOKUP(C104,辅助!$A$2:$B$11,2,0)</f>
        <v>欢乐斗地主（新）</v>
      </c>
      <c r="C104" s="16" t="s">
        <v>26</v>
      </c>
      <c r="D104" s="1">
        <v>45</v>
      </c>
      <c r="E104">
        <v>1302.0999999999999</v>
      </c>
      <c r="F104" s="18">
        <f t="shared" si="10"/>
        <v>28.935555555555553</v>
      </c>
      <c r="H104" s="16"/>
      <c r="I104" s="16"/>
      <c r="J104" s="1"/>
    </row>
    <row r="105" spans="1:10" x14ac:dyDescent="0.15">
      <c r="A105" s="29">
        <v>42659</v>
      </c>
      <c r="B105" t="str">
        <f>VLOOKUP(C105,辅助!$A$2:$B$11,2,0)</f>
        <v>全民跑酷</v>
      </c>
      <c r="C105" s="16" t="s">
        <v>15</v>
      </c>
      <c r="D105" s="1">
        <v>12</v>
      </c>
      <c r="E105">
        <v>60.54</v>
      </c>
      <c r="F105" s="18">
        <f t="shared" si="10"/>
        <v>5.0449999999999999</v>
      </c>
      <c r="I105" s="16"/>
      <c r="J105" s="1"/>
    </row>
    <row r="106" spans="1:10" x14ac:dyDescent="0.15">
      <c r="A106" s="29">
        <v>42659</v>
      </c>
      <c r="B106" t="str">
        <f>VLOOKUP(C106,辅助!$A$2:$B$11,2,0)</f>
        <v>全民跑酷（新）</v>
      </c>
      <c r="C106" s="16" t="s">
        <v>16</v>
      </c>
      <c r="D106" s="1">
        <v>32</v>
      </c>
      <c r="E106">
        <v>318.13</v>
      </c>
      <c r="F106" s="18">
        <f t="shared" si="10"/>
        <v>9.9415624999999999</v>
      </c>
      <c r="I106" s="16"/>
      <c r="J106" s="1"/>
    </row>
    <row r="107" spans="1:10" x14ac:dyDescent="0.15">
      <c r="A107" s="29">
        <v>42659</v>
      </c>
      <c r="B107" t="str">
        <f>VLOOKUP(C107,辅助!$A$2:$B$11,2,0)</f>
        <v>欢乐消消乐（新）</v>
      </c>
      <c r="C107" s="16" t="s">
        <v>18</v>
      </c>
      <c r="D107" s="1">
        <v>124</v>
      </c>
      <c r="E107">
        <v>30</v>
      </c>
      <c r="F107" s="18">
        <f t="shared" si="10"/>
        <v>0.24193548387096775</v>
      </c>
      <c r="I107" s="16"/>
      <c r="J107" s="1"/>
    </row>
    <row r="108" spans="1:10" x14ac:dyDescent="0.15">
      <c r="A108" s="29">
        <v>42659</v>
      </c>
      <c r="B108" s="31" t="str">
        <f>VLOOKUP(C108,辅助!$A$2:$B$11,2,0)</f>
        <v>欢乐消消乐</v>
      </c>
      <c r="C108" s="16" t="s">
        <v>17</v>
      </c>
      <c r="D108" s="1">
        <v>9</v>
      </c>
      <c r="E108">
        <v>12</v>
      </c>
      <c r="F108" s="18">
        <f t="shared" si="10"/>
        <v>1.3333333333333333</v>
      </c>
      <c r="I108" s="16"/>
      <c r="J108" s="1"/>
    </row>
    <row r="109" spans="1:10" x14ac:dyDescent="0.15">
      <c r="B109" s="31"/>
      <c r="C109" s="16"/>
      <c r="D109" s="1"/>
      <c r="F109" s="18"/>
      <c r="I109" s="16"/>
      <c r="J109" s="1"/>
    </row>
    <row r="110" spans="1:10" x14ac:dyDescent="0.15">
      <c r="B110" s="31"/>
      <c r="C110" s="16"/>
      <c r="D110" s="1"/>
      <c r="F110" s="18"/>
    </row>
    <row r="111" spans="1:10" x14ac:dyDescent="0.15">
      <c r="A111" s="27"/>
      <c r="D111" s="1"/>
      <c r="F111" s="18"/>
    </row>
    <row r="112" spans="1:10" x14ac:dyDescent="0.15">
      <c r="A112" s="27"/>
      <c r="C112" s="16"/>
      <c r="D112" s="1"/>
      <c r="F112" s="18"/>
    </row>
    <row r="113" spans="1:6" x14ac:dyDescent="0.15">
      <c r="A113" s="27"/>
      <c r="D113" s="1"/>
      <c r="F113" s="18"/>
    </row>
    <row r="114" spans="1:6" x14ac:dyDescent="0.15">
      <c r="A114" s="27"/>
      <c r="C114" s="16"/>
      <c r="D114" s="1"/>
      <c r="F114" s="18"/>
    </row>
    <row r="115" spans="1:6" x14ac:dyDescent="0.15">
      <c r="A115" s="27"/>
      <c r="D115" s="1"/>
      <c r="F115" s="18"/>
    </row>
    <row r="116" spans="1:6" x14ac:dyDescent="0.15">
      <c r="A116" s="27"/>
      <c r="C116" s="16"/>
      <c r="D116" s="1"/>
      <c r="F116" s="18"/>
    </row>
    <row r="117" spans="1:6" x14ac:dyDescent="0.15">
      <c r="A117" s="27"/>
      <c r="D117" s="1"/>
      <c r="F117" s="18"/>
    </row>
    <row r="118" spans="1:6" x14ac:dyDescent="0.15">
      <c r="A118" s="27"/>
      <c r="C118" s="16"/>
      <c r="D118" s="1"/>
      <c r="F118" s="18"/>
    </row>
    <row r="119" spans="1:6" x14ac:dyDescent="0.15">
      <c r="A119" s="27"/>
      <c r="D119" s="1"/>
      <c r="F119" s="18"/>
    </row>
    <row r="120" spans="1:6" x14ac:dyDescent="0.15">
      <c r="A120" s="27"/>
      <c r="C120" s="16"/>
      <c r="D120" s="1"/>
      <c r="F120" s="18"/>
    </row>
    <row r="121" spans="1:6" x14ac:dyDescent="0.15">
      <c r="A121" s="27"/>
      <c r="D121" s="1"/>
      <c r="F121" s="18"/>
    </row>
    <row r="122" spans="1:6" x14ac:dyDescent="0.15">
      <c r="A122" s="27"/>
      <c r="C122" s="16"/>
      <c r="D122" s="1"/>
      <c r="F122" s="18"/>
    </row>
    <row r="123" spans="1:6" x14ac:dyDescent="0.15">
      <c r="A123" s="27"/>
      <c r="D123" s="1"/>
      <c r="F123" s="18"/>
    </row>
    <row r="124" spans="1:6" x14ac:dyDescent="0.15">
      <c r="A124" s="27"/>
      <c r="C124" s="16"/>
      <c r="D124" s="1"/>
      <c r="F124" s="18"/>
    </row>
    <row r="125" spans="1:6" x14ac:dyDescent="0.15">
      <c r="A125" s="27"/>
      <c r="D125" s="1"/>
      <c r="F125" s="18"/>
    </row>
    <row r="126" spans="1:6" x14ac:dyDescent="0.15">
      <c r="A126" s="27"/>
      <c r="C126" s="16"/>
      <c r="D126" s="1"/>
      <c r="F126" s="18"/>
    </row>
    <row r="127" spans="1:6" x14ac:dyDescent="0.15">
      <c r="A127" s="27"/>
      <c r="D127" s="1"/>
      <c r="F127" s="18"/>
    </row>
    <row r="128" spans="1:6" x14ac:dyDescent="0.15">
      <c r="A128" s="27"/>
      <c r="C128" s="16"/>
      <c r="D128" s="1"/>
      <c r="F128" s="18"/>
    </row>
    <row r="129" spans="1:6" x14ac:dyDescent="0.15">
      <c r="A129" s="27"/>
      <c r="D129" s="1"/>
      <c r="F129" s="18"/>
    </row>
    <row r="130" spans="1:6" x14ac:dyDescent="0.15">
      <c r="A130" s="27"/>
      <c r="C130" s="16"/>
      <c r="D130" s="1"/>
      <c r="F130" s="18"/>
    </row>
    <row r="131" spans="1:6" x14ac:dyDescent="0.15">
      <c r="A131" s="27"/>
      <c r="D131" s="1"/>
      <c r="F131" s="18"/>
    </row>
    <row r="132" spans="1:6" x14ac:dyDescent="0.15">
      <c r="A132" s="27"/>
      <c r="C132" s="16"/>
      <c r="D132" s="1"/>
      <c r="F132" s="18"/>
    </row>
    <row r="133" spans="1:6" x14ac:dyDescent="0.15">
      <c r="A133" s="27"/>
      <c r="D133" s="1"/>
      <c r="F133" s="18"/>
    </row>
    <row r="134" spans="1:6" x14ac:dyDescent="0.15">
      <c r="A134" s="28"/>
      <c r="D134" s="1"/>
      <c r="F134" s="18"/>
    </row>
    <row r="135" spans="1:6" x14ac:dyDescent="0.15">
      <c r="A135" s="28"/>
      <c r="D135" s="1"/>
      <c r="F135" s="18"/>
    </row>
    <row r="136" spans="1:6" x14ac:dyDescent="0.15">
      <c r="A136" s="28"/>
      <c r="D136" s="1"/>
      <c r="F136" s="18"/>
    </row>
    <row r="137" spans="1:6" x14ac:dyDescent="0.15">
      <c r="A137" s="28"/>
      <c r="D137" s="1"/>
      <c r="F137" s="18"/>
    </row>
    <row r="138" spans="1:6" x14ac:dyDescent="0.15">
      <c r="A138" s="28"/>
      <c r="D138" s="1"/>
      <c r="F138" s="18"/>
    </row>
    <row r="139" spans="1:6" x14ac:dyDescent="0.15">
      <c r="A139" s="28"/>
      <c r="D139" s="1"/>
      <c r="F139" s="18"/>
    </row>
    <row r="140" spans="1:6" x14ac:dyDescent="0.15">
      <c r="A140" s="28"/>
      <c r="D140" s="1"/>
      <c r="F140" s="18"/>
    </row>
    <row r="141" spans="1:6" x14ac:dyDescent="0.15">
      <c r="A141" s="28"/>
      <c r="D141" s="1"/>
      <c r="F141" s="18"/>
    </row>
    <row r="142" spans="1:6" x14ac:dyDescent="0.15">
      <c r="A142" s="28"/>
      <c r="D142" s="1"/>
      <c r="F142" s="18"/>
    </row>
    <row r="143" spans="1:6" x14ac:dyDescent="0.15">
      <c r="A143" s="28"/>
      <c r="D143" s="1"/>
      <c r="F143" s="18"/>
    </row>
    <row r="144" spans="1:6" x14ac:dyDescent="0.15">
      <c r="A144" s="28"/>
      <c r="D144" s="1"/>
      <c r="F144" s="18"/>
    </row>
    <row r="145" spans="1:6" x14ac:dyDescent="0.15">
      <c r="A145" s="28"/>
      <c r="D145" s="1"/>
      <c r="F145" s="18"/>
    </row>
    <row r="146" spans="1:6" x14ac:dyDescent="0.15">
      <c r="A146" s="28"/>
      <c r="D146" s="1"/>
      <c r="F146" s="18"/>
    </row>
    <row r="147" spans="1:6" x14ac:dyDescent="0.15">
      <c r="A147" s="28"/>
      <c r="D147" s="1"/>
      <c r="F147" s="18"/>
    </row>
    <row r="148" spans="1:6" x14ac:dyDescent="0.15">
      <c r="A148" s="28"/>
      <c r="D148" s="1"/>
      <c r="F148" s="18"/>
    </row>
    <row r="149" spans="1:6" x14ac:dyDescent="0.15">
      <c r="A149" s="28"/>
      <c r="D149" s="1"/>
      <c r="F149" s="18"/>
    </row>
    <row r="150" spans="1:6" x14ac:dyDescent="0.15">
      <c r="A150" s="28"/>
      <c r="D150" s="1"/>
      <c r="F150" s="18"/>
    </row>
    <row r="151" spans="1:6" x14ac:dyDescent="0.15">
      <c r="A151" s="28"/>
      <c r="D151" s="1"/>
      <c r="F151" s="18"/>
    </row>
    <row r="152" spans="1:6" x14ac:dyDescent="0.15">
      <c r="A152" s="28"/>
      <c r="D152" s="1"/>
      <c r="F152" s="18"/>
    </row>
  </sheetData>
  <autoFilter ref="A1:F152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4"/>
  <sheetViews>
    <sheetView showZeros="0" workbookViewId="0">
      <pane xSplit="5" ySplit="22" topLeftCell="F23" activePane="bottomRight" state="frozen"/>
      <selection pane="topRight" activeCell="H1" sqref="H1"/>
      <selection pane="bottomLeft" activeCell="A25" sqref="A25"/>
      <selection pane="bottomRight" activeCell="F8" sqref="F8"/>
    </sheetView>
  </sheetViews>
  <sheetFormatPr defaultRowHeight="13.5" x14ac:dyDescent="0.15"/>
  <cols>
    <col min="1" max="1" width="21.25" style="3" customWidth="1"/>
    <col min="2" max="2" width="7" style="3" customWidth="1"/>
    <col min="3" max="3" width="13.375" style="4" customWidth="1"/>
    <col min="4" max="4" width="9" style="4" customWidth="1"/>
    <col min="5" max="5" width="10.5" style="4" customWidth="1"/>
    <col min="6" max="35" width="9.5" style="3" customWidth="1"/>
  </cols>
  <sheetData>
    <row r="1" spans="1:36" ht="16.5" x14ac:dyDescent="0.15">
      <c r="A1" s="5" t="s">
        <v>1</v>
      </c>
      <c r="B1" s="5" t="s">
        <v>8</v>
      </c>
      <c r="C1" s="20" t="s">
        <v>9</v>
      </c>
      <c r="D1" s="5" t="s">
        <v>12</v>
      </c>
      <c r="E1" s="11" t="s">
        <v>10</v>
      </c>
      <c r="F1" s="6">
        <v>42644</v>
      </c>
      <c r="G1" s="6">
        <v>42645</v>
      </c>
      <c r="H1" s="6">
        <v>42646</v>
      </c>
      <c r="I1" s="6">
        <v>42647</v>
      </c>
      <c r="J1" s="6">
        <v>42648</v>
      </c>
      <c r="K1" s="6">
        <v>42649</v>
      </c>
      <c r="L1" s="6">
        <v>42650</v>
      </c>
      <c r="M1" s="6">
        <v>42651</v>
      </c>
      <c r="N1" s="6">
        <v>42652</v>
      </c>
      <c r="O1" s="6">
        <v>42653</v>
      </c>
      <c r="P1" s="6">
        <v>42654</v>
      </c>
      <c r="Q1" s="6">
        <v>42655</v>
      </c>
      <c r="R1" s="6">
        <v>42656</v>
      </c>
      <c r="S1" s="6">
        <v>42657</v>
      </c>
      <c r="T1" s="6">
        <v>42658</v>
      </c>
      <c r="U1" s="6">
        <v>42659</v>
      </c>
      <c r="V1" s="6">
        <v>42660</v>
      </c>
      <c r="W1" s="6">
        <v>42661</v>
      </c>
      <c r="X1" s="6">
        <v>42662</v>
      </c>
      <c r="Y1" s="6">
        <v>42663</v>
      </c>
      <c r="Z1" s="6">
        <v>42664</v>
      </c>
      <c r="AA1" s="6">
        <v>42665</v>
      </c>
      <c r="AB1" s="6">
        <v>42666</v>
      </c>
      <c r="AC1" s="6">
        <v>42667</v>
      </c>
      <c r="AD1" s="6">
        <v>42668</v>
      </c>
      <c r="AE1" s="6">
        <v>42669</v>
      </c>
      <c r="AF1" s="6">
        <v>42670</v>
      </c>
      <c r="AG1" s="6">
        <v>42671</v>
      </c>
      <c r="AH1" s="6">
        <v>42672</v>
      </c>
      <c r="AI1" s="6">
        <v>42673</v>
      </c>
      <c r="AJ1" s="6">
        <v>42674</v>
      </c>
    </row>
    <row r="2" spans="1:36" x14ac:dyDescent="0.15">
      <c r="A2" s="17" t="s">
        <v>21</v>
      </c>
      <c r="B2" s="10">
        <f>SUMIFS(每日推送!$D:$D,每日推送!$B:$B,$A2)</f>
        <v>34</v>
      </c>
      <c r="C2" s="21">
        <f>SUMIFS(每日推送!$E:$E,每日推送!$B:$B,$A2)</f>
        <v>453.27</v>
      </c>
      <c r="D2" s="9">
        <f t="shared" ref="D2:D10" si="0">C2/B2</f>
        <v>13.331470588235293</v>
      </c>
      <c r="E2" s="9"/>
      <c r="F2" s="4">
        <f>SUMIFS(每日推送!$F:$F,每日推送!$B:$B,$A2,每日推送!$A:$A,F$1)</f>
        <v>10.02</v>
      </c>
      <c r="G2" s="4">
        <f>SUMIFS(每日推送!$F:$F,每日推送!$B:$B,$A2,每日推送!$A:$A,G$1)</f>
        <v>15.321999999999999</v>
      </c>
      <c r="H2" s="4">
        <f>SUMIFS(每日推送!$F:$F,每日推送!$B:$B,$A2,每日推送!$A:$A,H$1)</f>
        <v>0</v>
      </c>
      <c r="I2" s="4">
        <f>SUMIFS(每日推送!$F:$F,每日推送!$B:$B,$A2,每日推送!$A:$A,I$1)</f>
        <v>0</v>
      </c>
      <c r="J2" s="4">
        <f>SUMIFS(每日推送!$F:$F,每日推送!$B:$B,$A2,每日推送!$A:$A,J$1)</f>
        <v>25.05</v>
      </c>
      <c r="K2" s="4">
        <f>SUMIFS(每日推送!$F:$F,每日推送!$B:$B,$A2,每日推送!$A:$A,K$1)</f>
        <v>57</v>
      </c>
      <c r="L2" s="4">
        <f>SUMIFS(每日推送!$F:$F,每日推送!$B:$B,$A2,每日推送!$A:$A,L$1)</f>
        <v>23.180000000000003</v>
      </c>
      <c r="M2" s="4">
        <f>SUMIFS(每日推送!$F:$F,每日推送!$B:$B,$A2,每日推送!$A:$A,M$1)</f>
        <v>0</v>
      </c>
      <c r="N2" s="4">
        <f>SUMIFS(每日推送!$F:$F,每日推送!$B:$B,$A2,每日推送!$A:$A,N$1)</f>
        <v>0</v>
      </c>
      <c r="O2" s="4">
        <f>SUMIFS(每日推送!$F:$F,每日推送!$B:$B,$A2,每日推送!$A:$A,O$1)</f>
        <v>0</v>
      </c>
      <c r="P2" s="4">
        <f>SUMIFS(每日推送!$F:$F,每日推送!$B:$B,$A2,每日推送!$A:$A,P$1)</f>
        <v>8.6363636363636367</v>
      </c>
      <c r="Q2" s="4">
        <f>SUMIFS(每日推送!$F:$F,每日推送!$B:$B,$A2,每日推送!$A:$A,Q$1)</f>
        <v>0</v>
      </c>
      <c r="R2" s="4">
        <f>SUMIFS(每日推送!$F:$F,每日推送!$B:$B,$A2,每日推送!$A:$A,R$1)</f>
        <v>0</v>
      </c>
      <c r="S2" s="4">
        <f>SUMIFS(每日推送!$F:$F,每日推送!$B:$B,$A2,每日推送!$A:$A,S$1)</f>
        <v>0</v>
      </c>
      <c r="T2" s="4">
        <f>SUMIFS(每日推送!$F:$F,每日推送!$B:$B,$A2,每日推送!$A:$A,T$1)</f>
        <v>0</v>
      </c>
      <c r="U2" s="4">
        <f>SUMIFS(每日推送!$F:$F,每日推送!$B:$B,$A2,每日推送!$A:$A,U$1)</f>
        <v>0</v>
      </c>
      <c r="V2" s="4">
        <f>SUMIFS(每日推送!$F:$F,每日推送!$B:$B,$A2,每日推送!$A:$A,V$1)</f>
        <v>0</v>
      </c>
      <c r="W2" s="4">
        <f>SUMIFS(每日推送!$F:$F,每日推送!$B:$B,$A2,每日推送!$A:$A,W$1)</f>
        <v>0</v>
      </c>
      <c r="X2" s="4">
        <f>SUMIFS(每日推送!$F:$F,每日推送!$B:$B,$A2,每日推送!$A:$A,X$1)</f>
        <v>0</v>
      </c>
      <c r="Y2" s="4">
        <f>SUMIFS(每日推送!$F:$F,每日推送!$B:$B,$A2,每日推送!$A:$A,Y$1)</f>
        <v>0</v>
      </c>
      <c r="Z2" s="4">
        <f>SUMIFS(每日推送!$F:$F,每日推送!$B:$B,$A2,每日推送!$A:$A,Z$1)</f>
        <v>0</v>
      </c>
      <c r="AA2" s="4">
        <f>SUMIFS(每日推送!$F:$F,每日推送!$B:$B,$A2,每日推送!$A:$A,AA$1)</f>
        <v>0</v>
      </c>
      <c r="AB2" s="4">
        <f>SUMIFS(每日推送!$F:$F,每日推送!$B:$B,$A2,每日推送!$A:$A,AB$1)</f>
        <v>0</v>
      </c>
      <c r="AC2" s="4">
        <f>SUMIFS(每日推送!$F:$F,每日推送!$B:$B,$A2,每日推送!$A:$A,AC$1)</f>
        <v>0</v>
      </c>
      <c r="AD2" s="4">
        <f>SUMIFS(每日推送!$F:$F,每日推送!$B:$B,$A2,每日推送!$A:$A,AD$1)</f>
        <v>0</v>
      </c>
      <c r="AE2" s="4">
        <f>SUMIFS(每日推送!$F:$F,每日推送!$B:$B,$A2,每日推送!$A:$A,AE$1)</f>
        <v>0</v>
      </c>
      <c r="AF2" s="4">
        <f>SUMIFS(每日推送!$F:$F,每日推送!$B:$B,$A2,每日推送!$A:$A,AF$1)</f>
        <v>0</v>
      </c>
      <c r="AG2" s="4">
        <f>SUMIFS(每日推送!$F:$F,每日推送!$B:$B,$A2,每日推送!$A:$A,AG$1)</f>
        <v>0</v>
      </c>
      <c r="AH2" s="4">
        <f>SUMIFS(每日推送!$F:$F,每日推送!$B:$B,$A2,每日推送!$A:$A,AH$1)</f>
        <v>0</v>
      </c>
      <c r="AI2" s="4">
        <f>SUMIFS(每日推送!$F:$F,每日推送!$B:$B,$A2,每日推送!$A:$A,AI$1)</f>
        <v>0</v>
      </c>
    </row>
    <row r="3" spans="1:36" x14ac:dyDescent="0.15">
      <c r="A3" s="17" t="s">
        <v>22</v>
      </c>
      <c r="B3" s="10">
        <f>SUMIFS(每日推送!$D:$D,每日推送!$B:$B,$A3)</f>
        <v>493</v>
      </c>
      <c r="C3" s="21">
        <f>SUMIFS(每日推送!$E:$E,每日推送!$B:$B,$A3)</f>
        <v>3194.92</v>
      </c>
      <c r="D3" s="9">
        <f t="shared" si="0"/>
        <v>6.4805679513184584</v>
      </c>
      <c r="E3" s="9"/>
      <c r="F3" s="4">
        <f>SUMIFS(每日推送!$F:$F,每日推送!$B:$B,$A3,每日推送!$A:$A,F$1)</f>
        <v>7.8555000000000001</v>
      </c>
      <c r="G3" s="4">
        <f>SUMIFS(每日推送!$F:$F,每日推送!$B:$B,$A3,每日推送!$A:$A,G$1)</f>
        <v>4.6637500000000003</v>
      </c>
      <c r="H3" s="4">
        <f>SUMIFS(每日推送!$F:$F,每日推送!$B:$B,$A3,每日推送!$A:$A,H$1)</f>
        <v>7.7728260869565222</v>
      </c>
      <c r="I3" s="4">
        <f>SUMIFS(每日推送!$F:$F,每日推送!$B:$B,$A3,每日推送!$A:$A,I$1)</f>
        <v>4.55</v>
      </c>
      <c r="J3" s="4">
        <f>SUMIFS(每日推送!$F:$F,每日推送!$B:$B,$A3,每日推送!$A:$A,J$1)</f>
        <v>5.741190476190476</v>
      </c>
      <c r="K3" s="4">
        <f>SUMIFS(每日推送!$F:$F,每日推送!$B:$B,$A3,每日推送!$A:$A,K$1)</f>
        <v>10.397105263157894</v>
      </c>
      <c r="L3" s="4">
        <f>SUMIFS(每日推送!$F:$F,每日推送!$B:$B,$A3,每日推送!$A:$A,L$1)</f>
        <v>10.248387096774193</v>
      </c>
      <c r="M3" s="4">
        <f>SUMIFS(每日推送!$F:$F,每日推送!$B:$B,$A3,每日推送!$A:$A,M$1)</f>
        <v>1.8803125000000001</v>
      </c>
      <c r="N3" s="4">
        <f>SUMIFS(每日推送!$F:$F,每日推送!$B:$B,$A3,每日推送!$A:$A,N$1)</f>
        <v>17.653333333333332</v>
      </c>
      <c r="O3" s="4">
        <f>SUMIFS(每日推送!$F:$F,每日推送!$B:$B,$A3,每日推送!$A:$A,O$1)</f>
        <v>13.809166666666668</v>
      </c>
      <c r="P3" s="4">
        <f>SUMIFS(每日推送!$F:$F,每日推送!$B:$B,$A3,每日推送!$A:$A,P$1)</f>
        <v>2.6551351351351351</v>
      </c>
      <c r="Q3" s="4">
        <f>SUMIFS(每日推送!$F:$F,每日推送!$B:$B,$A3,每日推送!$A:$A,Q$1)</f>
        <v>2.2555555555555555</v>
      </c>
      <c r="R3" s="4">
        <f>SUMIFS(每日推送!$F:$F,每日推送!$B:$B,$A3,每日推送!$A:$A,R$1)</f>
        <v>6.6666666666666671E-3</v>
      </c>
      <c r="S3" s="4">
        <f>SUMIFS(每日推送!$F:$F,每日推送!$B:$B,$A3,每日推送!$A:$A,S$1)</f>
        <v>9.8372727272727261</v>
      </c>
      <c r="T3" s="4">
        <f>SUMIFS(每日推送!$F:$F,每日推送!$B:$B,$A3,每日推送!$A:$A,T$1)</f>
        <v>6.1262962962962959</v>
      </c>
      <c r="U3" s="4">
        <f>SUMIFS(每日推送!$F:$F,每日推送!$B:$B,$A3,每日推送!$A:$A,U$1)</f>
        <v>7.5795238095238089</v>
      </c>
      <c r="V3" s="4">
        <f>SUMIFS(每日推送!$F:$F,每日推送!$B:$B,$A3,每日推送!$A:$A,V$1)</f>
        <v>0</v>
      </c>
      <c r="W3" s="4">
        <f>SUMIFS(每日推送!$F:$F,每日推送!$B:$B,$A3,每日推送!$A:$A,W$1)</f>
        <v>0</v>
      </c>
      <c r="X3" s="4">
        <f>SUMIFS(每日推送!$F:$F,每日推送!$B:$B,$A3,每日推送!$A:$A,X$1)</f>
        <v>0</v>
      </c>
      <c r="Y3" s="4">
        <f>SUMIFS(每日推送!$F:$F,每日推送!$B:$B,$A3,每日推送!$A:$A,Y$1)</f>
        <v>0</v>
      </c>
      <c r="Z3" s="4">
        <f>SUMIFS(每日推送!$F:$F,每日推送!$B:$B,$A3,每日推送!$A:$A,Z$1)</f>
        <v>0</v>
      </c>
      <c r="AA3" s="4">
        <f>SUMIFS(每日推送!$F:$F,每日推送!$B:$B,$A3,每日推送!$A:$A,AA$1)</f>
        <v>0</v>
      </c>
      <c r="AB3" s="4">
        <f>SUMIFS(每日推送!$F:$F,每日推送!$B:$B,$A3,每日推送!$A:$A,AB$1)</f>
        <v>0</v>
      </c>
      <c r="AC3" s="4">
        <f>SUMIFS(每日推送!$F:$F,每日推送!$B:$B,$A3,每日推送!$A:$A,AC$1)</f>
        <v>0</v>
      </c>
      <c r="AD3" s="4">
        <f>SUMIFS(每日推送!$F:$F,每日推送!$B:$B,$A3,每日推送!$A:$A,AD$1)</f>
        <v>0</v>
      </c>
      <c r="AE3" s="4">
        <f>SUMIFS(每日推送!$F:$F,每日推送!$B:$B,$A3,每日推送!$A:$A,AE$1)</f>
        <v>0</v>
      </c>
      <c r="AF3" s="4">
        <f>SUMIFS(每日推送!$F:$F,每日推送!$B:$B,$A3,每日推送!$A:$A,AF$1)</f>
        <v>0</v>
      </c>
      <c r="AG3" s="4">
        <f>SUMIFS(每日推送!$F:$F,每日推送!$B:$B,$A3,每日推送!$A:$A,AG$1)</f>
        <v>0</v>
      </c>
      <c r="AH3" s="4">
        <f>SUMIFS(每日推送!$F:$F,每日推送!$B:$B,$A3,每日推送!$A:$A,AH$1)</f>
        <v>0</v>
      </c>
      <c r="AI3" s="4">
        <f>SUMIFS(每日推送!$F:$F,每日推送!$B:$B,$A3,每日推送!$A:$A,AI$1)</f>
        <v>0</v>
      </c>
    </row>
    <row r="4" spans="1:36" x14ac:dyDescent="0.15">
      <c r="A4" s="17" t="s">
        <v>19</v>
      </c>
      <c r="B4" s="10">
        <f>SUMIFS(每日推送!$D:$D,每日推送!$B:$B,$A4)</f>
        <v>281</v>
      </c>
      <c r="C4" s="21">
        <f>SUMIFS(每日推送!$E:$E,每日推送!$B:$B,$A4)</f>
        <v>1118.83</v>
      </c>
      <c r="D4" s="9">
        <f t="shared" si="0"/>
        <v>3.9816014234875441</v>
      </c>
      <c r="E4" s="9"/>
      <c r="F4" s="4">
        <f>SUMIFS(每日推送!$F:$F,每日推送!$B:$B,$A4,每日推送!$A:$A,F$1)</f>
        <v>3.7039130434782606</v>
      </c>
      <c r="G4" s="4">
        <f>SUMIFS(每日推送!$F:$F,每日推送!$B:$B,$A4,每日推送!$A:$A,G$1)</f>
        <v>5.1465517241379306</v>
      </c>
      <c r="H4" s="4">
        <f>SUMIFS(每日推送!$F:$F,每日推送!$B:$B,$A4,每日推送!$A:$A,H$1)</f>
        <v>4.9892500000000002</v>
      </c>
      <c r="I4" s="4">
        <f>SUMIFS(每日推送!$F:$F,每日推送!$B:$B,$A4,每日推送!$A:$A,I$1)</f>
        <v>0.5625</v>
      </c>
      <c r="J4" s="4">
        <f>SUMIFS(每日推送!$F:$F,每日推送!$B:$B,$A4,每日推送!$A:$A,J$1)</f>
        <v>4.6571875</v>
      </c>
      <c r="K4" s="4">
        <f>SUMIFS(每日推送!$F:$F,每日推送!$B:$B,$A4,每日推送!$A:$A,K$1)</f>
        <v>5.4788235294117644</v>
      </c>
      <c r="L4" s="4">
        <f>SUMIFS(每日推送!$F:$F,每日推送!$B:$B,$A4,每日推送!$A:$A,L$1)</f>
        <v>4.8705263157894736</v>
      </c>
      <c r="M4" s="4">
        <f>SUMIFS(每日推送!$F:$F,每日推送!$B:$B,$A4,每日推送!$A:$A,M$1)</f>
        <v>4.3125</v>
      </c>
      <c r="N4" s="4">
        <f>SUMIFS(每日推送!$F:$F,每日推送!$B:$B,$A4,每日推送!$A:$A,N$1)</f>
        <v>1.6</v>
      </c>
      <c r="O4" s="4">
        <f>SUMIFS(每日推送!$F:$F,每日推送!$B:$B,$A4,每日推送!$A:$A,O$1)</f>
        <v>0.83333333333333337</v>
      </c>
      <c r="P4" s="4">
        <f>SUMIFS(每日推送!$F:$F,每日推送!$B:$B,$A4,每日推送!$A:$A,P$1)</f>
        <v>0</v>
      </c>
      <c r="Q4" s="4">
        <f>SUMIFS(每日推送!$F:$F,每日推送!$B:$B,$A4,每日推送!$A:$A,Q$1)</f>
        <v>0</v>
      </c>
      <c r="R4" s="4">
        <f>SUMIFS(每日推送!$F:$F,每日推送!$B:$B,$A4,每日推送!$A:$A,R$1)</f>
        <v>2.0950000000000002</v>
      </c>
      <c r="S4" s="4">
        <f>SUMIFS(每日推送!$F:$F,每日推送!$B:$B,$A4,每日推送!$A:$A,S$1)</f>
        <v>0</v>
      </c>
      <c r="T4" s="4">
        <f>SUMIFS(每日推送!$F:$F,每日推送!$B:$B,$A4,每日推送!$A:$A,T$1)</f>
        <v>6.1538461538461542</v>
      </c>
      <c r="U4" s="4">
        <f>SUMIFS(每日推送!$F:$F,每日推送!$B:$B,$A4,每日推送!$A:$A,U$1)</f>
        <v>5.0449999999999999</v>
      </c>
      <c r="V4" s="4">
        <f>SUMIFS(每日推送!$F:$F,每日推送!$B:$B,$A4,每日推送!$A:$A,V$1)</f>
        <v>0</v>
      </c>
      <c r="W4" s="4">
        <f>SUMIFS(每日推送!$F:$F,每日推送!$B:$B,$A4,每日推送!$A:$A,W$1)</f>
        <v>0</v>
      </c>
      <c r="X4" s="4">
        <f>SUMIFS(每日推送!$F:$F,每日推送!$B:$B,$A4,每日推送!$A:$A,X$1)</f>
        <v>0</v>
      </c>
      <c r="Y4" s="4">
        <f>SUMIFS(每日推送!$F:$F,每日推送!$B:$B,$A4,每日推送!$A:$A,Y$1)</f>
        <v>0</v>
      </c>
      <c r="Z4" s="4">
        <f>SUMIFS(每日推送!$F:$F,每日推送!$B:$B,$A4,每日推送!$A:$A,Z$1)</f>
        <v>0</v>
      </c>
      <c r="AA4" s="4">
        <f>SUMIFS(每日推送!$F:$F,每日推送!$B:$B,$A4,每日推送!$A:$A,AA$1)</f>
        <v>0</v>
      </c>
      <c r="AB4" s="4">
        <f>SUMIFS(每日推送!$F:$F,每日推送!$B:$B,$A4,每日推送!$A:$A,AB$1)</f>
        <v>0</v>
      </c>
      <c r="AC4" s="4">
        <f>SUMIFS(每日推送!$F:$F,每日推送!$B:$B,$A4,每日推送!$A:$A,AC$1)</f>
        <v>0</v>
      </c>
      <c r="AD4" s="4">
        <f>SUMIFS(每日推送!$F:$F,每日推送!$B:$B,$A4,每日推送!$A:$A,AD$1)</f>
        <v>0</v>
      </c>
      <c r="AE4" s="4">
        <f>SUMIFS(每日推送!$F:$F,每日推送!$B:$B,$A4,每日推送!$A:$A,AE$1)</f>
        <v>0</v>
      </c>
      <c r="AF4" s="4">
        <f>SUMIFS(每日推送!$F:$F,每日推送!$B:$B,$A4,每日推送!$A:$A,AF$1)</f>
        <v>0</v>
      </c>
      <c r="AG4" s="4">
        <f>SUMIFS(每日推送!$F:$F,每日推送!$B:$B,$A4,每日推送!$A:$A,AG$1)</f>
        <v>0</v>
      </c>
      <c r="AH4" s="4">
        <f>SUMIFS(每日推送!$F:$F,每日推送!$B:$B,$A4,每日推送!$A:$A,AH$1)</f>
        <v>0</v>
      </c>
      <c r="AI4" s="4">
        <f>SUMIFS(每日推送!$F:$F,每日推送!$B:$B,$A4,每日推送!$A:$A,AI$1)</f>
        <v>0</v>
      </c>
    </row>
    <row r="5" spans="1:36" x14ac:dyDescent="0.15">
      <c r="A5" s="17" t="s">
        <v>23</v>
      </c>
      <c r="B5" s="10">
        <f>SUMIFS(每日推送!$D:$D,每日推送!$B:$B,$A5)</f>
        <v>828</v>
      </c>
      <c r="C5" s="21">
        <f>SUMIFS(每日推送!$E:$E,每日推送!$B:$B,$A5)</f>
        <v>3238.3100000000004</v>
      </c>
      <c r="D5" s="9">
        <f t="shared" si="0"/>
        <v>3.9110024154589378</v>
      </c>
      <c r="E5" s="9"/>
      <c r="F5" s="4">
        <f>SUMIFS(每日推送!$F:$F,每日推送!$B:$B,$A5,每日推送!$A:$A,F$1)</f>
        <v>5.3664634146341461</v>
      </c>
      <c r="G5" s="4">
        <f>SUMIFS(每日推送!$F:$F,每日推送!$B:$B,$A5,每日推送!$A:$A,G$1)</f>
        <v>3.4127272727272726</v>
      </c>
      <c r="H5" s="4">
        <f>SUMIFS(每日推送!$F:$F,每日推送!$B:$B,$A5,每日推送!$A:$A,H$1)</f>
        <v>2.169879518072289</v>
      </c>
      <c r="I5" s="4">
        <f>SUMIFS(每日推送!$F:$F,每日推送!$B:$B,$A5,每日推送!$A:$A,I$1)</f>
        <v>2.4172289156626507</v>
      </c>
      <c r="J5" s="4">
        <f>SUMIFS(每日推送!$F:$F,每日推送!$B:$B,$A5,每日推送!$A:$A,J$1)</f>
        <v>4.9203703703703701</v>
      </c>
      <c r="K5" s="4">
        <f>SUMIFS(每日推送!$F:$F,每日推送!$B:$B,$A5,每日推送!$A:$A,K$1)</f>
        <v>4.0638095238095238</v>
      </c>
      <c r="L5" s="4">
        <f>SUMIFS(每日推送!$F:$F,每日推送!$B:$B,$A5,每日推送!$A:$A,L$1)</f>
        <v>4.1834375000000001</v>
      </c>
      <c r="M5" s="4">
        <f>SUMIFS(每日推送!$F:$F,每日推送!$B:$B,$A5,每日推送!$A:$A,M$1)</f>
        <v>10.343500000000001</v>
      </c>
      <c r="N5" s="4">
        <f>SUMIFS(每日推送!$F:$F,每日推送!$B:$B,$A5,每日推送!$A:$A,N$1)</f>
        <v>8.1243478260869573</v>
      </c>
      <c r="O5" s="4">
        <f>SUMIFS(每日推送!$F:$F,每日推送!$B:$B,$A5,每日推送!$A:$A,O$1)</f>
        <v>5.074871794871795</v>
      </c>
      <c r="P5" s="4">
        <f>SUMIFS(每日推送!$F:$F,每日推送!$B:$B,$A5,每日推送!$A:$A,P$1)</f>
        <v>1.2478350515463918</v>
      </c>
      <c r="Q5" s="4">
        <f>SUMIFS(每日推送!$F:$F,每日推送!$B:$B,$A5,每日推送!$A:$A,Q$1)</f>
        <v>0</v>
      </c>
      <c r="R5" s="4">
        <f>SUMIFS(每日推送!$F:$F,每日推送!$B:$B,$A5,每日推送!$A:$A,R$1)</f>
        <v>1.0611111111111111</v>
      </c>
      <c r="S5" s="4">
        <f>SUMIFS(每日推送!$F:$F,每日推送!$B:$B,$A5,每日推送!$A:$A,S$1)</f>
        <v>1.8663636363636364</v>
      </c>
      <c r="T5" s="4">
        <f>SUMIFS(每日推送!$F:$F,每日推送!$B:$B,$A5,每日推送!$A:$A,T$1)</f>
        <v>4.2549999999999999</v>
      </c>
      <c r="U5" s="4">
        <f>SUMIFS(每日推送!$F:$F,每日推送!$B:$B,$A5,每日推送!$A:$A,U$1)</f>
        <v>9.9415624999999999</v>
      </c>
      <c r="V5" s="4">
        <f>SUMIFS(每日推送!$F:$F,每日推送!$B:$B,$A5,每日推送!$A:$A,V$1)</f>
        <v>0</v>
      </c>
      <c r="W5" s="4">
        <f>SUMIFS(每日推送!$F:$F,每日推送!$B:$B,$A5,每日推送!$A:$A,W$1)</f>
        <v>0</v>
      </c>
      <c r="X5" s="4">
        <f>SUMIFS(每日推送!$F:$F,每日推送!$B:$B,$A5,每日推送!$A:$A,X$1)</f>
        <v>0</v>
      </c>
      <c r="Y5" s="4">
        <f>SUMIFS(每日推送!$F:$F,每日推送!$B:$B,$A5,每日推送!$A:$A,Y$1)</f>
        <v>0</v>
      </c>
      <c r="Z5" s="4">
        <f>SUMIFS(每日推送!$F:$F,每日推送!$B:$B,$A5,每日推送!$A:$A,Z$1)</f>
        <v>0</v>
      </c>
      <c r="AA5" s="4">
        <f>SUMIFS(每日推送!$F:$F,每日推送!$B:$B,$A5,每日推送!$A:$A,AA$1)</f>
        <v>0</v>
      </c>
      <c r="AB5" s="4">
        <f>SUMIFS(每日推送!$F:$F,每日推送!$B:$B,$A5,每日推送!$A:$A,AB$1)</f>
        <v>0</v>
      </c>
      <c r="AC5" s="4">
        <f>SUMIFS(每日推送!$F:$F,每日推送!$B:$B,$A5,每日推送!$A:$A,AC$1)</f>
        <v>0</v>
      </c>
      <c r="AD5" s="4">
        <f>SUMIFS(每日推送!$F:$F,每日推送!$B:$B,$A5,每日推送!$A:$A,AD$1)</f>
        <v>0</v>
      </c>
      <c r="AE5" s="4">
        <f>SUMIFS(每日推送!$F:$F,每日推送!$B:$B,$A5,每日推送!$A:$A,AE$1)</f>
        <v>0</v>
      </c>
      <c r="AF5" s="4">
        <f>SUMIFS(每日推送!$F:$F,每日推送!$B:$B,$A5,每日推送!$A:$A,AF$1)</f>
        <v>0</v>
      </c>
      <c r="AG5" s="4">
        <f>SUMIFS(每日推送!$F:$F,每日推送!$B:$B,$A5,每日推送!$A:$A,AG$1)</f>
        <v>0</v>
      </c>
      <c r="AH5" s="4">
        <f>SUMIFS(每日推送!$F:$F,每日推送!$B:$B,$A5,每日推送!$A:$A,AH$1)</f>
        <v>0</v>
      </c>
      <c r="AI5" s="4">
        <f>SUMIFS(每日推送!$F:$F,每日推送!$B:$B,$A5,每日推送!$A:$A,AI$1)</f>
        <v>0</v>
      </c>
    </row>
    <row r="6" spans="1:36" x14ac:dyDescent="0.15">
      <c r="A6" s="17" t="s">
        <v>20</v>
      </c>
      <c r="B6" s="10">
        <f>SUMIFS(每日推送!$D:$D,每日推送!$B:$B,$A6)</f>
        <v>193</v>
      </c>
      <c r="C6" s="21">
        <f>SUMIFS(每日推送!$E:$E,每日推送!$B:$B,$A6)</f>
        <v>1130.24</v>
      </c>
      <c r="D6" s="19">
        <f t="shared" si="0"/>
        <v>5.8561658031088086</v>
      </c>
      <c r="E6" s="9"/>
      <c r="F6" s="4">
        <f>SUMIFS(每日推送!$F:$F,每日推送!$B:$B,$A6,每日推送!$A:$A,F$1)</f>
        <v>2.7754285714285714</v>
      </c>
      <c r="G6" s="4">
        <f>SUMIFS(每日推送!$F:$F,每日推送!$B:$B,$A6,每日推送!$A:$A,G$1)</f>
        <v>5.4170833333333333</v>
      </c>
      <c r="H6" s="4">
        <f>SUMIFS(每日推送!$F:$F,每日推送!$B:$B,$A6,每日推送!$A:$A,H$1)</f>
        <v>4.4306666666666663</v>
      </c>
      <c r="I6" s="4">
        <f>SUMIFS(每日推送!$F:$F,每日推送!$B:$B,$A6,每日推送!$A:$A,I$1)</f>
        <v>11.622000000000002</v>
      </c>
      <c r="J6" s="4">
        <f>SUMIFS(每日推送!$F:$F,每日推送!$B:$B,$A6,每日推送!$A:$A,J$1)</f>
        <v>7.4099999999999993</v>
      </c>
      <c r="K6" s="4">
        <f>SUMIFS(每日推送!$F:$F,每日推送!$B:$B,$A6,每日推送!$A:$A,K$1)</f>
        <v>5.5306249999999997</v>
      </c>
      <c r="L6" s="4">
        <f>SUMIFS(每日推送!$F:$F,每日推送!$B:$B,$A6,每日推送!$A:$A,L$1)</f>
        <v>6.8181818181818183</v>
      </c>
      <c r="M6" s="4">
        <f>SUMIFS(每日推送!$F:$F,每日推送!$B:$B,$A6,每日推送!$A:$A,M$1)</f>
        <v>4.8546153846153848</v>
      </c>
      <c r="N6" s="4">
        <f>SUMIFS(每日推送!$F:$F,每日推送!$B:$B,$A6,每日推送!$A:$A,N$1)</f>
        <v>8</v>
      </c>
      <c r="O6" s="4">
        <f>SUMIFS(每日推送!$F:$F,每日推送!$B:$B,$A6,每日推送!$A:$A,O$1)</f>
        <v>12.1425</v>
      </c>
      <c r="P6" s="4">
        <f>SUMIFS(每日推送!$F:$F,每日推送!$B:$B,$A6,每日推送!$A:$A,P$1)</f>
        <v>4.871818181818182</v>
      </c>
      <c r="Q6" s="4">
        <f>SUMIFS(每日推送!$F:$F,每日推送!$B:$B,$A6,每日推送!$A:$A,Q$1)</f>
        <v>0</v>
      </c>
      <c r="R6" s="4">
        <f>SUMIFS(每日推送!$F:$F,每日推送!$B:$B,$A6,每日推送!$A:$A,R$1)</f>
        <v>30.76</v>
      </c>
      <c r="S6" s="4">
        <f>SUMIFS(每日推送!$F:$F,每日推送!$B:$B,$A6,每日推送!$A:$A,S$1)</f>
        <v>0.83333333333333337</v>
      </c>
      <c r="T6" s="4">
        <f>SUMIFS(每日推送!$F:$F,每日推送!$B:$B,$A6,每日推送!$A:$A,T$1)</f>
        <v>0</v>
      </c>
      <c r="U6" s="4">
        <f>SUMIFS(每日推送!$F:$F,每日推送!$B:$B,$A6,每日推送!$A:$A,U$1)</f>
        <v>1.3333333333333333</v>
      </c>
      <c r="V6" s="4">
        <f>SUMIFS(每日推送!$F:$F,每日推送!$B:$B,$A6,每日推送!$A:$A,V$1)</f>
        <v>0</v>
      </c>
      <c r="W6" s="4">
        <f>SUMIFS(每日推送!$F:$F,每日推送!$B:$B,$A6,每日推送!$A:$A,W$1)</f>
        <v>0</v>
      </c>
      <c r="X6" s="4">
        <f>SUMIFS(每日推送!$F:$F,每日推送!$B:$B,$A6,每日推送!$A:$A,X$1)</f>
        <v>0</v>
      </c>
      <c r="Y6" s="4">
        <f>SUMIFS(每日推送!$F:$F,每日推送!$B:$B,$A6,每日推送!$A:$A,Y$1)</f>
        <v>0</v>
      </c>
      <c r="Z6" s="4">
        <f>SUMIFS(每日推送!$F:$F,每日推送!$B:$B,$A6,每日推送!$A:$A,Z$1)</f>
        <v>0</v>
      </c>
      <c r="AA6" s="4">
        <f>SUMIFS(每日推送!$F:$F,每日推送!$B:$B,$A6,每日推送!$A:$A,AA$1)</f>
        <v>0</v>
      </c>
      <c r="AB6" s="4">
        <f>SUMIFS(每日推送!$F:$F,每日推送!$B:$B,$A6,每日推送!$A:$A,AB$1)</f>
        <v>0</v>
      </c>
      <c r="AC6" s="4">
        <f>SUMIFS(每日推送!$F:$F,每日推送!$B:$B,$A6,每日推送!$A:$A,AC$1)</f>
        <v>0</v>
      </c>
      <c r="AD6" s="4">
        <f>SUMIFS(每日推送!$F:$F,每日推送!$B:$B,$A6,每日推送!$A:$A,AD$1)</f>
        <v>0</v>
      </c>
      <c r="AE6" s="4">
        <f>SUMIFS(每日推送!$F:$F,每日推送!$B:$B,$A6,每日推送!$A:$A,AE$1)</f>
        <v>0</v>
      </c>
      <c r="AF6" s="4">
        <f>SUMIFS(每日推送!$F:$F,每日推送!$B:$B,$A6,每日推送!$A:$A,AF$1)</f>
        <v>0</v>
      </c>
      <c r="AG6" s="4">
        <f>SUMIFS(每日推送!$F:$F,每日推送!$B:$B,$A6,每日推送!$A:$A,AG$1)</f>
        <v>0</v>
      </c>
      <c r="AH6" s="4">
        <f>SUMIFS(每日推送!$F:$F,每日推送!$B:$B,$A6,每日推送!$A:$A,AH$1)</f>
        <v>0</v>
      </c>
      <c r="AI6" s="4">
        <f>SUMIFS(每日推送!$F:$F,每日推送!$B:$B,$A6,每日推送!$A:$A,AI$1)</f>
        <v>0</v>
      </c>
    </row>
    <row r="7" spans="1:36" x14ac:dyDescent="0.15">
      <c r="A7" s="17" t="s">
        <v>24</v>
      </c>
      <c r="B7" s="10">
        <f>SUMIFS(每日推送!$D:$D,每日推送!$B:$B,$A7)</f>
        <v>2019</v>
      </c>
      <c r="C7" s="21">
        <f>SUMIFS(每日推送!$E:$E,每日推送!$B:$B,$A7)</f>
        <v>7496.71</v>
      </c>
      <c r="D7" s="9">
        <f t="shared" si="0"/>
        <v>3.7130807330361564</v>
      </c>
      <c r="E7" s="9"/>
      <c r="F7" s="4">
        <f>SUMIFS(每日推送!$F:$F,每日推送!$B:$B,$A7,每日推送!$A:$A,F$1)</f>
        <v>3.2338009049773753</v>
      </c>
      <c r="G7" s="4">
        <f>SUMIFS(每日推送!$F:$F,每日推送!$B:$B,$A7,每日推送!$A:$A,G$1)</f>
        <v>3.293626373626374</v>
      </c>
      <c r="H7" s="4">
        <f>SUMIFS(每日推送!$F:$F,每日推送!$B:$B,$A7,每日推送!$A:$A,H$1)</f>
        <v>1.8725000000000001</v>
      </c>
      <c r="I7" s="4">
        <f>SUMIFS(每日推送!$F:$F,每日推送!$B:$B,$A7,每日推送!$A:$A,I$1)</f>
        <v>2.4578037383177573</v>
      </c>
      <c r="J7" s="4">
        <f>SUMIFS(每日推送!$F:$F,每日推送!$B:$B,$A7,每日推送!$A:$A,J$1)</f>
        <v>2.9655555555555555</v>
      </c>
      <c r="K7" s="4">
        <f>SUMIFS(每日推送!$F:$F,每日推送!$B:$B,$A7,每日推送!$A:$A,K$1)</f>
        <v>4.3513953488372099</v>
      </c>
      <c r="L7" s="4">
        <f>SUMIFS(每日推送!$F:$F,每日推送!$B:$B,$A7,每日推送!$A:$A,L$1)</f>
        <v>7.0869811320754712</v>
      </c>
      <c r="M7" s="4">
        <f>SUMIFS(每日推送!$F:$F,每日推送!$B:$B,$A7,每日推送!$A:$A,M$1)</f>
        <v>4.1264601769911504</v>
      </c>
      <c r="N7" s="4">
        <f>SUMIFS(每日推送!$F:$F,每日推送!$B:$B,$A7,每日推送!$A:$A,N$1)</f>
        <v>8.7485148514851492</v>
      </c>
      <c r="O7" s="4">
        <f>SUMIFS(每日推送!$F:$F,每日推送!$B:$B,$A7,每日推送!$A:$A,O$1)</f>
        <v>8.0755434782608706</v>
      </c>
      <c r="P7" s="4">
        <f>SUMIFS(每日推送!$F:$F,每日推送!$B:$B,$A7,每日推送!$A:$A,P$1)</f>
        <v>20.276363636363637</v>
      </c>
      <c r="Q7" s="4">
        <f>SUMIFS(每日推送!$F:$F,每日推送!$B:$B,$A7,每日推送!$A:$A,Q$1)</f>
        <v>1.9275000000000002</v>
      </c>
      <c r="R7" s="4">
        <f>SUMIFS(每日推送!$F:$F,每日推送!$B:$B,$A7,每日推送!$A:$A,R$1)</f>
        <v>2.9636231884057973</v>
      </c>
      <c r="S7" s="4">
        <f>SUMIFS(每日推送!$F:$F,每日推送!$B:$B,$A7,每日推送!$A:$A,S$1)</f>
        <v>1.2222222222222223</v>
      </c>
      <c r="T7" s="4">
        <f>SUMIFS(每日推送!$F:$F,每日推送!$B:$B,$A7,每日推送!$A:$A,T$1)</f>
        <v>0</v>
      </c>
      <c r="U7" s="4">
        <f>SUMIFS(每日推送!$F:$F,每日推送!$B:$B,$A7,每日推送!$A:$A,U$1)</f>
        <v>0.24193548387096775</v>
      </c>
      <c r="V7" s="4">
        <f>SUMIFS(每日推送!$F:$F,每日推送!$B:$B,$A7,每日推送!$A:$A,V$1)</f>
        <v>0</v>
      </c>
      <c r="W7" s="4">
        <f>SUMIFS(每日推送!$F:$F,每日推送!$B:$B,$A7,每日推送!$A:$A,W$1)</f>
        <v>0</v>
      </c>
      <c r="X7" s="4">
        <f>SUMIFS(每日推送!$F:$F,每日推送!$B:$B,$A7,每日推送!$A:$A,X$1)</f>
        <v>0</v>
      </c>
      <c r="Y7" s="4">
        <f>SUMIFS(每日推送!$F:$F,每日推送!$B:$B,$A7,每日推送!$A:$A,Y$1)</f>
        <v>0</v>
      </c>
      <c r="Z7" s="4">
        <f>SUMIFS(每日推送!$F:$F,每日推送!$B:$B,$A7,每日推送!$A:$A,Z$1)</f>
        <v>0</v>
      </c>
      <c r="AA7" s="4">
        <f>SUMIFS(每日推送!$F:$F,每日推送!$B:$B,$A7,每日推送!$A:$A,AA$1)</f>
        <v>0</v>
      </c>
      <c r="AB7" s="4">
        <f>SUMIFS(每日推送!$F:$F,每日推送!$B:$B,$A7,每日推送!$A:$A,AB$1)</f>
        <v>0</v>
      </c>
      <c r="AC7" s="4">
        <f>SUMIFS(每日推送!$F:$F,每日推送!$B:$B,$A7,每日推送!$A:$A,AC$1)</f>
        <v>0</v>
      </c>
      <c r="AD7" s="4">
        <f>SUMIFS(每日推送!$F:$F,每日推送!$B:$B,$A7,每日推送!$A:$A,AD$1)</f>
        <v>0</v>
      </c>
      <c r="AE7" s="4">
        <f>SUMIFS(每日推送!$F:$F,每日推送!$B:$B,$A7,每日推送!$A:$A,AE$1)</f>
        <v>0</v>
      </c>
      <c r="AF7" s="4">
        <f>SUMIFS(每日推送!$F:$F,每日推送!$B:$B,$A7,每日推送!$A:$A,AF$1)</f>
        <v>0</v>
      </c>
      <c r="AG7" s="4">
        <f>SUMIFS(每日推送!$F:$F,每日推送!$B:$B,$A7,每日推送!$A:$A,AG$1)</f>
        <v>0</v>
      </c>
      <c r="AH7" s="4">
        <f>SUMIFS(每日推送!$F:$F,每日推送!$B:$B,$A7,每日推送!$A:$A,AH$1)</f>
        <v>0</v>
      </c>
      <c r="AI7" s="4">
        <f>SUMIFS(每日推送!$F:$F,每日推送!$B:$B,$A7,每日推送!$A:$A,AI$1)</f>
        <v>0</v>
      </c>
    </row>
    <row r="8" spans="1:36" x14ac:dyDescent="0.15">
      <c r="A8" s="17" t="s">
        <v>43</v>
      </c>
      <c r="B8" s="10">
        <f>SUMIFS(每日推送!$D:$D,每日推送!$B:$B,$A8)</f>
        <v>26</v>
      </c>
      <c r="C8" s="21">
        <f>SUMIFS(每日推送!$E:$E,每日推送!$B:$B,$A8)</f>
        <v>667.68</v>
      </c>
      <c r="D8" s="9">
        <f t="shared" si="0"/>
        <v>25.68</v>
      </c>
      <c r="E8" s="9"/>
      <c r="F8" s="4">
        <f>SUMIFS(每日推送!$F:$F,每日推送!$B:$B,$A8,每日推送!$A:$A,F$1)</f>
        <v>21.703333333333333</v>
      </c>
      <c r="G8" s="4">
        <f>SUMIFS(每日推送!$F:$F,每日推送!$B:$B,$A8,每日推送!$A:$A,G$1)</f>
        <v>1.4285714285714287E-2</v>
      </c>
      <c r="H8" s="4">
        <f>SUMIFS(每日推送!$F:$F,每日推送!$B:$B,$A8,每日推送!$A:$A,H$1)</f>
        <v>0</v>
      </c>
      <c r="I8" s="4">
        <f>SUMIFS(每日推送!$F:$F,每日推送!$B:$B,$A8,每日推送!$A:$A,I$1)</f>
        <v>0</v>
      </c>
      <c r="J8" s="4">
        <f>SUMIFS(每日推送!$F:$F,每日推送!$B:$B,$A8,每日推送!$A:$A,J$1)</f>
        <v>0</v>
      </c>
      <c r="K8" s="4">
        <f>SUMIFS(每日推送!$F:$F,每日推送!$B:$B,$A8,每日推送!$A:$A,K$1)</f>
        <v>0</v>
      </c>
      <c r="L8" s="4">
        <f>SUMIFS(每日推送!$F:$F,每日推送!$B:$B,$A8,每日推送!$A:$A,L$1)</f>
        <v>30</v>
      </c>
      <c r="M8" s="4">
        <f>SUMIFS(每日推送!$F:$F,每日推送!$B:$B,$A8,每日推送!$A:$A,M$1)</f>
        <v>0</v>
      </c>
      <c r="N8" s="4">
        <f>SUMIFS(每日推送!$F:$F,每日推送!$B:$B,$A8,每日推送!$A:$A,N$1)</f>
        <v>29.574999999999999</v>
      </c>
      <c r="O8" s="4">
        <f>SUMIFS(每日推送!$F:$F,每日推送!$B:$B,$A8,每日推送!$A:$A,O$1)</f>
        <v>5</v>
      </c>
      <c r="P8" s="4">
        <f>SUMIFS(每日推送!$F:$F,每日推送!$B:$B,$A8,每日推送!$A:$A,P$1)</f>
        <v>0</v>
      </c>
      <c r="Q8" s="4">
        <f>SUMIFS(每日推送!$F:$F,每日推送!$B:$B,$A8,每日推送!$A:$A,Q$1)</f>
        <v>87.5</v>
      </c>
      <c r="R8" s="4">
        <f>SUMIFS(每日推送!$F:$F,每日推送!$B:$B,$A8,每日推送!$A:$A,R$1)</f>
        <v>0</v>
      </c>
      <c r="S8" s="4">
        <f>SUMIFS(每日推送!$F:$F,每日推送!$B:$B,$A8,每日推送!$A:$A,S$1)</f>
        <v>23.333333333333332</v>
      </c>
      <c r="T8" s="4">
        <f>SUMIFS(每日推送!$F:$F,每日推送!$B:$B,$A8,每日推送!$A:$A,T$1)</f>
        <v>20.033333333333335</v>
      </c>
      <c r="U8" s="4">
        <f>SUMIFS(每日推送!$F:$F,每日推送!$B:$B,$A8,每日推送!$A:$A,U$1)</f>
        <v>15</v>
      </c>
      <c r="V8" s="4">
        <f>SUMIFS(每日推送!$F:$F,每日推送!$B:$B,$A8,每日推送!$A:$A,V$1)</f>
        <v>0</v>
      </c>
      <c r="W8" s="4">
        <f>SUMIFS(每日推送!$F:$F,每日推送!$B:$B,$A8,每日推送!$A:$A,W$1)</f>
        <v>0</v>
      </c>
      <c r="X8" s="4">
        <f>SUMIFS(每日推送!$F:$F,每日推送!$B:$B,$A8,每日推送!$A:$A,X$1)</f>
        <v>0</v>
      </c>
      <c r="Y8" s="4">
        <f>SUMIFS(每日推送!$F:$F,每日推送!$B:$B,$A8,每日推送!$A:$A,Y$1)</f>
        <v>0</v>
      </c>
      <c r="Z8" s="4">
        <f>SUMIFS(每日推送!$F:$F,每日推送!$B:$B,$A8,每日推送!$A:$A,Z$1)</f>
        <v>0</v>
      </c>
      <c r="AA8" s="4">
        <f>SUMIFS(每日推送!$F:$F,每日推送!$B:$B,$A8,每日推送!$A:$A,AA$1)</f>
        <v>0</v>
      </c>
      <c r="AB8" s="4">
        <f>SUMIFS(每日推送!$F:$F,每日推送!$B:$B,$A8,每日推送!$A:$A,AB$1)</f>
        <v>0</v>
      </c>
      <c r="AC8" s="4">
        <f>SUMIFS(每日推送!$F:$F,每日推送!$B:$B,$A8,每日推送!$A:$A,AC$1)</f>
        <v>0</v>
      </c>
      <c r="AD8" s="4">
        <f>SUMIFS(每日推送!$F:$F,每日推送!$B:$B,$A8,每日推送!$A:$A,AD$1)</f>
        <v>0</v>
      </c>
      <c r="AE8" s="4">
        <f>SUMIFS(每日推送!$F:$F,每日推送!$B:$B,$A8,每日推送!$A:$A,AE$1)</f>
        <v>0</v>
      </c>
      <c r="AF8" s="4">
        <f>SUMIFS(每日推送!$F:$F,每日推送!$B:$B,$A8,每日推送!$A:$A,AF$1)</f>
        <v>0</v>
      </c>
      <c r="AG8" s="4">
        <f>SUMIFS(每日推送!$F:$F,每日推送!$B:$B,$A8,每日推送!$A:$A,AG$1)</f>
        <v>0</v>
      </c>
      <c r="AH8" s="4">
        <f>SUMIFS(每日推送!$F:$F,每日推送!$B:$B,$A8,每日推送!$A:$A,AH$1)</f>
        <v>0</v>
      </c>
      <c r="AI8" s="4">
        <f>SUMIFS(每日推送!$F:$F,每日推送!$B:$B,$A8,每日推送!$A:$A,AI$1)</f>
        <v>0</v>
      </c>
      <c r="AJ8" s="4">
        <f>SUMIFS(每日推送!$F:$F,每日推送!$B:$B,$A8,每日推送!$A:$A,AJ$1)</f>
        <v>0</v>
      </c>
    </row>
    <row r="9" spans="1:36" x14ac:dyDescent="0.15">
      <c r="A9" s="17" t="s">
        <v>44</v>
      </c>
      <c r="B9" s="10">
        <f>SUMIFS(每日推送!$D:$D,每日推送!$B:$B,$A9)</f>
        <v>733</v>
      </c>
      <c r="C9" s="21">
        <f>SUMIFS(每日推送!$E:$E,每日推送!$B:$B,$A9)</f>
        <v>13715.47</v>
      </c>
      <c r="D9" s="9">
        <f t="shared" si="0"/>
        <v>18.711418826739425</v>
      </c>
      <c r="E9" s="9"/>
      <c r="F9" s="4">
        <f>SUMIFS(每日推送!$F:$F,每日推送!$B:$B,$A9,每日推送!$A:$A,F$1)</f>
        <v>9.4805882352941175</v>
      </c>
      <c r="G9" s="4">
        <f>SUMIFS(每日推送!$F:$F,每日推送!$B:$B,$A9,每日推送!$A:$A,G$1)</f>
        <v>5.068307692307692</v>
      </c>
      <c r="H9" s="4">
        <f>SUMIFS(每日推送!$F:$F,每日推送!$B:$B,$A9,每日推送!$A:$A,H$1)</f>
        <v>12.340632911392404</v>
      </c>
      <c r="I9" s="4">
        <f>SUMIFS(每日推送!$F:$F,每日推送!$B:$B,$A9,每日推送!$A:$A,I$1)</f>
        <v>15.499344262295082</v>
      </c>
      <c r="J9" s="4">
        <f>SUMIFS(每日推送!$F:$F,每日推送!$B:$B,$A9,每日推送!$A:$A,J$1)</f>
        <v>21.589259259259258</v>
      </c>
      <c r="K9" s="4">
        <f>SUMIFS(每日推送!$F:$F,每日推送!$B:$B,$A9,每日推送!$A:$A,K$1)</f>
        <v>22.985932203389833</v>
      </c>
      <c r="L9" s="4">
        <f>SUMIFS(每日推送!$F:$F,每日推送!$B:$B,$A9,每日推送!$A:$A,L$1)</f>
        <v>16.32679245283019</v>
      </c>
      <c r="M9" s="4">
        <f>SUMIFS(每日推送!$F:$F,每日推送!$B:$B,$A9,每日推送!$A:$A,M$1)</f>
        <v>24.133829787234042</v>
      </c>
      <c r="N9" s="4">
        <f>SUMIFS(每日推送!$F:$F,每日推送!$B:$B,$A9,每日推送!$A:$A,N$1)</f>
        <v>13.625249999999999</v>
      </c>
      <c r="O9" s="4">
        <f>SUMIFS(每日推送!$F:$F,每日推送!$B:$B,$A9,每日推送!$A:$A,O$1)</f>
        <v>16.356999999999999</v>
      </c>
      <c r="P9" s="4">
        <f>SUMIFS(每日推送!$F:$F,每日推送!$B:$B,$A9,每日推送!$A:$A,P$1)</f>
        <v>24.098749999999999</v>
      </c>
      <c r="Q9" s="4">
        <f>SUMIFS(每日推送!$F:$F,每日推送!$B:$B,$A9,每日推送!$A:$A,Q$1)</f>
        <v>16.176785714285714</v>
      </c>
      <c r="R9" s="4">
        <f>SUMIFS(每日推送!$F:$F,每日推送!$B:$B,$A9,每日推送!$A:$A,R$1)</f>
        <v>47.120909090909095</v>
      </c>
      <c r="S9" s="4">
        <f>SUMIFS(每日推送!$F:$F,每日推送!$B:$B,$A9,每日推送!$A:$A,S$1)</f>
        <v>48.062380952380948</v>
      </c>
      <c r="T9" s="4">
        <f>SUMIFS(每日推送!$F:$F,每日推送!$B:$B,$A9,每日推送!$A:$A,T$1)</f>
        <v>30.245249999999999</v>
      </c>
      <c r="U9" s="4">
        <f>SUMIFS(每日推送!$F:$F,每日推送!$B:$B,$A9,每日推送!$A:$A,U$1)</f>
        <v>28.935555555555553</v>
      </c>
      <c r="V9" s="4">
        <f>SUMIFS(每日推送!$F:$F,每日推送!$B:$B,$A9,每日推送!$A:$A,V$1)</f>
        <v>0</v>
      </c>
      <c r="W9" s="4">
        <f>SUMIFS(每日推送!$F:$F,每日推送!$B:$B,$A9,每日推送!$A:$A,W$1)</f>
        <v>0</v>
      </c>
      <c r="X9" s="4">
        <f>SUMIFS(每日推送!$F:$F,每日推送!$B:$B,$A9,每日推送!$A:$A,X$1)</f>
        <v>0</v>
      </c>
      <c r="Y9" s="4">
        <f>SUMIFS(每日推送!$F:$F,每日推送!$B:$B,$A9,每日推送!$A:$A,Y$1)</f>
        <v>0</v>
      </c>
      <c r="Z9" s="4">
        <f>SUMIFS(每日推送!$F:$F,每日推送!$B:$B,$A9,每日推送!$A:$A,Z$1)</f>
        <v>0</v>
      </c>
      <c r="AA9" s="4">
        <f>SUMIFS(每日推送!$F:$F,每日推送!$B:$B,$A9,每日推送!$A:$A,AA$1)</f>
        <v>0</v>
      </c>
      <c r="AB9" s="4">
        <f>SUMIFS(每日推送!$F:$F,每日推送!$B:$B,$A9,每日推送!$A:$A,AB$1)</f>
        <v>0</v>
      </c>
      <c r="AC9" s="4">
        <f>SUMIFS(每日推送!$F:$F,每日推送!$B:$B,$A9,每日推送!$A:$A,AC$1)</f>
        <v>0</v>
      </c>
      <c r="AD9" s="4">
        <f>SUMIFS(每日推送!$F:$F,每日推送!$B:$B,$A9,每日推送!$A:$A,AD$1)</f>
        <v>0</v>
      </c>
      <c r="AE9" s="4">
        <f>SUMIFS(每日推送!$F:$F,每日推送!$B:$B,$A9,每日推送!$A:$A,AE$1)</f>
        <v>0</v>
      </c>
      <c r="AF9" s="4">
        <f>SUMIFS(每日推送!$F:$F,每日推送!$B:$B,$A9,每日推送!$A:$A,AF$1)</f>
        <v>0</v>
      </c>
      <c r="AG9" s="4">
        <f>SUMIFS(每日推送!$F:$F,每日推送!$B:$B,$A9,每日推送!$A:$A,AG$1)</f>
        <v>0</v>
      </c>
      <c r="AH9" s="4">
        <f>SUMIFS(每日推送!$F:$F,每日推送!$B:$B,$A9,每日推送!$A:$A,AH$1)</f>
        <v>0</v>
      </c>
      <c r="AI9" s="4">
        <f>SUMIFS(每日推送!$F:$F,每日推送!$B:$B,$A9,每日推送!$A:$A,AI$1)</f>
        <v>0</v>
      </c>
      <c r="AJ9" s="4">
        <f>SUMIFS(每日推送!$F:$F,每日推送!$B:$B,$A9,每日推送!$A:$A,AJ$1)</f>
        <v>0</v>
      </c>
    </row>
    <row r="10" spans="1:36" x14ac:dyDescent="0.15">
      <c r="A10" s="12" t="s">
        <v>11</v>
      </c>
      <c r="B10" s="13">
        <f>AVERAGE(B2:B9)</f>
        <v>575.875</v>
      </c>
      <c r="C10" s="22">
        <f>AVERAGE(C2:C9)</f>
        <v>3876.92875</v>
      </c>
      <c r="D10" s="30">
        <f t="shared" si="0"/>
        <v>6.7322400694595181</v>
      </c>
      <c r="E10" s="14"/>
      <c r="F10" s="15">
        <f t="shared" ref="F10:AI10" si="1">AVERAGE(F2:F7)</f>
        <v>5.4925176557530584</v>
      </c>
      <c r="G10" s="15">
        <f t="shared" si="1"/>
        <v>6.2092897839708181</v>
      </c>
      <c r="H10" s="15">
        <f t="shared" si="1"/>
        <v>3.5391870452825795</v>
      </c>
      <c r="I10" s="15">
        <f t="shared" si="1"/>
        <v>3.6015887756634015</v>
      </c>
      <c r="J10" s="15">
        <f t="shared" si="1"/>
        <v>8.457383983686066</v>
      </c>
      <c r="K10" s="15">
        <f t="shared" si="1"/>
        <v>14.470293110869401</v>
      </c>
      <c r="L10" s="15">
        <f t="shared" si="1"/>
        <v>9.3979189771368272</v>
      </c>
      <c r="M10" s="15">
        <f t="shared" si="1"/>
        <v>4.2528980102677565</v>
      </c>
      <c r="N10" s="15">
        <f t="shared" si="1"/>
        <v>7.3543660018175734</v>
      </c>
      <c r="O10" s="15">
        <f t="shared" si="1"/>
        <v>6.6559025455221104</v>
      </c>
      <c r="P10" s="15">
        <f t="shared" si="1"/>
        <v>6.2812526068711634</v>
      </c>
      <c r="Q10" s="15">
        <f t="shared" si="1"/>
        <v>0.69717592592592592</v>
      </c>
      <c r="R10" s="15">
        <f t="shared" si="1"/>
        <v>6.1477334943639299</v>
      </c>
      <c r="S10" s="15">
        <f t="shared" si="1"/>
        <v>2.2931986531986532</v>
      </c>
      <c r="T10" s="15">
        <f t="shared" si="1"/>
        <v>2.7558570750237412</v>
      </c>
      <c r="U10" s="15">
        <f t="shared" si="1"/>
        <v>4.0235591877880177</v>
      </c>
      <c r="V10" s="15">
        <f t="shared" si="1"/>
        <v>0</v>
      </c>
      <c r="W10" s="15">
        <f t="shared" si="1"/>
        <v>0</v>
      </c>
      <c r="X10" s="15">
        <f t="shared" si="1"/>
        <v>0</v>
      </c>
      <c r="Y10" s="15">
        <f t="shared" si="1"/>
        <v>0</v>
      </c>
      <c r="Z10" s="15">
        <f t="shared" si="1"/>
        <v>0</v>
      </c>
      <c r="AA10" s="15">
        <f t="shared" si="1"/>
        <v>0</v>
      </c>
      <c r="AB10" s="15">
        <f t="shared" si="1"/>
        <v>0</v>
      </c>
      <c r="AC10" s="15">
        <f t="shared" si="1"/>
        <v>0</v>
      </c>
      <c r="AD10" s="15">
        <f t="shared" si="1"/>
        <v>0</v>
      </c>
      <c r="AE10" s="15">
        <f t="shared" si="1"/>
        <v>0</v>
      </c>
      <c r="AF10" s="15">
        <f t="shared" si="1"/>
        <v>0</v>
      </c>
      <c r="AG10" s="15">
        <f t="shared" si="1"/>
        <v>0</v>
      </c>
      <c r="AH10" s="15">
        <f t="shared" si="1"/>
        <v>0</v>
      </c>
      <c r="AI10" s="15">
        <f t="shared" si="1"/>
        <v>0</v>
      </c>
    </row>
    <row r="24" spans="6:6" x14ac:dyDescent="0.15">
      <c r="F24" s="4"/>
    </row>
  </sheetData>
  <phoneticPr fontId="1" type="noConversion"/>
  <conditionalFormatting sqref="D2:E5 E6 F2:AI7 D7:E10 F8:AJ9">
    <cfRule type="cellIs" dxfId="5" priority="9" operator="greaterThan">
      <formula>4</formula>
    </cfRule>
    <cfRule type="cellIs" dxfId="4" priority="10" operator="lessThan">
      <formula>1</formula>
    </cfRule>
  </conditionalFormatting>
  <conditionalFormatting sqref="F10:AI10">
    <cfRule type="cellIs" dxfId="3" priority="5" operator="greaterThan">
      <formula>4</formula>
    </cfRule>
    <cfRule type="cellIs" dxfId="2" priority="6" operator="less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22"/>
  <sheetViews>
    <sheetView showZeros="0" workbookViewId="0">
      <pane xSplit="1" ySplit="26" topLeftCell="B27" activePane="bottomRight" state="frozen"/>
      <selection pane="topRight" activeCell="F1" sqref="F1"/>
      <selection pane="bottomLeft" activeCell="A27" sqref="A27"/>
      <selection pane="bottomRight" activeCell="B8" sqref="B8"/>
    </sheetView>
  </sheetViews>
  <sheetFormatPr defaultRowHeight="13.5" x14ac:dyDescent="0.15"/>
  <cols>
    <col min="1" max="1" width="21.25" style="3" customWidth="1"/>
    <col min="2" max="9" width="9" style="3" customWidth="1"/>
    <col min="10" max="17" width="9" style="3"/>
    <col min="18" max="18" width="9.375" style="3" customWidth="1"/>
    <col min="19" max="21" width="9" style="3"/>
    <col min="22" max="31" width="9" style="3" customWidth="1"/>
    <col min="32" max="33" width="9" customWidth="1"/>
  </cols>
  <sheetData>
    <row r="1" spans="1:32" ht="16.5" x14ac:dyDescent="0.15">
      <c r="A1" s="5" t="s">
        <v>7</v>
      </c>
      <c r="B1" s="6">
        <v>42644</v>
      </c>
      <c r="C1" s="6">
        <v>42645</v>
      </c>
      <c r="D1" s="6">
        <v>42646</v>
      </c>
      <c r="E1" s="6">
        <v>42647</v>
      </c>
      <c r="F1" s="6">
        <v>42648</v>
      </c>
      <c r="G1" s="6">
        <v>42649</v>
      </c>
      <c r="H1" s="6">
        <v>42650</v>
      </c>
      <c r="I1" s="6">
        <v>42651</v>
      </c>
      <c r="J1" s="6">
        <v>42652</v>
      </c>
      <c r="K1" s="6">
        <v>42653</v>
      </c>
      <c r="L1" s="6">
        <v>42654</v>
      </c>
      <c r="M1" s="6">
        <v>42655</v>
      </c>
      <c r="N1" s="6">
        <v>42656</v>
      </c>
      <c r="O1" s="6">
        <v>42657</v>
      </c>
      <c r="P1" s="6">
        <v>42658</v>
      </c>
      <c r="Q1" s="6">
        <v>42659</v>
      </c>
      <c r="R1" s="6">
        <v>42660</v>
      </c>
      <c r="S1" s="6">
        <v>42661</v>
      </c>
      <c r="T1" s="6">
        <v>42662</v>
      </c>
      <c r="U1" s="6">
        <v>42663</v>
      </c>
      <c r="V1" s="6">
        <v>42664</v>
      </c>
      <c r="W1" s="6">
        <v>42665</v>
      </c>
      <c r="X1" s="6">
        <v>42666</v>
      </c>
      <c r="Y1" s="6">
        <v>42667</v>
      </c>
      <c r="Z1" s="6">
        <v>42668</v>
      </c>
      <c r="AA1" s="6">
        <v>42669</v>
      </c>
      <c r="AB1" s="6">
        <v>42670</v>
      </c>
      <c r="AC1" s="6">
        <v>42671</v>
      </c>
      <c r="AD1" s="6">
        <v>42672</v>
      </c>
      <c r="AE1" s="6">
        <v>42673</v>
      </c>
      <c r="AF1" s="6">
        <v>42674</v>
      </c>
    </row>
    <row r="2" spans="1:32" x14ac:dyDescent="0.15">
      <c r="A2" s="17" t="s">
        <v>21</v>
      </c>
      <c r="B2" s="4">
        <f>SUMIFS(每日推送!$F:$F,每日推送!$B:$B,$A2,每日推送!$A:$A,B$1)</f>
        <v>10.02</v>
      </c>
      <c r="C2" s="4">
        <f>SUMIFS(每日推送!$F:$F,每日推送!$B:$B,$A2,每日推送!$A:$A,C$1)</f>
        <v>15.321999999999999</v>
      </c>
      <c r="D2" s="4">
        <f>SUMIFS(每日推送!$F:$F,每日推送!$B:$B,$A2,每日推送!$A:$A,D$1)</f>
        <v>0</v>
      </c>
      <c r="E2" s="4">
        <f>SUMIFS(每日推送!$F:$F,每日推送!$B:$B,$A2,每日推送!$A:$A,E$1)</f>
        <v>0</v>
      </c>
      <c r="F2" s="4">
        <f>SUMIFS(每日推送!$F:$F,每日推送!$B:$B,$A2,每日推送!$A:$A,F$1)</f>
        <v>25.05</v>
      </c>
      <c r="G2" s="4">
        <f>SUMIFS(每日推送!$F:$F,每日推送!$B:$B,$A2,每日推送!$A:$A,G$1)</f>
        <v>57</v>
      </c>
      <c r="H2" s="4">
        <f>SUMIFS(每日推送!$F:$F,每日推送!$B:$B,$A2,每日推送!$A:$A,H$1)</f>
        <v>23.180000000000003</v>
      </c>
      <c r="I2" s="4">
        <f>SUMIFS(每日推送!$F:$F,每日推送!$B:$B,$A2,每日推送!$A:$A,I$1)</f>
        <v>0</v>
      </c>
      <c r="J2" s="4">
        <f>SUMIFS(每日推送!$F:$F,每日推送!$B:$B,$A2,每日推送!$A:$A,J$1)</f>
        <v>0</v>
      </c>
      <c r="K2" s="4">
        <f>SUMIFS(每日推送!$F:$F,每日推送!$B:$B,$A2,每日推送!$A:$A,K$1)</f>
        <v>0</v>
      </c>
      <c r="L2" s="4">
        <f>SUMIFS(每日推送!$F:$F,每日推送!$B:$B,$A2,每日推送!$A:$A,L$1)</f>
        <v>8.6363636363636367</v>
      </c>
      <c r="M2" s="4">
        <f>SUMIFS(每日推送!$F:$F,每日推送!$B:$B,$A2,每日推送!$A:$A,M$1)</f>
        <v>0</v>
      </c>
      <c r="N2" s="4">
        <f>SUMIFS(每日推送!$F:$F,每日推送!$B:$B,$A2,每日推送!$A:$A,N$1)</f>
        <v>0</v>
      </c>
      <c r="O2" s="4">
        <f>SUMIFS(每日推送!$F:$F,每日推送!$B:$B,$A2,每日推送!$A:$A,O$1)</f>
        <v>0</v>
      </c>
      <c r="P2" s="4">
        <f>SUMIFS(每日推送!$F:$F,每日推送!$B:$B,$A2,每日推送!$A:$A,P$1)</f>
        <v>0</v>
      </c>
      <c r="Q2" s="4">
        <f>SUMIFS(每日推送!$F:$F,每日推送!$B:$B,$A2,每日推送!$A:$A,Q$1)</f>
        <v>0</v>
      </c>
      <c r="R2" s="4">
        <f>SUMIFS(每日推送!$F:$F,每日推送!$B:$B,$A2,每日推送!$A:$A,R$1)</f>
        <v>0</v>
      </c>
      <c r="S2" s="4">
        <f>SUMIFS(每日推送!$F:$F,每日推送!$B:$B,$A2,每日推送!$A:$A,S$1)</f>
        <v>0</v>
      </c>
      <c r="T2" s="4">
        <f>SUMIFS(每日推送!$F:$F,每日推送!$B:$B,$A2,每日推送!$A:$A,T$1)</f>
        <v>0</v>
      </c>
      <c r="U2" s="4">
        <f>SUMIFS(每日推送!$F:$F,每日推送!$B:$B,$A2,每日推送!$A:$A,U$1)</f>
        <v>0</v>
      </c>
      <c r="V2" s="4">
        <f>SUMIFS(每日推送!$F:$F,每日推送!$B:$B,$A2,每日推送!$A:$A,V$1)</f>
        <v>0</v>
      </c>
      <c r="W2" s="4">
        <f>SUMIFS(每日推送!$F:$F,每日推送!$B:$B,$A2,每日推送!$A:$A,W$1)</f>
        <v>0</v>
      </c>
      <c r="X2" s="4">
        <f>SUMIFS(每日推送!$F:$F,每日推送!$B:$B,$A2,每日推送!$A:$A,X$1)</f>
        <v>0</v>
      </c>
      <c r="Y2" s="4">
        <f>SUMIFS(每日推送!$F:$F,每日推送!$B:$B,$A2,每日推送!$A:$A,Y$1)</f>
        <v>0</v>
      </c>
      <c r="Z2" s="4">
        <f>SUMIFS(每日推送!$F:$F,每日推送!$B:$B,$A2,每日推送!$A:$A,Z$1)</f>
        <v>0</v>
      </c>
      <c r="AA2" s="4">
        <f>SUMIFS(每日推送!$F:$F,每日推送!$B:$B,$A2,每日推送!$A:$A,AA$1)</f>
        <v>0</v>
      </c>
      <c r="AB2" s="4">
        <f>SUMIFS(每日推送!$F:$F,每日推送!$B:$B,$A2,每日推送!$A:$A,AB$1)</f>
        <v>0</v>
      </c>
      <c r="AC2" s="4">
        <f>SUMIFS(每日推送!$F:$F,每日推送!$B:$B,$A2,每日推送!$A:$A,AC$1)</f>
        <v>0</v>
      </c>
      <c r="AD2" s="4">
        <f>SUMIFS(每日推送!$F:$F,每日推送!$B:$B,$A2,每日推送!$A:$A,AD$1)</f>
        <v>0</v>
      </c>
      <c r="AE2" s="4">
        <f>SUMIFS(每日推送!$F:$F,每日推送!$B:$B,$A2,每日推送!$A:$A,AE$1)</f>
        <v>0</v>
      </c>
    </row>
    <row r="3" spans="1:32" x14ac:dyDescent="0.15">
      <c r="A3" s="17" t="s">
        <v>22</v>
      </c>
      <c r="B3" s="4">
        <f>SUMIFS(每日推送!$F:$F,每日推送!$B:$B,$A3,每日推送!$A:$A,B$1)</f>
        <v>7.8555000000000001</v>
      </c>
      <c r="C3" s="4">
        <f>SUMIFS(每日推送!$F:$F,每日推送!$B:$B,$A3,每日推送!$A:$A,C$1)</f>
        <v>4.6637500000000003</v>
      </c>
      <c r="D3" s="4">
        <f>SUMIFS(每日推送!$F:$F,每日推送!$B:$B,$A3,每日推送!$A:$A,D$1)</f>
        <v>7.7728260869565222</v>
      </c>
      <c r="E3" s="4">
        <f>SUMIFS(每日推送!$F:$F,每日推送!$B:$B,$A3,每日推送!$A:$A,E$1)</f>
        <v>4.55</v>
      </c>
      <c r="F3" s="4">
        <f>SUMIFS(每日推送!$F:$F,每日推送!$B:$B,$A3,每日推送!$A:$A,F$1)</f>
        <v>5.741190476190476</v>
      </c>
      <c r="G3" s="4">
        <f>SUMIFS(每日推送!$F:$F,每日推送!$B:$B,$A3,每日推送!$A:$A,G$1)</f>
        <v>10.397105263157894</v>
      </c>
      <c r="H3" s="4">
        <f>SUMIFS(每日推送!$F:$F,每日推送!$B:$B,$A3,每日推送!$A:$A,H$1)</f>
        <v>10.248387096774193</v>
      </c>
      <c r="I3" s="4">
        <f>SUMIFS(每日推送!$F:$F,每日推送!$B:$B,$A3,每日推送!$A:$A,I$1)</f>
        <v>1.8803125000000001</v>
      </c>
      <c r="J3" s="4">
        <f>SUMIFS(每日推送!$F:$F,每日推送!$B:$B,$A3,每日推送!$A:$A,J$1)</f>
        <v>17.653333333333332</v>
      </c>
      <c r="K3" s="4">
        <f>SUMIFS(每日推送!$F:$F,每日推送!$B:$B,$A3,每日推送!$A:$A,K$1)</f>
        <v>13.809166666666668</v>
      </c>
      <c r="L3" s="4">
        <f>SUMIFS(每日推送!$F:$F,每日推送!$B:$B,$A3,每日推送!$A:$A,L$1)</f>
        <v>2.6551351351351351</v>
      </c>
      <c r="M3" s="4">
        <f>SUMIFS(每日推送!$F:$F,每日推送!$B:$B,$A3,每日推送!$A:$A,M$1)</f>
        <v>2.2555555555555555</v>
      </c>
      <c r="N3" s="4">
        <f>SUMIFS(每日推送!$F:$F,每日推送!$B:$B,$A3,每日推送!$A:$A,N$1)</f>
        <v>6.6666666666666671E-3</v>
      </c>
      <c r="O3" s="4">
        <f>SUMIFS(每日推送!$F:$F,每日推送!$B:$B,$A3,每日推送!$A:$A,O$1)</f>
        <v>9.8372727272727261</v>
      </c>
      <c r="P3" s="4">
        <f>SUMIFS(每日推送!$F:$F,每日推送!$B:$B,$A3,每日推送!$A:$A,P$1)</f>
        <v>6.1262962962962959</v>
      </c>
      <c r="Q3" s="4">
        <f>SUMIFS(每日推送!$F:$F,每日推送!$B:$B,$A3,每日推送!$A:$A,Q$1)</f>
        <v>7.5795238095238089</v>
      </c>
      <c r="R3" s="4">
        <f>SUMIFS(每日推送!$F:$F,每日推送!$B:$B,$A3,每日推送!$A:$A,R$1)</f>
        <v>0</v>
      </c>
      <c r="S3" s="4">
        <f>SUMIFS(每日推送!$F:$F,每日推送!$B:$B,$A3,每日推送!$A:$A,S$1)</f>
        <v>0</v>
      </c>
      <c r="T3" s="4">
        <f>SUMIFS(每日推送!$F:$F,每日推送!$B:$B,$A3,每日推送!$A:$A,T$1)</f>
        <v>0</v>
      </c>
      <c r="U3" s="4">
        <f>SUMIFS(每日推送!$F:$F,每日推送!$B:$B,$A3,每日推送!$A:$A,U$1)</f>
        <v>0</v>
      </c>
      <c r="V3" s="4">
        <f>SUMIFS(每日推送!$F:$F,每日推送!$B:$B,$A3,每日推送!$A:$A,V$1)</f>
        <v>0</v>
      </c>
      <c r="W3" s="4">
        <f>SUMIFS(每日推送!$F:$F,每日推送!$B:$B,$A3,每日推送!$A:$A,W$1)</f>
        <v>0</v>
      </c>
      <c r="X3" s="4">
        <f>SUMIFS(每日推送!$F:$F,每日推送!$B:$B,$A3,每日推送!$A:$A,X$1)</f>
        <v>0</v>
      </c>
      <c r="Y3" s="4">
        <f>SUMIFS(每日推送!$F:$F,每日推送!$B:$B,$A3,每日推送!$A:$A,Y$1)</f>
        <v>0</v>
      </c>
      <c r="Z3" s="4">
        <f>SUMIFS(每日推送!$F:$F,每日推送!$B:$B,$A3,每日推送!$A:$A,Z$1)</f>
        <v>0</v>
      </c>
      <c r="AA3" s="4">
        <f>SUMIFS(每日推送!$F:$F,每日推送!$B:$B,$A3,每日推送!$A:$A,AA$1)</f>
        <v>0</v>
      </c>
      <c r="AB3" s="4">
        <f>SUMIFS(每日推送!$F:$F,每日推送!$B:$B,$A3,每日推送!$A:$A,AB$1)</f>
        <v>0</v>
      </c>
      <c r="AC3" s="4">
        <f>SUMIFS(每日推送!$F:$F,每日推送!$B:$B,$A3,每日推送!$A:$A,AC$1)</f>
        <v>0</v>
      </c>
      <c r="AD3" s="4">
        <f>SUMIFS(每日推送!$F:$F,每日推送!$B:$B,$A3,每日推送!$A:$A,AD$1)</f>
        <v>0</v>
      </c>
      <c r="AE3" s="4">
        <f>SUMIFS(每日推送!$F:$F,每日推送!$B:$B,$A3,每日推送!$A:$A,AE$1)</f>
        <v>0</v>
      </c>
    </row>
    <row r="4" spans="1:32" x14ac:dyDescent="0.15">
      <c r="A4" s="17" t="s">
        <v>19</v>
      </c>
      <c r="B4" s="4">
        <f>SUMIFS(每日推送!$F:$F,每日推送!$B:$B,$A4,每日推送!$A:$A,B$1)</f>
        <v>3.7039130434782606</v>
      </c>
      <c r="C4" s="4">
        <f>SUMIFS(每日推送!$F:$F,每日推送!$B:$B,$A4,每日推送!$A:$A,C$1)</f>
        <v>5.1465517241379306</v>
      </c>
      <c r="D4" s="4">
        <f>SUMIFS(每日推送!$F:$F,每日推送!$B:$B,$A4,每日推送!$A:$A,D$1)</f>
        <v>4.9892500000000002</v>
      </c>
      <c r="E4" s="4">
        <f>SUMIFS(每日推送!$F:$F,每日推送!$B:$B,$A4,每日推送!$A:$A,E$1)</f>
        <v>0.5625</v>
      </c>
      <c r="F4" s="4">
        <f>SUMIFS(每日推送!$F:$F,每日推送!$B:$B,$A4,每日推送!$A:$A,F$1)</f>
        <v>4.6571875</v>
      </c>
      <c r="G4" s="4">
        <f>SUMIFS(每日推送!$F:$F,每日推送!$B:$B,$A4,每日推送!$A:$A,G$1)</f>
        <v>5.4788235294117644</v>
      </c>
      <c r="H4" s="4">
        <f>SUMIFS(每日推送!$F:$F,每日推送!$B:$B,$A4,每日推送!$A:$A,H$1)</f>
        <v>4.8705263157894736</v>
      </c>
      <c r="I4" s="4">
        <f>SUMIFS(每日推送!$F:$F,每日推送!$B:$B,$A4,每日推送!$A:$A,I$1)</f>
        <v>4.3125</v>
      </c>
      <c r="J4" s="4">
        <f>SUMIFS(每日推送!$F:$F,每日推送!$B:$B,$A4,每日推送!$A:$A,J$1)</f>
        <v>1.6</v>
      </c>
      <c r="K4" s="4">
        <f>SUMIFS(每日推送!$F:$F,每日推送!$B:$B,$A4,每日推送!$A:$A,K$1)</f>
        <v>0.83333333333333337</v>
      </c>
      <c r="L4" s="4">
        <f>SUMIFS(每日推送!$F:$F,每日推送!$B:$B,$A4,每日推送!$A:$A,L$1)</f>
        <v>0</v>
      </c>
      <c r="M4" s="4">
        <f>SUMIFS(每日推送!$F:$F,每日推送!$B:$B,$A4,每日推送!$A:$A,M$1)</f>
        <v>0</v>
      </c>
      <c r="N4" s="4">
        <f>SUMIFS(每日推送!$F:$F,每日推送!$B:$B,$A4,每日推送!$A:$A,N$1)</f>
        <v>2.0950000000000002</v>
      </c>
      <c r="O4" s="4">
        <f>SUMIFS(每日推送!$F:$F,每日推送!$B:$B,$A4,每日推送!$A:$A,O$1)</f>
        <v>0</v>
      </c>
      <c r="P4" s="4">
        <f>SUMIFS(每日推送!$F:$F,每日推送!$B:$B,$A4,每日推送!$A:$A,P$1)</f>
        <v>6.1538461538461542</v>
      </c>
      <c r="Q4" s="4">
        <f>SUMIFS(每日推送!$F:$F,每日推送!$B:$B,$A4,每日推送!$A:$A,Q$1)</f>
        <v>5.0449999999999999</v>
      </c>
      <c r="R4" s="4">
        <f>SUMIFS(每日推送!$F:$F,每日推送!$B:$B,$A4,每日推送!$A:$A,R$1)</f>
        <v>0</v>
      </c>
      <c r="S4" s="4">
        <f>SUMIFS(每日推送!$F:$F,每日推送!$B:$B,$A4,每日推送!$A:$A,S$1)</f>
        <v>0</v>
      </c>
      <c r="T4" s="4">
        <f>SUMIFS(每日推送!$F:$F,每日推送!$B:$B,$A4,每日推送!$A:$A,T$1)</f>
        <v>0</v>
      </c>
      <c r="U4" s="4">
        <f>SUMIFS(每日推送!$F:$F,每日推送!$B:$B,$A4,每日推送!$A:$A,U$1)</f>
        <v>0</v>
      </c>
      <c r="V4" s="4">
        <f>SUMIFS(每日推送!$F:$F,每日推送!$B:$B,$A4,每日推送!$A:$A,V$1)</f>
        <v>0</v>
      </c>
      <c r="W4" s="4">
        <f>SUMIFS(每日推送!$F:$F,每日推送!$B:$B,$A4,每日推送!$A:$A,W$1)</f>
        <v>0</v>
      </c>
      <c r="X4" s="4">
        <f>SUMIFS(每日推送!$F:$F,每日推送!$B:$B,$A4,每日推送!$A:$A,X$1)</f>
        <v>0</v>
      </c>
      <c r="Y4" s="4">
        <f>SUMIFS(每日推送!$F:$F,每日推送!$B:$B,$A4,每日推送!$A:$A,Y$1)</f>
        <v>0</v>
      </c>
      <c r="Z4" s="4">
        <f>SUMIFS(每日推送!$F:$F,每日推送!$B:$B,$A4,每日推送!$A:$A,Z$1)</f>
        <v>0</v>
      </c>
      <c r="AA4" s="4">
        <f>SUMIFS(每日推送!$F:$F,每日推送!$B:$B,$A4,每日推送!$A:$A,AA$1)</f>
        <v>0</v>
      </c>
      <c r="AB4" s="4">
        <f>SUMIFS(每日推送!$F:$F,每日推送!$B:$B,$A4,每日推送!$A:$A,AB$1)</f>
        <v>0</v>
      </c>
      <c r="AC4" s="4">
        <f>SUMIFS(每日推送!$F:$F,每日推送!$B:$B,$A4,每日推送!$A:$A,AC$1)</f>
        <v>0</v>
      </c>
      <c r="AD4" s="4">
        <f>SUMIFS(每日推送!$F:$F,每日推送!$B:$B,$A4,每日推送!$A:$A,AD$1)</f>
        <v>0</v>
      </c>
      <c r="AE4" s="4">
        <f>SUMIFS(每日推送!$F:$F,每日推送!$B:$B,$A4,每日推送!$A:$A,AE$1)</f>
        <v>0</v>
      </c>
    </row>
    <row r="5" spans="1:32" x14ac:dyDescent="0.15">
      <c r="A5" s="17" t="s">
        <v>23</v>
      </c>
      <c r="B5" s="4">
        <f>SUMIFS(每日推送!$F:$F,每日推送!$B:$B,$A5,每日推送!$A:$A,B$1)</f>
        <v>5.3664634146341461</v>
      </c>
      <c r="C5" s="4">
        <f>SUMIFS(每日推送!$F:$F,每日推送!$B:$B,$A5,每日推送!$A:$A,C$1)</f>
        <v>3.4127272727272726</v>
      </c>
      <c r="D5" s="4">
        <f>SUMIFS(每日推送!$F:$F,每日推送!$B:$B,$A5,每日推送!$A:$A,D$1)</f>
        <v>2.169879518072289</v>
      </c>
      <c r="E5" s="4">
        <f>SUMIFS(每日推送!$F:$F,每日推送!$B:$B,$A5,每日推送!$A:$A,E$1)</f>
        <v>2.4172289156626507</v>
      </c>
      <c r="F5" s="4">
        <f>SUMIFS(每日推送!$F:$F,每日推送!$B:$B,$A5,每日推送!$A:$A,F$1)</f>
        <v>4.9203703703703701</v>
      </c>
      <c r="G5" s="4">
        <f>SUMIFS(每日推送!$F:$F,每日推送!$B:$B,$A5,每日推送!$A:$A,G$1)</f>
        <v>4.0638095238095238</v>
      </c>
      <c r="H5" s="4">
        <f>SUMIFS(每日推送!$F:$F,每日推送!$B:$B,$A5,每日推送!$A:$A,H$1)</f>
        <v>4.1834375000000001</v>
      </c>
      <c r="I5" s="4">
        <f>SUMIFS(每日推送!$F:$F,每日推送!$B:$B,$A5,每日推送!$A:$A,I$1)</f>
        <v>10.343500000000001</v>
      </c>
      <c r="J5" s="4">
        <f>SUMIFS(每日推送!$F:$F,每日推送!$B:$B,$A5,每日推送!$A:$A,J$1)</f>
        <v>8.1243478260869573</v>
      </c>
      <c r="K5" s="4">
        <f>SUMIFS(每日推送!$F:$F,每日推送!$B:$B,$A5,每日推送!$A:$A,K$1)</f>
        <v>5.074871794871795</v>
      </c>
      <c r="L5" s="4">
        <f>SUMIFS(每日推送!$F:$F,每日推送!$B:$B,$A5,每日推送!$A:$A,L$1)</f>
        <v>1.2478350515463918</v>
      </c>
      <c r="M5" s="4">
        <f>SUMIFS(每日推送!$F:$F,每日推送!$B:$B,$A5,每日推送!$A:$A,M$1)</f>
        <v>0</v>
      </c>
      <c r="N5" s="4">
        <f>SUMIFS(每日推送!$F:$F,每日推送!$B:$B,$A5,每日推送!$A:$A,N$1)</f>
        <v>1.0611111111111111</v>
      </c>
      <c r="O5" s="4">
        <f>SUMIFS(每日推送!$F:$F,每日推送!$B:$B,$A5,每日推送!$A:$A,O$1)</f>
        <v>1.8663636363636364</v>
      </c>
      <c r="P5" s="4">
        <f>SUMIFS(每日推送!$F:$F,每日推送!$B:$B,$A5,每日推送!$A:$A,P$1)</f>
        <v>4.2549999999999999</v>
      </c>
      <c r="Q5" s="4">
        <f>SUMIFS(每日推送!$F:$F,每日推送!$B:$B,$A5,每日推送!$A:$A,Q$1)</f>
        <v>9.9415624999999999</v>
      </c>
      <c r="R5" s="4">
        <f>SUMIFS(每日推送!$F:$F,每日推送!$B:$B,$A5,每日推送!$A:$A,R$1)</f>
        <v>0</v>
      </c>
      <c r="S5" s="4">
        <f>SUMIFS(每日推送!$F:$F,每日推送!$B:$B,$A5,每日推送!$A:$A,S$1)</f>
        <v>0</v>
      </c>
      <c r="T5" s="4">
        <f>SUMIFS(每日推送!$F:$F,每日推送!$B:$B,$A5,每日推送!$A:$A,T$1)</f>
        <v>0</v>
      </c>
      <c r="U5" s="4">
        <f>SUMIFS(每日推送!$F:$F,每日推送!$B:$B,$A5,每日推送!$A:$A,U$1)</f>
        <v>0</v>
      </c>
      <c r="V5" s="4">
        <f>SUMIFS(每日推送!$F:$F,每日推送!$B:$B,$A5,每日推送!$A:$A,V$1)</f>
        <v>0</v>
      </c>
      <c r="W5" s="4">
        <f>SUMIFS(每日推送!$F:$F,每日推送!$B:$B,$A5,每日推送!$A:$A,W$1)</f>
        <v>0</v>
      </c>
      <c r="X5" s="4">
        <f>SUMIFS(每日推送!$F:$F,每日推送!$B:$B,$A5,每日推送!$A:$A,X$1)</f>
        <v>0</v>
      </c>
      <c r="Y5" s="4">
        <f>SUMIFS(每日推送!$F:$F,每日推送!$B:$B,$A5,每日推送!$A:$A,Y$1)</f>
        <v>0</v>
      </c>
      <c r="Z5" s="4">
        <f>SUMIFS(每日推送!$F:$F,每日推送!$B:$B,$A5,每日推送!$A:$A,Z$1)</f>
        <v>0</v>
      </c>
      <c r="AA5" s="4">
        <f>SUMIFS(每日推送!$F:$F,每日推送!$B:$B,$A5,每日推送!$A:$A,AA$1)</f>
        <v>0</v>
      </c>
      <c r="AB5" s="4">
        <f>SUMIFS(每日推送!$F:$F,每日推送!$B:$B,$A5,每日推送!$A:$A,AB$1)</f>
        <v>0</v>
      </c>
      <c r="AC5" s="4">
        <f>SUMIFS(每日推送!$F:$F,每日推送!$B:$B,$A5,每日推送!$A:$A,AC$1)</f>
        <v>0</v>
      </c>
      <c r="AD5" s="4">
        <f>SUMIFS(每日推送!$F:$F,每日推送!$B:$B,$A5,每日推送!$A:$A,AD$1)</f>
        <v>0</v>
      </c>
      <c r="AE5" s="4">
        <f>SUMIFS(每日推送!$F:$F,每日推送!$B:$B,$A5,每日推送!$A:$A,AE$1)</f>
        <v>0</v>
      </c>
    </row>
    <row r="6" spans="1:32" x14ac:dyDescent="0.15">
      <c r="A6" s="17" t="s">
        <v>20</v>
      </c>
      <c r="B6" s="4">
        <f>SUMIFS(每日推送!$F:$F,每日推送!$B:$B,$A6,每日推送!$A:$A,B$1)</f>
        <v>2.7754285714285714</v>
      </c>
      <c r="C6" s="4">
        <f>SUMIFS(每日推送!$F:$F,每日推送!$B:$B,$A6,每日推送!$A:$A,C$1)</f>
        <v>5.4170833333333333</v>
      </c>
      <c r="D6" s="4">
        <f>SUMIFS(每日推送!$F:$F,每日推送!$B:$B,$A6,每日推送!$A:$A,D$1)</f>
        <v>4.4306666666666663</v>
      </c>
      <c r="E6" s="4">
        <f>SUMIFS(每日推送!$F:$F,每日推送!$B:$B,$A6,每日推送!$A:$A,E$1)</f>
        <v>11.622000000000002</v>
      </c>
      <c r="F6" s="4">
        <f>SUMIFS(每日推送!$F:$F,每日推送!$B:$B,$A6,每日推送!$A:$A,F$1)</f>
        <v>7.4099999999999993</v>
      </c>
      <c r="G6" s="4">
        <f>SUMIFS(每日推送!$F:$F,每日推送!$B:$B,$A6,每日推送!$A:$A,G$1)</f>
        <v>5.5306249999999997</v>
      </c>
      <c r="H6" s="4">
        <f>SUMIFS(每日推送!$F:$F,每日推送!$B:$B,$A6,每日推送!$A:$A,H$1)</f>
        <v>6.8181818181818183</v>
      </c>
      <c r="I6" s="4">
        <f>SUMIFS(每日推送!$F:$F,每日推送!$B:$B,$A6,每日推送!$A:$A,I$1)</f>
        <v>4.8546153846153848</v>
      </c>
      <c r="J6" s="4">
        <f>SUMIFS(每日推送!$F:$F,每日推送!$B:$B,$A6,每日推送!$A:$A,J$1)</f>
        <v>8</v>
      </c>
      <c r="K6" s="4">
        <f>SUMIFS(每日推送!$F:$F,每日推送!$B:$B,$A6,每日推送!$A:$A,K$1)</f>
        <v>12.1425</v>
      </c>
      <c r="L6" s="4">
        <f>SUMIFS(每日推送!$F:$F,每日推送!$B:$B,$A6,每日推送!$A:$A,L$1)</f>
        <v>4.871818181818182</v>
      </c>
      <c r="M6" s="4">
        <f>SUMIFS(每日推送!$F:$F,每日推送!$B:$B,$A6,每日推送!$A:$A,M$1)</f>
        <v>0</v>
      </c>
      <c r="N6" s="4">
        <f>SUMIFS(每日推送!$F:$F,每日推送!$B:$B,$A6,每日推送!$A:$A,N$1)</f>
        <v>30.76</v>
      </c>
      <c r="O6" s="4">
        <f>SUMIFS(每日推送!$F:$F,每日推送!$B:$B,$A6,每日推送!$A:$A,O$1)</f>
        <v>0.83333333333333337</v>
      </c>
      <c r="P6" s="4">
        <f>SUMIFS(每日推送!$F:$F,每日推送!$B:$B,$A6,每日推送!$A:$A,P$1)</f>
        <v>0</v>
      </c>
      <c r="Q6" s="4">
        <f>SUMIFS(每日推送!$F:$F,每日推送!$B:$B,$A6,每日推送!$A:$A,Q$1)</f>
        <v>1.3333333333333333</v>
      </c>
      <c r="R6" s="4">
        <f>SUMIFS(每日推送!$F:$F,每日推送!$B:$B,$A6,每日推送!$A:$A,R$1)</f>
        <v>0</v>
      </c>
      <c r="S6" s="4">
        <f>SUMIFS(每日推送!$F:$F,每日推送!$B:$B,$A6,每日推送!$A:$A,S$1)</f>
        <v>0</v>
      </c>
      <c r="T6" s="4">
        <f>SUMIFS(每日推送!$F:$F,每日推送!$B:$B,$A6,每日推送!$A:$A,T$1)</f>
        <v>0</v>
      </c>
      <c r="U6" s="4">
        <f>SUMIFS(每日推送!$F:$F,每日推送!$B:$B,$A6,每日推送!$A:$A,U$1)</f>
        <v>0</v>
      </c>
      <c r="V6" s="4">
        <f>SUMIFS(每日推送!$F:$F,每日推送!$B:$B,$A6,每日推送!$A:$A,V$1)</f>
        <v>0</v>
      </c>
      <c r="W6" s="4">
        <f>SUMIFS(每日推送!$F:$F,每日推送!$B:$B,$A6,每日推送!$A:$A,W$1)</f>
        <v>0</v>
      </c>
      <c r="X6" s="4">
        <f>SUMIFS(每日推送!$F:$F,每日推送!$B:$B,$A6,每日推送!$A:$A,X$1)</f>
        <v>0</v>
      </c>
      <c r="Y6" s="4">
        <f>SUMIFS(每日推送!$F:$F,每日推送!$B:$B,$A6,每日推送!$A:$A,Y$1)</f>
        <v>0</v>
      </c>
      <c r="Z6" s="4">
        <f>SUMIFS(每日推送!$F:$F,每日推送!$B:$B,$A6,每日推送!$A:$A,Z$1)</f>
        <v>0</v>
      </c>
      <c r="AA6" s="4">
        <f>SUMIFS(每日推送!$F:$F,每日推送!$B:$B,$A6,每日推送!$A:$A,AA$1)</f>
        <v>0</v>
      </c>
      <c r="AB6" s="4">
        <f>SUMIFS(每日推送!$F:$F,每日推送!$B:$B,$A6,每日推送!$A:$A,AB$1)</f>
        <v>0</v>
      </c>
      <c r="AC6" s="4">
        <f>SUMIFS(每日推送!$F:$F,每日推送!$B:$B,$A6,每日推送!$A:$A,AC$1)</f>
        <v>0</v>
      </c>
      <c r="AD6" s="4">
        <f>SUMIFS(每日推送!$F:$F,每日推送!$B:$B,$A6,每日推送!$A:$A,AD$1)</f>
        <v>0</v>
      </c>
      <c r="AE6" s="4">
        <f>SUMIFS(每日推送!$F:$F,每日推送!$B:$B,$A6,每日推送!$A:$A,AE$1)</f>
        <v>0</v>
      </c>
    </row>
    <row r="7" spans="1:32" x14ac:dyDescent="0.15">
      <c r="A7" s="17" t="s">
        <v>24</v>
      </c>
      <c r="B7" s="4">
        <f>SUMIFS(每日推送!$F:$F,每日推送!$B:$B,$A7,每日推送!$A:$A,B$1)</f>
        <v>3.2338009049773753</v>
      </c>
      <c r="C7" s="4">
        <f>SUMIFS(每日推送!$F:$F,每日推送!$B:$B,$A7,每日推送!$A:$A,C$1)</f>
        <v>3.293626373626374</v>
      </c>
      <c r="D7" s="4">
        <f>SUMIFS(每日推送!$F:$F,每日推送!$B:$B,$A7,每日推送!$A:$A,D$1)</f>
        <v>1.8725000000000001</v>
      </c>
      <c r="E7" s="4">
        <f>SUMIFS(每日推送!$F:$F,每日推送!$B:$B,$A7,每日推送!$A:$A,E$1)</f>
        <v>2.4578037383177573</v>
      </c>
      <c r="F7" s="4">
        <f>SUMIFS(每日推送!$F:$F,每日推送!$B:$B,$A7,每日推送!$A:$A,F$1)</f>
        <v>2.9655555555555555</v>
      </c>
      <c r="G7" s="4">
        <f>SUMIFS(每日推送!$F:$F,每日推送!$B:$B,$A7,每日推送!$A:$A,G$1)</f>
        <v>4.3513953488372099</v>
      </c>
      <c r="H7" s="4">
        <f>SUMIFS(每日推送!$F:$F,每日推送!$B:$B,$A7,每日推送!$A:$A,H$1)</f>
        <v>7.0869811320754712</v>
      </c>
      <c r="I7" s="4">
        <f>SUMIFS(每日推送!$F:$F,每日推送!$B:$B,$A7,每日推送!$A:$A,I$1)</f>
        <v>4.1264601769911504</v>
      </c>
      <c r="J7" s="4">
        <f>SUMIFS(每日推送!$F:$F,每日推送!$B:$B,$A7,每日推送!$A:$A,J$1)</f>
        <v>8.7485148514851492</v>
      </c>
      <c r="K7" s="4">
        <f>SUMIFS(每日推送!$F:$F,每日推送!$B:$B,$A7,每日推送!$A:$A,K$1)</f>
        <v>8.0755434782608706</v>
      </c>
      <c r="L7" s="4">
        <f>SUMIFS(每日推送!$F:$F,每日推送!$B:$B,$A7,每日推送!$A:$A,L$1)</f>
        <v>20.276363636363637</v>
      </c>
      <c r="M7" s="4">
        <f>SUMIFS(每日推送!$F:$F,每日推送!$B:$B,$A7,每日推送!$A:$A,M$1)</f>
        <v>1.9275000000000002</v>
      </c>
      <c r="N7" s="4">
        <f>SUMIFS(每日推送!$F:$F,每日推送!$B:$B,$A7,每日推送!$A:$A,N$1)</f>
        <v>2.9636231884057973</v>
      </c>
      <c r="O7" s="4">
        <f>SUMIFS(每日推送!$F:$F,每日推送!$B:$B,$A7,每日推送!$A:$A,O$1)</f>
        <v>1.2222222222222223</v>
      </c>
      <c r="P7" s="4">
        <f>SUMIFS(每日推送!$F:$F,每日推送!$B:$B,$A7,每日推送!$A:$A,P$1)</f>
        <v>0</v>
      </c>
      <c r="Q7" s="4">
        <f>SUMIFS(每日推送!$F:$F,每日推送!$B:$B,$A7,每日推送!$A:$A,Q$1)</f>
        <v>0.24193548387096775</v>
      </c>
      <c r="R7" s="4">
        <f>SUMIFS(每日推送!$F:$F,每日推送!$B:$B,$A7,每日推送!$A:$A,R$1)</f>
        <v>0</v>
      </c>
      <c r="S7" s="4">
        <f>SUMIFS(每日推送!$F:$F,每日推送!$B:$B,$A7,每日推送!$A:$A,S$1)</f>
        <v>0</v>
      </c>
      <c r="T7" s="4">
        <f>SUMIFS(每日推送!$F:$F,每日推送!$B:$B,$A7,每日推送!$A:$A,T$1)</f>
        <v>0</v>
      </c>
      <c r="U7" s="4">
        <f>SUMIFS(每日推送!$F:$F,每日推送!$B:$B,$A7,每日推送!$A:$A,U$1)</f>
        <v>0</v>
      </c>
      <c r="V7" s="4">
        <f>SUMIFS(每日推送!$F:$F,每日推送!$B:$B,$A7,每日推送!$A:$A,V$1)</f>
        <v>0</v>
      </c>
      <c r="W7" s="4">
        <f>SUMIFS(每日推送!$F:$F,每日推送!$B:$B,$A7,每日推送!$A:$A,W$1)</f>
        <v>0</v>
      </c>
      <c r="X7" s="4">
        <f>SUMIFS(每日推送!$F:$F,每日推送!$B:$B,$A7,每日推送!$A:$A,X$1)</f>
        <v>0</v>
      </c>
      <c r="Y7" s="4">
        <f>SUMIFS(每日推送!$F:$F,每日推送!$B:$B,$A7,每日推送!$A:$A,Y$1)</f>
        <v>0</v>
      </c>
      <c r="Z7" s="4">
        <f>SUMIFS(每日推送!$F:$F,每日推送!$B:$B,$A7,每日推送!$A:$A,Z$1)</f>
        <v>0</v>
      </c>
      <c r="AA7" s="4">
        <f>SUMIFS(每日推送!$F:$F,每日推送!$B:$B,$A7,每日推送!$A:$A,AA$1)</f>
        <v>0</v>
      </c>
      <c r="AB7" s="4">
        <f>SUMIFS(每日推送!$F:$F,每日推送!$B:$B,$A7,每日推送!$A:$A,AB$1)</f>
        <v>0</v>
      </c>
      <c r="AC7" s="4">
        <f>SUMIFS(每日推送!$F:$F,每日推送!$B:$B,$A7,每日推送!$A:$A,AC$1)</f>
        <v>0</v>
      </c>
      <c r="AD7" s="4">
        <f>SUMIFS(每日推送!$F:$F,每日推送!$B:$B,$A7,每日推送!$A:$A,AD$1)</f>
        <v>0</v>
      </c>
      <c r="AE7" s="4">
        <f>SUMIFS(每日推送!$F:$F,每日推送!$B:$B,$A7,每日推送!$A:$A,AE$1)</f>
        <v>0</v>
      </c>
    </row>
    <row r="8" spans="1:32" x14ac:dyDescent="0.15">
      <c r="A8" s="17" t="s">
        <v>43</v>
      </c>
      <c r="B8" s="4">
        <f>SUMIFS(每日推送!$F:$F,每日推送!$B:$B,$A8,每日推送!$A:$A,B$1)</f>
        <v>21.703333333333333</v>
      </c>
      <c r="C8" s="4">
        <f>SUMIFS(每日推送!$F:$F,每日推送!$B:$B,$A8,每日推送!$A:$A,C$1)</f>
        <v>1.4285714285714287E-2</v>
      </c>
      <c r="D8" s="4">
        <f>SUMIFS(每日推送!$F:$F,每日推送!$B:$B,$A8,每日推送!$A:$A,D$1)</f>
        <v>0</v>
      </c>
      <c r="E8" s="4">
        <f>SUMIFS(每日推送!$F:$F,每日推送!$B:$B,$A8,每日推送!$A:$A,E$1)</f>
        <v>0</v>
      </c>
      <c r="F8" s="4">
        <f>SUMIFS(每日推送!$F:$F,每日推送!$B:$B,$A8,每日推送!$A:$A,F$1)</f>
        <v>0</v>
      </c>
      <c r="G8" s="4">
        <f>SUMIFS(每日推送!$F:$F,每日推送!$B:$B,$A8,每日推送!$A:$A,G$1)</f>
        <v>0</v>
      </c>
      <c r="H8" s="4">
        <f>SUMIFS(每日推送!$F:$F,每日推送!$B:$B,$A8,每日推送!$A:$A,H$1)</f>
        <v>30</v>
      </c>
      <c r="I8" s="4">
        <f>SUMIFS(每日推送!$F:$F,每日推送!$B:$B,$A8,每日推送!$A:$A,I$1)</f>
        <v>0</v>
      </c>
      <c r="J8" s="4">
        <f>SUMIFS(每日推送!$F:$F,每日推送!$B:$B,$A8,每日推送!$A:$A,J$1)</f>
        <v>29.574999999999999</v>
      </c>
      <c r="K8" s="4">
        <f>SUMIFS(每日推送!$F:$F,每日推送!$B:$B,$A8,每日推送!$A:$A,K$1)</f>
        <v>5</v>
      </c>
      <c r="L8" s="4">
        <f>SUMIFS(每日推送!$F:$F,每日推送!$B:$B,$A8,每日推送!$A:$A,L$1)</f>
        <v>0</v>
      </c>
      <c r="M8" s="4">
        <f>SUMIFS(每日推送!$F:$F,每日推送!$B:$B,$A8,每日推送!$A:$A,M$1)</f>
        <v>87.5</v>
      </c>
      <c r="N8" s="4">
        <f>SUMIFS(每日推送!$F:$F,每日推送!$B:$B,$A8,每日推送!$A:$A,N$1)</f>
        <v>0</v>
      </c>
      <c r="O8" s="4">
        <f>SUMIFS(每日推送!$F:$F,每日推送!$B:$B,$A8,每日推送!$A:$A,O$1)</f>
        <v>23.333333333333332</v>
      </c>
      <c r="P8" s="4">
        <f>SUMIFS(每日推送!$F:$F,每日推送!$B:$B,$A8,每日推送!$A:$A,P$1)</f>
        <v>20.033333333333335</v>
      </c>
      <c r="Q8" s="4">
        <f>SUMIFS(每日推送!$F:$F,每日推送!$B:$B,$A8,每日推送!$A:$A,Q$1)</f>
        <v>15</v>
      </c>
      <c r="R8" s="4">
        <f>SUMIFS(每日推送!$F:$F,每日推送!$B:$B,$A8,每日推送!$A:$A,R$1)</f>
        <v>0</v>
      </c>
      <c r="S8" s="4">
        <f>SUMIFS(每日推送!$F:$F,每日推送!$B:$B,$A8,每日推送!$A:$A,S$1)</f>
        <v>0</v>
      </c>
      <c r="T8" s="4">
        <f>SUMIFS(每日推送!$F:$F,每日推送!$B:$B,$A8,每日推送!$A:$A,T$1)</f>
        <v>0</v>
      </c>
      <c r="U8" s="4">
        <f>SUMIFS(每日推送!$F:$F,每日推送!$B:$B,$A8,每日推送!$A:$A,U$1)</f>
        <v>0</v>
      </c>
      <c r="V8" s="4">
        <f>SUMIFS(每日推送!$F:$F,每日推送!$B:$B,$A8,每日推送!$A:$A,V$1)</f>
        <v>0</v>
      </c>
      <c r="W8" s="4">
        <f>SUMIFS(每日推送!$F:$F,每日推送!$B:$B,$A8,每日推送!$A:$A,W$1)</f>
        <v>0</v>
      </c>
      <c r="X8" s="4">
        <f>SUMIFS(每日推送!$F:$F,每日推送!$B:$B,$A8,每日推送!$A:$A,X$1)</f>
        <v>0</v>
      </c>
      <c r="Y8" s="4">
        <f>SUMIFS(每日推送!$F:$F,每日推送!$B:$B,$A8,每日推送!$A:$A,Y$1)</f>
        <v>0</v>
      </c>
      <c r="Z8" s="4">
        <f>SUMIFS(每日推送!$F:$F,每日推送!$B:$B,$A8,每日推送!$A:$A,Z$1)</f>
        <v>0</v>
      </c>
      <c r="AA8" s="4">
        <f>SUMIFS(每日推送!$F:$F,每日推送!$B:$B,$A8,每日推送!$A:$A,AA$1)</f>
        <v>0</v>
      </c>
      <c r="AB8" s="4">
        <f>SUMIFS(每日推送!$F:$F,每日推送!$B:$B,$A8,每日推送!$A:$A,AB$1)</f>
        <v>0</v>
      </c>
      <c r="AC8" s="4">
        <f>SUMIFS(每日推送!$F:$F,每日推送!$B:$B,$A8,每日推送!$A:$A,AC$1)</f>
        <v>0</v>
      </c>
      <c r="AD8" s="4">
        <f>SUMIFS(每日推送!$F:$F,每日推送!$B:$B,$A8,每日推送!$A:$A,AD$1)</f>
        <v>0</v>
      </c>
      <c r="AE8" s="4">
        <f>SUMIFS(每日推送!$F:$F,每日推送!$B:$B,$A8,每日推送!$A:$A,AE$1)</f>
        <v>0</v>
      </c>
      <c r="AF8" s="4">
        <f>SUMIFS(每日推送!$F:$F,每日推送!$B:$B,$A8,每日推送!$A:$A,AF$1)</f>
        <v>0</v>
      </c>
    </row>
    <row r="9" spans="1:32" x14ac:dyDescent="0.15">
      <c r="A9" s="17" t="s">
        <v>44</v>
      </c>
      <c r="B9" s="4">
        <f>SUMIFS(每日推送!$F:$F,每日推送!$B:$B,$A9,每日推送!$A:$A,B$1)</f>
        <v>9.4805882352941175</v>
      </c>
      <c r="C9" s="4">
        <f>SUMIFS(每日推送!$F:$F,每日推送!$B:$B,$A9,每日推送!$A:$A,C$1)</f>
        <v>5.068307692307692</v>
      </c>
      <c r="D9" s="4">
        <f>SUMIFS(每日推送!$F:$F,每日推送!$B:$B,$A9,每日推送!$A:$A,D$1)</f>
        <v>12.340632911392404</v>
      </c>
      <c r="E9" s="4">
        <f>SUMIFS(每日推送!$F:$F,每日推送!$B:$B,$A9,每日推送!$A:$A,E$1)</f>
        <v>15.499344262295082</v>
      </c>
      <c r="F9" s="4">
        <f>SUMIFS(每日推送!$F:$F,每日推送!$B:$B,$A9,每日推送!$A:$A,F$1)</f>
        <v>21.589259259259258</v>
      </c>
      <c r="G9" s="4">
        <f>SUMIFS(每日推送!$F:$F,每日推送!$B:$B,$A9,每日推送!$A:$A,G$1)</f>
        <v>22.985932203389833</v>
      </c>
      <c r="H9" s="4">
        <f>SUMIFS(每日推送!$F:$F,每日推送!$B:$B,$A9,每日推送!$A:$A,H$1)</f>
        <v>16.32679245283019</v>
      </c>
      <c r="I9" s="4">
        <f>SUMIFS(每日推送!$F:$F,每日推送!$B:$B,$A9,每日推送!$A:$A,I$1)</f>
        <v>24.133829787234042</v>
      </c>
      <c r="J9" s="4">
        <f>SUMIFS(每日推送!$F:$F,每日推送!$B:$B,$A9,每日推送!$A:$A,J$1)</f>
        <v>13.625249999999999</v>
      </c>
      <c r="K9" s="4">
        <f>SUMIFS(每日推送!$F:$F,每日推送!$B:$B,$A9,每日推送!$A:$A,K$1)</f>
        <v>16.356999999999999</v>
      </c>
      <c r="L9" s="4">
        <f>SUMIFS(每日推送!$F:$F,每日推送!$B:$B,$A9,每日推送!$A:$A,L$1)</f>
        <v>24.098749999999999</v>
      </c>
      <c r="M9" s="4">
        <f>SUMIFS(每日推送!$F:$F,每日推送!$B:$B,$A9,每日推送!$A:$A,M$1)</f>
        <v>16.176785714285714</v>
      </c>
      <c r="N9" s="4">
        <f>SUMIFS(每日推送!$F:$F,每日推送!$B:$B,$A9,每日推送!$A:$A,N$1)</f>
        <v>47.120909090909095</v>
      </c>
      <c r="O9" s="4">
        <f>SUMIFS(每日推送!$F:$F,每日推送!$B:$B,$A9,每日推送!$A:$A,O$1)</f>
        <v>48.062380952380948</v>
      </c>
      <c r="P9" s="4">
        <f>SUMIFS(每日推送!$F:$F,每日推送!$B:$B,$A9,每日推送!$A:$A,P$1)</f>
        <v>30.245249999999999</v>
      </c>
      <c r="Q9" s="4">
        <f>SUMIFS(每日推送!$F:$F,每日推送!$B:$B,$A9,每日推送!$A:$A,Q$1)</f>
        <v>28.935555555555553</v>
      </c>
      <c r="R9" s="4">
        <f>SUMIFS(每日推送!$F:$F,每日推送!$B:$B,$A9,每日推送!$A:$A,R$1)</f>
        <v>0</v>
      </c>
      <c r="S9" s="4">
        <f>SUMIFS(每日推送!$F:$F,每日推送!$B:$B,$A9,每日推送!$A:$A,S$1)</f>
        <v>0</v>
      </c>
      <c r="T9" s="4">
        <f>SUMIFS(每日推送!$F:$F,每日推送!$B:$B,$A9,每日推送!$A:$A,T$1)</f>
        <v>0</v>
      </c>
      <c r="U9" s="4">
        <f>SUMIFS(每日推送!$F:$F,每日推送!$B:$B,$A9,每日推送!$A:$A,U$1)</f>
        <v>0</v>
      </c>
      <c r="V9" s="4">
        <f>SUMIFS(每日推送!$F:$F,每日推送!$B:$B,$A9,每日推送!$A:$A,V$1)</f>
        <v>0</v>
      </c>
      <c r="W9" s="4">
        <f>SUMIFS(每日推送!$F:$F,每日推送!$B:$B,$A9,每日推送!$A:$A,W$1)</f>
        <v>0</v>
      </c>
      <c r="X9" s="4">
        <f>SUMIFS(每日推送!$F:$F,每日推送!$B:$B,$A9,每日推送!$A:$A,X$1)</f>
        <v>0</v>
      </c>
      <c r="Y9" s="4">
        <f>SUMIFS(每日推送!$F:$F,每日推送!$B:$B,$A9,每日推送!$A:$A,Y$1)</f>
        <v>0</v>
      </c>
      <c r="Z9" s="4">
        <f>SUMIFS(每日推送!$F:$F,每日推送!$B:$B,$A9,每日推送!$A:$A,Z$1)</f>
        <v>0</v>
      </c>
      <c r="AA9" s="4">
        <f>SUMIFS(每日推送!$F:$F,每日推送!$B:$B,$A9,每日推送!$A:$A,AA$1)</f>
        <v>0</v>
      </c>
      <c r="AB9" s="4">
        <f>SUMIFS(每日推送!$F:$F,每日推送!$B:$B,$A9,每日推送!$A:$A,AB$1)</f>
        <v>0</v>
      </c>
      <c r="AC9" s="4">
        <f>SUMIFS(每日推送!$F:$F,每日推送!$B:$B,$A9,每日推送!$A:$A,AC$1)</f>
        <v>0</v>
      </c>
      <c r="AD9" s="4">
        <f>SUMIFS(每日推送!$F:$F,每日推送!$B:$B,$A9,每日推送!$A:$A,AD$1)</f>
        <v>0</v>
      </c>
      <c r="AE9" s="4">
        <f>SUMIFS(每日推送!$F:$F,每日推送!$B:$B,$A9,每日推送!$A:$A,AE$1)</f>
        <v>0</v>
      </c>
    </row>
    <row r="10" spans="1:32" x14ac:dyDescent="0.15">
      <c r="A10" s="8"/>
      <c r="B10" s="4">
        <f>SUMIFS(每日推送!$F:$F,每日推送!$B:$B,$A10,每日推送!$A:$A,B$1)</f>
        <v>0</v>
      </c>
      <c r="C10" s="4">
        <f>SUMIFS(每日推送!$F:$F,每日推送!$B:$B,$A10,每日推送!$A:$A,C$1)</f>
        <v>0</v>
      </c>
      <c r="D10" s="4">
        <f>SUMIFS(每日推送!$F:$F,每日推送!$B:$B,$A10,每日推送!$A:$A,D$1)</f>
        <v>0</v>
      </c>
      <c r="E10" s="4">
        <f>SUMIFS(每日推送!$F:$F,每日推送!$B:$B,$A10,每日推送!$A:$A,E$1)</f>
        <v>0</v>
      </c>
      <c r="F10" s="4">
        <f>SUMIFS(每日推送!$F:$F,每日推送!$B:$B,$A10,每日推送!$A:$A,F$1)</f>
        <v>0</v>
      </c>
      <c r="G10" s="4">
        <f>SUMIFS(每日推送!$F:$F,每日推送!$B:$B,$A10,每日推送!$A:$A,G$1)</f>
        <v>0</v>
      </c>
      <c r="H10" s="4">
        <f>SUMIFS(每日推送!$F:$F,每日推送!$B:$B,$A10,每日推送!$A:$A,H$1)</f>
        <v>0</v>
      </c>
      <c r="I10" s="4">
        <f>SUMIFS(每日推送!$F:$F,每日推送!$B:$B,$A10,每日推送!$A:$A,I$1)</f>
        <v>0</v>
      </c>
      <c r="J10" s="4">
        <f>SUMIFS(每日推送!$F:$F,每日推送!$B:$B,$A10,每日推送!$A:$A,J$1)</f>
        <v>0</v>
      </c>
      <c r="K10" s="4">
        <f>SUMIFS(每日推送!$F:$F,每日推送!$B:$B,$A10,每日推送!$A:$A,K$1)</f>
        <v>0</v>
      </c>
      <c r="L10" s="4">
        <f>SUMIFS(每日推送!$F:$F,每日推送!$B:$B,$A10,每日推送!$A:$A,L$1)</f>
        <v>0</v>
      </c>
      <c r="M10" s="4">
        <f>SUMIFS(每日推送!$F:$F,每日推送!$B:$B,$A10,每日推送!$A:$A,M$1)</f>
        <v>0</v>
      </c>
      <c r="N10" s="4">
        <f>SUMIFS(每日推送!$F:$F,每日推送!$B:$B,$A10,每日推送!$A:$A,N$1)</f>
        <v>0</v>
      </c>
      <c r="O10" s="4">
        <f>SUMIFS(每日推送!$F:$F,每日推送!$B:$B,$A10,每日推送!$A:$A,O$1)</f>
        <v>0</v>
      </c>
      <c r="P10" s="4">
        <f>SUMIFS(每日推送!$F:$F,每日推送!$B:$B,$A10,每日推送!$A:$A,P$1)</f>
        <v>0</v>
      </c>
      <c r="Q10" s="4">
        <f>SUMIFS(每日推送!$F:$F,每日推送!$B:$B,$A10,每日推送!$A:$A,Q$1)</f>
        <v>0</v>
      </c>
      <c r="R10" s="4">
        <f>SUMIFS(每日推送!$F:$F,每日推送!$B:$B,$A10,每日推送!$A:$A,R$1)</f>
        <v>0</v>
      </c>
      <c r="S10" s="4">
        <f>SUMIFS(每日推送!$F:$F,每日推送!$B:$B,$A10,每日推送!$A:$A,S$1)</f>
        <v>0</v>
      </c>
      <c r="T10" s="4">
        <f>SUMIFS(每日推送!$F:$F,每日推送!$B:$B,$A10,每日推送!$A:$A,T$1)</f>
        <v>0</v>
      </c>
      <c r="U10" s="4">
        <f>SUMIFS(每日推送!$F:$F,每日推送!$B:$B,$A10,每日推送!$A:$A,U$1)</f>
        <v>0</v>
      </c>
      <c r="V10" s="4">
        <f>SUMIFS(每日推送!$F:$F,每日推送!$B:$B,$A10,每日推送!$A:$A,V$1)</f>
        <v>0</v>
      </c>
      <c r="W10" s="4">
        <f>SUMIFS(每日推送!$F:$F,每日推送!$B:$B,$A10,每日推送!$A:$A,W$1)</f>
        <v>0</v>
      </c>
      <c r="X10" s="4">
        <f>SUMIFS(每日推送!$F:$F,每日推送!$B:$B,$A10,每日推送!$A:$A,X$1)</f>
        <v>0</v>
      </c>
      <c r="Y10" s="4">
        <f>SUMIFS(每日推送!$F:$F,每日推送!$B:$B,$A10,每日推送!$A:$A,Y$1)</f>
        <v>0</v>
      </c>
      <c r="Z10" s="4">
        <f>SUMIFS(每日推送!$F:$F,每日推送!$B:$B,$A10,每日推送!$A:$A,Z$1)</f>
        <v>0</v>
      </c>
      <c r="AA10" s="4">
        <f>SUMIFS(每日推送!$F:$F,每日推送!$B:$B,$A10,每日推送!$A:$A,AA$1)</f>
        <v>0</v>
      </c>
      <c r="AB10" s="4">
        <f>SUMIFS(每日推送!$F:$F,每日推送!$B:$B,$A10,每日推送!$A:$A,AB$1)</f>
        <v>0</v>
      </c>
      <c r="AC10" s="4">
        <f>SUMIFS(每日推送!$F:$F,每日推送!$B:$B,$A10,每日推送!$A:$A,AC$1)</f>
        <v>0</v>
      </c>
      <c r="AD10" s="4">
        <f>SUMIFS(每日推送!$F:$F,每日推送!$B:$B,$A10,每日推送!$A:$A,AD$1)</f>
        <v>0</v>
      </c>
      <c r="AE10" s="4">
        <f>SUMIFS(每日推送!$F:$F,每日推送!$B:$B,$A10,每日推送!$A:$A,AE$1)</f>
        <v>0</v>
      </c>
    </row>
    <row r="11" spans="1:32" x14ac:dyDescent="0.15">
      <c r="A11"/>
      <c r="B11" s="4">
        <f>SUMIFS(每日推送!$F:$F,每日推送!$B:$B,$A11,每日推送!$A:$A,B$1)</f>
        <v>0</v>
      </c>
      <c r="C11" s="4">
        <f>SUMIFS(每日推送!$F:$F,每日推送!$B:$B,$A11,每日推送!$A:$A,C$1)</f>
        <v>0</v>
      </c>
      <c r="D11" s="4">
        <f>SUMIFS(每日推送!$F:$F,每日推送!$B:$B,$A11,每日推送!$A:$A,D$1)</f>
        <v>0</v>
      </c>
      <c r="E11" s="4">
        <f>SUMIFS(每日推送!$F:$F,每日推送!$B:$B,$A11,每日推送!$A:$A,E$1)</f>
        <v>0</v>
      </c>
      <c r="F11" s="4">
        <f>SUMIFS(每日推送!$F:$F,每日推送!$B:$B,$A11,每日推送!$A:$A,F$1)</f>
        <v>0</v>
      </c>
      <c r="G11" s="4">
        <f>SUMIFS(每日推送!$F:$F,每日推送!$B:$B,$A11,每日推送!$A:$A,G$1)</f>
        <v>0</v>
      </c>
      <c r="H11" s="4">
        <f>SUMIFS(每日推送!$F:$F,每日推送!$B:$B,$A11,每日推送!$A:$A,H$1)</f>
        <v>0</v>
      </c>
      <c r="I11" s="4">
        <f>SUMIFS(每日推送!$F:$F,每日推送!$B:$B,$A11,每日推送!$A:$A,I$1)</f>
        <v>0</v>
      </c>
      <c r="J11" s="4">
        <f>SUMIFS(每日推送!$F:$F,每日推送!$B:$B,$A11,每日推送!$A:$A,J$1)</f>
        <v>0</v>
      </c>
      <c r="K11" s="4">
        <f>SUMIFS(每日推送!$F:$F,每日推送!$B:$B,$A11,每日推送!$A:$A,K$1)</f>
        <v>0</v>
      </c>
      <c r="L11" s="4">
        <f>SUMIFS(每日推送!$F:$F,每日推送!$B:$B,$A11,每日推送!$A:$A,L$1)</f>
        <v>0</v>
      </c>
      <c r="M11" s="4">
        <f>SUMIFS(每日推送!$F:$F,每日推送!$B:$B,$A11,每日推送!$A:$A,M$1)</f>
        <v>0</v>
      </c>
      <c r="N11" s="4">
        <f>SUMIFS(每日推送!$F:$F,每日推送!$B:$B,$A11,每日推送!$A:$A,N$1)</f>
        <v>0</v>
      </c>
      <c r="O11" s="4">
        <f>SUMIFS(每日推送!$F:$F,每日推送!$B:$B,$A11,每日推送!$A:$A,O$1)</f>
        <v>0</v>
      </c>
      <c r="P11" s="4">
        <f>SUMIFS(每日推送!$F:$F,每日推送!$B:$B,$A11,每日推送!$A:$A,P$1)</f>
        <v>0</v>
      </c>
      <c r="Q11" s="4">
        <f>SUMIFS(每日推送!$F:$F,每日推送!$B:$B,$A11,每日推送!$A:$A,Q$1)</f>
        <v>0</v>
      </c>
      <c r="R11" s="4">
        <f>SUMIFS(每日推送!$F:$F,每日推送!$B:$B,$A11,每日推送!$A:$A,R$1)</f>
        <v>0</v>
      </c>
      <c r="S11" s="4">
        <f>SUMIFS(每日推送!$F:$F,每日推送!$B:$B,$A11,每日推送!$A:$A,S$1)</f>
        <v>0</v>
      </c>
      <c r="T11" s="4">
        <f>SUMIFS(每日推送!$F:$F,每日推送!$B:$B,$A11,每日推送!$A:$A,T$1)</f>
        <v>0</v>
      </c>
      <c r="U11" s="4">
        <f>SUMIFS(每日推送!$F:$F,每日推送!$B:$B,$A11,每日推送!$A:$A,U$1)</f>
        <v>0</v>
      </c>
      <c r="V11" s="4">
        <f>SUMIFS(每日推送!$F:$F,每日推送!$B:$B,$A11,每日推送!$A:$A,V$1)</f>
        <v>0</v>
      </c>
      <c r="W11" s="4">
        <f>SUMIFS(每日推送!$F:$F,每日推送!$B:$B,$A11,每日推送!$A:$A,W$1)</f>
        <v>0</v>
      </c>
      <c r="X11" s="4">
        <f>SUMIFS(每日推送!$F:$F,每日推送!$B:$B,$A11,每日推送!$A:$A,X$1)</f>
        <v>0</v>
      </c>
      <c r="Y11" s="4">
        <f>SUMIFS(每日推送!$F:$F,每日推送!$B:$B,$A11,每日推送!$A:$A,Y$1)</f>
        <v>0</v>
      </c>
      <c r="Z11" s="4">
        <f>SUMIFS(每日推送!$F:$F,每日推送!$B:$B,$A11,每日推送!$A:$A,Z$1)</f>
        <v>0</v>
      </c>
      <c r="AA11" s="4">
        <f>SUMIFS(每日推送!$F:$F,每日推送!$B:$B,$A11,每日推送!$A:$A,AA$1)</f>
        <v>0</v>
      </c>
      <c r="AB11" s="4">
        <f>SUMIFS(每日推送!$F:$F,每日推送!$B:$B,$A11,每日推送!$A:$A,AB$1)</f>
        <v>0</v>
      </c>
      <c r="AC11" s="4">
        <f>SUMIFS(每日推送!$F:$F,每日推送!$B:$B,$A11,每日推送!$A:$A,AC$1)</f>
        <v>0</v>
      </c>
      <c r="AD11" s="4">
        <f>SUMIFS(每日推送!$F:$F,每日推送!$B:$B,$A11,每日推送!$A:$A,AD$1)</f>
        <v>0</v>
      </c>
      <c r="AE11" s="4">
        <f>SUMIFS(每日推送!$F:$F,每日推送!$B:$B,$A11,每日推送!$A:$A,AE$1)</f>
        <v>0</v>
      </c>
    </row>
    <row r="22" spans="18:18" x14ac:dyDescent="0.15">
      <c r="R22" s="23"/>
    </row>
  </sheetData>
  <phoneticPr fontId="1" type="noConversion"/>
  <conditionalFormatting sqref="B2:AE7 B9:AE11 B8:AF8">
    <cfRule type="cellIs" dxfId="1" priority="1" operator="greaterThan">
      <formula>4</formula>
    </cfRule>
    <cfRule type="cellIs" dxfId="0" priority="2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L28"/>
  <sheetViews>
    <sheetView workbookViewId="0">
      <selection activeCell="L27" sqref="L27"/>
    </sheetView>
  </sheetViews>
  <sheetFormatPr defaultRowHeight="13.5" x14ac:dyDescent="0.15"/>
  <cols>
    <col min="12" max="12" width="10.5" bestFit="1" customWidth="1"/>
  </cols>
  <sheetData>
    <row r="28" spans="12:12" x14ac:dyDescent="0.15">
      <c r="L28" s="2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24" sqref="J24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H28" sqref="H28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23" sqref="I23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辅助</vt:lpstr>
      <vt:lpstr>每日推送</vt:lpstr>
      <vt:lpstr>十月汇总</vt:lpstr>
      <vt:lpstr>图表数据</vt:lpstr>
      <vt:lpstr>深海捕鱼</vt:lpstr>
      <vt:lpstr>全民跑酷</vt:lpstr>
      <vt:lpstr>欢乐消消乐</vt:lpstr>
      <vt:lpstr>欢乐斗地主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2016-10-17T03:46:56Z</dcterms:modified>
</cp:coreProperties>
</file>
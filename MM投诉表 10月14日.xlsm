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gu-0010\Desktop\"/>
    </mc:Choice>
  </mc:AlternateContent>
  <bookViews>
    <workbookView xWindow="975" yWindow="3780" windowWidth="18420" windowHeight="3465" tabRatio="881" firstSheet="4" activeTab="7"/>
  </bookViews>
  <sheets>
    <sheet name="规则" sheetId="2" state="hidden" r:id="rId1"/>
    <sheet name="投诉次数" sheetId="42" r:id="rId2"/>
    <sheet name="总计概况" sheetId="34" r:id="rId3"/>
    <sheet name="应用投诉汇总" sheetId="57" r:id="rId4"/>
    <sheet name="投诉省份汇总" sheetId="59" r:id="rId5"/>
    <sheet name="每日投诉" sheetId="67" r:id="rId6"/>
    <sheet name="30天投诉记录" sheetId="62" r:id="rId7"/>
    <sheet name="兰桂馥" sheetId="13" r:id="rId8"/>
    <sheet name="掌娱纵横" sheetId="61" r:id="rId9"/>
    <sheet name="趣游" sheetId="12" r:id="rId10"/>
    <sheet name="无线精灵" sheetId="30" state="hidden" r:id="rId11"/>
    <sheet name="前游" sheetId="24" r:id="rId12"/>
    <sheet name="凯瑞" sheetId="35" state="hidden" r:id="rId13"/>
    <sheet name="魔逗" sheetId="19" r:id="rId14"/>
    <sheet name="中力为" sheetId="54" r:id="rId15"/>
    <sheet name="鱼智" sheetId="69" r:id="rId16"/>
    <sheet name="深圳玉璟" sheetId="52" r:id="rId17"/>
    <sheet name="魔谷" sheetId="22" r:id="rId18"/>
    <sheet name="欧朋" sheetId="31" r:id="rId19"/>
    <sheet name="广州骏伯" sheetId="41" r:id="rId20"/>
    <sheet name="掌门网" sheetId="40" state="hidden" r:id="rId21"/>
    <sheet name="玛语" sheetId="32" state="hidden" r:id="rId22"/>
    <sheet name="意利恒" sheetId="36" state="hidden" r:id="rId23"/>
    <sheet name="朔信" sheetId="47" state="hidden" r:id="rId24"/>
    <sheet name="掌上乐游" sheetId="17" state="hidden" r:id="rId25"/>
    <sheet name="指尖互通" sheetId="68" r:id="rId26"/>
    <sheet name="渠道应用投诉" sheetId="65" r:id="rId27"/>
    <sheet name="应用投诉" sheetId="55" r:id="rId28"/>
    <sheet name="渠道投诉省份" sheetId="66" r:id="rId29"/>
    <sheet name="投诉省份" sheetId="56" r:id="rId30"/>
    <sheet name="Sheet1" sheetId="53" r:id="rId31"/>
  </sheets>
  <definedNames>
    <definedName name="_xlnm._FilterDatabase" localSheetId="6" hidden="1">'30天投诉记录'!$A$1:$J$263</definedName>
    <definedName name="_xlnm._FilterDatabase" localSheetId="28" hidden="1">渠道投诉省份!$A$1:$K$649</definedName>
    <definedName name="_xlnm._FilterDatabase" localSheetId="26" hidden="1">渠道应用投诉!$A$1:$K$539</definedName>
    <definedName name="_xlnm._FilterDatabase" localSheetId="29" hidden="1">投诉省份!$A$1:$J$271</definedName>
    <definedName name="骏伯日期">OFFSET(广州骏伯!$A$8,0,0,COUNTA(广州骏伯!$B:$B)-7)</definedName>
    <definedName name="骏伯万投比">OFFSET(广州骏伯!$F$8,0,0,COUNTA(广州骏伯!$F:$F))</definedName>
    <definedName name="兰桂馥日期">OFFSET(兰桂馥!$A$8,0,0,COUNTA(兰桂馥!$B:$B)-7)</definedName>
    <definedName name="兰桂馥万投比">OFFSET(兰桂馥!$F$8,0,0,COUNTA(兰桂馥!$F:$F)-7)</definedName>
    <definedName name="魔逗日期">OFFSET(魔逗!$A$8,0,0,COUNTA(魔逗!$B:$B)-7)</definedName>
    <definedName name="魔逗万投比">OFFSET(魔逗!$F$8,0,0,COUNTA(魔逗!$F:$F))</definedName>
    <definedName name="魔谷不知情有理万投比">OFFSET(魔谷!$F$8,0,0,COUNTA(魔谷!$F:$F)-6)</definedName>
    <definedName name="魔谷日期" localSheetId="17">OFFSET(魔谷!$A$8,0,0,COUNTA(魔谷!$B:$B)-7)</definedName>
    <definedName name="欧朋日期">OFFSET(欧朋!$A$8,0,0,COUNTA(欧朋!$B:$B)-7)</definedName>
    <definedName name="欧朋万投比">OFFSET(欧朋!$F$8,0,0,COUNTA(欧朋!$F:$F))</definedName>
    <definedName name="趣游日期">OFFSET(趣游!$A$8,0,0,COUNTA(趣游!$B:$B)-7)</definedName>
    <definedName name="趣游万投比">OFFSET(趣游!$F$8,0,0,COUNTA(趣游!$F:$F))</definedName>
    <definedName name="鱼智万投比">OFFSET(鱼智!$F$2,0,0,COUNTA(鱼智!$B:$B)-1)</definedName>
    <definedName name="鱼智有理万元投诉率">OFFSET(鱼智!$K$2,0,0,COUNTA(鱼智!$G:$G)-1)</definedName>
    <definedName name="指尖互通万投比" localSheetId="25">OFFSET(指尖互通!$F$3,0,0,COUNTA(指尖互通!$B:$B)-2)</definedName>
  </definedNames>
  <calcPr calcId="162913"/>
</workbook>
</file>

<file path=xl/calcChain.xml><?xml version="1.0" encoding="utf-8"?>
<calcChain xmlns="http://schemas.openxmlformats.org/spreadsheetml/2006/main">
  <c r="F2" i="69" l="1"/>
  <c r="F111" i="34"/>
  <c r="F58" i="34"/>
  <c r="H3" i="59" a="1"/>
  <c r="H3" i="59" s="1"/>
  <c r="H4" i="59" a="1"/>
  <c r="H4" i="59" s="1"/>
  <c r="H5" i="59" a="1"/>
  <c r="H5" i="59" s="1"/>
  <c r="H6" i="59" a="1"/>
  <c r="H6" i="59" s="1"/>
  <c r="H7" i="59" a="1"/>
  <c r="H7" i="59" s="1"/>
  <c r="H8" i="59" a="1"/>
  <c r="H8" i="59" s="1"/>
  <c r="H9" i="59" a="1"/>
  <c r="H9" i="59" s="1"/>
  <c r="H10" i="59" a="1"/>
  <c r="H10" i="59" s="1"/>
  <c r="H11" i="59" a="1"/>
  <c r="H11" i="59" s="1"/>
  <c r="H12" i="59" a="1"/>
  <c r="H12" i="59" s="1"/>
  <c r="H13" i="59" a="1"/>
  <c r="H13" i="59" s="1"/>
  <c r="H14" i="59" a="1"/>
  <c r="H14" i="59" s="1"/>
  <c r="H15" i="59" a="1"/>
  <c r="H15" i="59" s="1"/>
  <c r="H16" i="59" a="1"/>
  <c r="H16" i="59" s="1"/>
  <c r="H17" i="59" a="1"/>
  <c r="H17" i="59" s="1"/>
  <c r="H18" i="59" a="1"/>
  <c r="H18" i="59" s="1"/>
  <c r="H19" i="59" a="1"/>
  <c r="H19" i="59" s="1"/>
  <c r="H20" i="59" a="1"/>
  <c r="H20" i="59" s="1"/>
  <c r="H21" i="59" a="1"/>
  <c r="H21" i="59" s="1"/>
  <c r="H22" i="59" a="1"/>
  <c r="H22" i="59" s="1"/>
  <c r="H23" i="59" a="1"/>
  <c r="H23" i="59" s="1"/>
  <c r="H24" i="59" a="1"/>
  <c r="H24" i="59" s="1"/>
  <c r="H25" i="59" a="1"/>
  <c r="H25" i="59" s="1"/>
  <c r="H26" i="59" a="1"/>
  <c r="H26" i="59" s="1"/>
  <c r="H27" i="59" a="1"/>
  <c r="H27" i="59" s="1"/>
  <c r="H28" i="59" a="1"/>
  <c r="H28" i="59" s="1"/>
  <c r="H29" i="59" a="1"/>
  <c r="H29" i="59" s="1"/>
  <c r="H30" i="59" a="1"/>
  <c r="H30" i="59" s="1"/>
  <c r="H31" i="59" a="1"/>
  <c r="H31" i="59" s="1"/>
  <c r="H32" i="59" a="1"/>
  <c r="H32" i="59" s="1"/>
  <c r="H2" i="59" a="1"/>
  <c r="H2" i="59" s="1"/>
  <c r="B13" i="67"/>
  <c r="F9" i="69"/>
  <c r="F10" i="69"/>
  <c r="K32" i="69"/>
  <c r="F32" i="69"/>
  <c r="K31" i="69"/>
  <c r="F31" i="69"/>
  <c r="K30" i="69"/>
  <c r="F30" i="69"/>
  <c r="K29" i="69"/>
  <c r="F29" i="69"/>
  <c r="K28" i="69"/>
  <c r="F28" i="69"/>
  <c r="K27" i="69"/>
  <c r="F27" i="69"/>
  <c r="K26" i="69"/>
  <c r="F26" i="69"/>
  <c r="K25" i="69"/>
  <c r="F25" i="69"/>
  <c r="K24" i="69"/>
  <c r="F24" i="69"/>
  <c r="K23" i="69"/>
  <c r="F23" i="69"/>
  <c r="K22" i="69"/>
  <c r="F22" i="69"/>
  <c r="K21" i="69"/>
  <c r="F21" i="69"/>
  <c r="K20" i="69"/>
  <c r="F20" i="69"/>
  <c r="K19" i="69"/>
  <c r="F19" i="69"/>
  <c r="K18" i="69"/>
  <c r="F18" i="69"/>
  <c r="K17" i="69"/>
  <c r="F17" i="69"/>
  <c r="K16" i="69"/>
  <c r="F16" i="69"/>
  <c r="K15" i="69"/>
  <c r="F15" i="69"/>
  <c r="K14" i="69"/>
  <c r="F14" i="69"/>
  <c r="K13" i="69"/>
  <c r="F13" i="69"/>
  <c r="K12" i="69"/>
  <c r="F12" i="69"/>
  <c r="K11" i="69"/>
  <c r="F11" i="69"/>
  <c r="K10" i="69"/>
  <c r="K9" i="69"/>
  <c r="K8" i="69"/>
  <c r="F8" i="69"/>
  <c r="K7" i="69"/>
  <c r="F7" i="69"/>
  <c r="K6" i="69"/>
  <c r="F6" i="69"/>
  <c r="K5" i="69"/>
  <c r="F5" i="69"/>
  <c r="K4" i="69"/>
  <c r="F4" i="69"/>
  <c r="K3" i="69"/>
  <c r="F3" i="69"/>
  <c r="K2" i="69"/>
  <c r="A3" i="69"/>
  <c r="A4" i="69" s="1"/>
  <c r="A5" i="69" s="1"/>
  <c r="A6" i="69" s="1"/>
  <c r="A7" i="69" s="1"/>
  <c r="A8" i="69" s="1"/>
  <c r="A9" i="69" s="1"/>
  <c r="A10" i="69" s="1"/>
  <c r="A11" i="69" s="1"/>
  <c r="A12" i="69" s="1"/>
  <c r="A13" i="69" s="1"/>
  <c r="A14" i="69" s="1"/>
  <c r="A15" i="69" s="1"/>
  <c r="A16" i="69" s="1"/>
  <c r="A17" i="69" s="1"/>
  <c r="A18" i="69" s="1"/>
  <c r="A19" i="69" s="1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F106" i="42"/>
  <c r="E38" i="34"/>
  <c r="F92" i="42"/>
  <c r="F112" i="42"/>
  <c r="F80" i="34"/>
  <c r="F24" i="42"/>
  <c r="F103" i="42"/>
  <c r="F71" i="42"/>
  <c r="F28" i="34"/>
  <c r="F15" i="34"/>
  <c r="F70" i="42"/>
  <c r="E40" i="34"/>
  <c r="E41" i="34"/>
  <c r="E43" i="34"/>
  <c r="F19" i="34"/>
  <c r="F71" i="34"/>
  <c r="F32" i="42"/>
  <c r="E36" i="34"/>
  <c r="E45" i="34"/>
  <c r="F72" i="42"/>
  <c r="F16" i="34"/>
  <c r="F47" i="42"/>
  <c r="F43" i="34"/>
  <c r="F85" i="34"/>
  <c r="F63" i="42"/>
  <c r="F41" i="34"/>
  <c r="F20" i="34"/>
  <c r="F52" i="42"/>
  <c r="F81" i="34"/>
  <c r="F83" i="34"/>
  <c r="F19" i="42"/>
  <c r="F86" i="34"/>
  <c r="F69" i="42"/>
  <c r="F95" i="34"/>
  <c r="E31" i="34"/>
  <c r="F61" i="42"/>
  <c r="F43" i="42"/>
  <c r="F87" i="42"/>
  <c r="F62" i="42"/>
  <c r="F42" i="34"/>
  <c r="F14" i="34"/>
  <c r="F30" i="34"/>
  <c r="F31" i="42"/>
  <c r="F69" i="34"/>
  <c r="F67" i="42"/>
  <c r="F99" i="34"/>
  <c r="F76" i="34"/>
  <c r="F79" i="34"/>
  <c r="E20" i="34"/>
  <c r="F78" i="34"/>
  <c r="E13" i="67"/>
  <c r="F21" i="34"/>
  <c r="F77" i="34"/>
  <c r="E16" i="34"/>
  <c r="F96" i="42"/>
  <c r="F25" i="34"/>
  <c r="F22" i="34"/>
  <c r="F84" i="34"/>
  <c r="E34" i="34"/>
  <c r="E22" i="34"/>
  <c r="F12" i="42"/>
  <c r="F30" i="42"/>
  <c r="F51" i="42"/>
  <c r="F39" i="34"/>
  <c r="F33" i="42"/>
  <c r="F73" i="34"/>
  <c r="F97" i="34"/>
  <c r="F88" i="34"/>
  <c r="F91" i="34"/>
  <c r="E29" i="34"/>
  <c r="E42" i="34"/>
  <c r="F75" i="34"/>
  <c r="F90" i="34"/>
  <c r="F36" i="34"/>
  <c r="F31" i="34"/>
  <c r="F86" i="42"/>
  <c r="F6" i="42"/>
  <c r="F55" i="42"/>
  <c r="F44" i="42"/>
  <c r="F88" i="42"/>
  <c r="F98" i="42"/>
  <c r="F104" i="34"/>
  <c r="F34" i="42"/>
  <c r="F74" i="34"/>
  <c r="E32" i="34"/>
  <c r="F29" i="34"/>
  <c r="E21" i="34"/>
  <c r="F54" i="42"/>
  <c r="F16" i="42"/>
  <c r="E46" i="34"/>
  <c r="F17" i="42"/>
  <c r="F23" i="34"/>
  <c r="F27" i="34"/>
  <c r="F50" i="42"/>
  <c r="F21" i="42"/>
  <c r="F97" i="42"/>
  <c r="F89" i="34"/>
  <c r="E19" i="34"/>
  <c r="F14" i="42"/>
  <c r="F95" i="42"/>
  <c r="F28" i="42"/>
  <c r="F57" i="42"/>
  <c r="F91" i="42"/>
  <c r="F90" i="42"/>
  <c r="F8" i="42"/>
  <c r="F33" i="34"/>
  <c r="E15" i="34"/>
  <c r="F100" i="42"/>
  <c r="F112" i="34"/>
  <c r="F102" i="34"/>
  <c r="F83" i="42"/>
  <c r="F15" i="42"/>
  <c r="F89" i="42"/>
  <c r="F37" i="34"/>
  <c r="E26" i="34"/>
  <c r="F18" i="34"/>
  <c r="F104" i="42"/>
  <c r="F26" i="42"/>
  <c r="E27" i="34"/>
  <c r="F45" i="42"/>
  <c r="F11" i="42"/>
  <c r="F66" i="42"/>
  <c r="F105" i="42"/>
  <c r="E24" i="34"/>
  <c r="F44" i="34"/>
  <c r="F46" i="34"/>
  <c r="F96" i="34"/>
  <c r="E14" i="34"/>
  <c r="F45" i="34"/>
  <c r="F38" i="34"/>
  <c r="F40" i="34"/>
  <c r="F65" i="42"/>
  <c r="F99" i="42"/>
  <c r="F109" i="42"/>
  <c r="F48" i="42"/>
  <c r="E39" i="34"/>
  <c r="E30" i="34"/>
  <c r="F60" i="42"/>
  <c r="F94" i="42"/>
  <c r="F85" i="42"/>
  <c r="F101" i="34"/>
  <c r="F32" i="34"/>
  <c r="F25" i="42"/>
  <c r="F93" i="34"/>
  <c r="F23" i="42"/>
  <c r="F93" i="42"/>
  <c r="F108" i="42"/>
  <c r="F13" i="34"/>
  <c r="E44" i="34"/>
  <c r="F102" i="42"/>
  <c r="E25" i="34"/>
  <c r="E18" i="34"/>
  <c r="F9" i="42"/>
  <c r="E23" i="34"/>
  <c r="F7" i="42"/>
  <c r="F35" i="34"/>
  <c r="F98" i="34"/>
  <c r="F26" i="34"/>
  <c r="F103" i="34"/>
  <c r="E37" i="34"/>
  <c r="F17" i="34"/>
  <c r="E35" i="34"/>
  <c r="F49" i="42"/>
  <c r="F56" i="42"/>
  <c r="F59" i="42"/>
  <c r="F27" i="42"/>
  <c r="F92" i="34"/>
  <c r="F20" i="42"/>
  <c r="F72" i="34"/>
  <c r="F13" i="42"/>
  <c r="F82" i="34"/>
  <c r="F114" i="34"/>
  <c r="F64" i="42"/>
  <c r="F68" i="42"/>
  <c r="F24" i="34"/>
  <c r="F73" i="42"/>
  <c r="F82" i="42"/>
  <c r="F10" i="42"/>
  <c r="F46" i="42"/>
  <c r="F5" i="42"/>
  <c r="E33" i="34"/>
  <c r="F68" i="34"/>
  <c r="F101" i="42"/>
  <c r="F29" i="42"/>
  <c r="F111" i="42"/>
  <c r="E28" i="34"/>
  <c r="F110" i="42"/>
  <c r="F22" i="42"/>
  <c r="F35" i="42"/>
  <c r="F113" i="34"/>
  <c r="F94" i="34"/>
  <c r="F34" i="34"/>
  <c r="F18" i="42"/>
  <c r="F70" i="34"/>
  <c r="F87" i="34"/>
  <c r="F107" i="42"/>
  <c r="F58" i="42"/>
  <c r="F100" i="34"/>
  <c r="F53" i="42"/>
  <c r="E17" i="34"/>
  <c r="F84" i="42"/>
  <c r="F51" i="34" l="1"/>
  <c r="F52" i="34" s="1"/>
  <c r="F53" i="34" s="1"/>
  <c r="F105" i="34"/>
  <c r="F106" i="34" s="1"/>
  <c r="F115" i="34"/>
  <c r="A21" i="34"/>
  <c r="E3" i="57" a="1"/>
  <c r="E3" i="57" s="1"/>
  <c r="F3" i="57" a="1"/>
  <c r="F3" i="57" s="1"/>
  <c r="G3" i="57" a="1"/>
  <c r="G3" i="57" s="1"/>
  <c r="H3" i="57" a="1"/>
  <c r="H3" i="57" s="1"/>
  <c r="I3" i="57" a="1"/>
  <c r="I3" i="57" s="1"/>
  <c r="J3" i="57" a="1"/>
  <c r="J3" i="57" s="1"/>
  <c r="E4" i="57" a="1"/>
  <c r="E4" i="57" s="1"/>
  <c r="F4" i="57" a="1"/>
  <c r="F4" i="57" s="1"/>
  <c r="G4" i="57" a="1"/>
  <c r="G4" i="57" s="1"/>
  <c r="H4" i="57" a="1"/>
  <c r="H4" i="57" s="1"/>
  <c r="I4" i="57" a="1"/>
  <c r="I4" i="57" s="1"/>
  <c r="J4" i="57" a="1"/>
  <c r="J4" i="57" s="1"/>
  <c r="E5" i="57" a="1"/>
  <c r="E5" i="57" s="1"/>
  <c r="F5" i="57" a="1"/>
  <c r="F5" i="57" s="1"/>
  <c r="G5" i="57" a="1"/>
  <c r="G5" i="57" s="1"/>
  <c r="H5" i="57" a="1"/>
  <c r="H5" i="57" s="1"/>
  <c r="I5" i="57" a="1"/>
  <c r="I5" i="57" s="1"/>
  <c r="J5" i="57" a="1"/>
  <c r="J5" i="57" s="1"/>
  <c r="E6" i="57" a="1"/>
  <c r="E6" i="57" s="1"/>
  <c r="F6" i="57" a="1"/>
  <c r="F6" i="57" s="1"/>
  <c r="G6" i="57" a="1"/>
  <c r="G6" i="57" s="1"/>
  <c r="H6" i="57" a="1"/>
  <c r="H6" i="57" s="1"/>
  <c r="I6" i="57" a="1"/>
  <c r="I6" i="57" s="1"/>
  <c r="J6" i="57" a="1"/>
  <c r="J6" i="57" s="1"/>
  <c r="E7" i="57" a="1"/>
  <c r="E7" i="57" s="1"/>
  <c r="F7" i="57" a="1"/>
  <c r="F7" i="57" s="1"/>
  <c r="G7" i="57" a="1"/>
  <c r="G7" i="57" s="1"/>
  <c r="H7" i="57" a="1"/>
  <c r="H7" i="57" s="1"/>
  <c r="I7" i="57" a="1"/>
  <c r="I7" i="57" s="1"/>
  <c r="J7" i="57" a="1"/>
  <c r="J7" i="57" s="1"/>
  <c r="E8" i="57" a="1"/>
  <c r="E8" i="57" s="1"/>
  <c r="F8" i="57" a="1"/>
  <c r="F8" i="57" s="1"/>
  <c r="G8" i="57" a="1"/>
  <c r="G8" i="57" s="1"/>
  <c r="H8" i="57" a="1"/>
  <c r="H8" i="57" s="1"/>
  <c r="I8" i="57" a="1"/>
  <c r="I8" i="57" s="1"/>
  <c r="J8" i="57" a="1"/>
  <c r="J8" i="57" s="1"/>
  <c r="E9" i="57" a="1"/>
  <c r="E9" i="57" s="1"/>
  <c r="F9" i="57" a="1"/>
  <c r="F9" i="57" s="1"/>
  <c r="G9" i="57" a="1"/>
  <c r="G9" i="57" s="1"/>
  <c r="H9" i="57" a="1"/>
  <c r="H9" i="57" s="1"/>
  <c r="I9" i="57" a="1"/>
  <c r="I9" i="57" s="1"/>
  <c r="J9" i="57" a="1"/>
  <c r="J9" i="57" s="1"/>
  <c r="E10" i="57" a="1"/>
  <c r="E10" i="57" s="1"/>
  <c r="F10" i="57" a="1"/>
  <c r="F10" i="57" s="1"/>
  <c r="G10" i="57" a="1"/>
  <c r="G10" i="57" s="1"/>
  <c r="H10" i="57" a="1"/>
  <c r="H10" i="57" s="1"/>
  <c r="I10" i="57" a="1"/>
  <c r="I10" i="57" s="1"/>
  <c r="J10" i="57" a="1"/>
  <c r="J10" i="57" s="1"/>
  <c r="E11" i="57" a="1"/>
  <c r="E11" i="57" s="1"/>
  <c r="F11" i="57" a="1"/>
  <c r="F11" i="57" s="1"/>
  <c r="G11" i="57" a="1"/>
  <c r="G11" i="57" s="1"/>
  <c r="H11" i="57" a="1"/>
  <c r="H11" i="57" s="1"/>
  <c r="I11" i="57" a="1"/>
  <c r="I11" i="57" s="1"/>
  <c r="J11" i="57" a="1"/>
  <c r="J11" i="57" s="1"/>
  <c r="E12" i="57" a="1"/>
  <c r="E12" i="57" s="1"/>
  <c r="F12" i="57" a="1"/>
  <c r="F12" i="57" s="1"/>
  <c r="G12" i="57" a="1"/>
  <c r="G12" i="57" s="1"/>
  <c r="H12" i="57" a="1"/>
  <c r="H12" i="57" s="1"/>
  <c r="I12" i="57" a="1"/>
  <c r="I12" i="57" s="1"/>
  <c r="J12" i="57" a="1"/>
  <c r="J12" i="57" s="1"/>
  <c r="E13" i="57" a="1"/>
  <c r="E13" i="57" s="1"/>
  <c r="F13" i="57" a="1"/>
  <c r="F13" i="57" s="1"/>
  <c r="G13" i="57" a="1"/>
  <c r="G13" i="57" s="1"/>
  <c r="H13" i="57" a="1"/>
  <c r="H13" i="57" s="1"/>
  <c r="I13" i="57" a="1"/>
  <c r="I13" i="57" s="1"/>
  <c r="J13" i="57" a="1"/>
  <c r="J13" i="57" s="1"/>
  <c r="E14" i="57" a="1"/>
  <c r="E14" i="57" s="1"/>
  <c r="F14" i="57" a="1"/>
  <c r="F14" i="57" s="1"/>
  <c r="G14" i="57" a="1"/>
  <c r="G14" i="57" s="1"/>
  <c r="H14" i="57" a="1"/>
  <c r="H14" i="57" s="1"/>
  <c r="I14" i="57" a="1"/>
  <c r="I14" i="57" s="1"/>
  <c r="J14" i="57" a="1"/>
  <c r="J14" i="57" s="1"/>
  <c r="E15" i="57" a="1"/>
  <c r="E15" i="57" s="1"/>
  <c r="F15" i="57" a="1"/>
  <c r="F15" i="57" s="1"/>
  <c r="G15" i="57" a="1"/>
  <c r="G15" i="57" s="1"/>
  <c r="H15" i="57" a="1"/>
  <c r="H15" i="57" s="1"/>
  <c r="I15" i="57" a="1"/>
  <c r="I15" i="57" s="1"/>
  <c r="J15" i="57" a="1"/>
  <c r="J15" i="57" s="1"/>
  <c r="E16" i="57" a="1"/>
  <c r="E16" i="57" s="1"/>
  <c r="F16" i="57" a="1"/>
  <c r="F16" i="57" s="1"/>
  <c r="G16" i="57" a="1"/>
  <c r="G16" i="57" s="1"/>
  <c r="H16" i="57" a="1"/>
  <c r="H16" i="57" s="1"/>
  <c r="I16" i="57" a="1"/>
  <c r="I16" i="57" s="1"/>
  <c r="J16" i="57" a="1"/>
  <c r="J16" i="57" s="1"/>
  <c r="E17" i="57" a="1"/>
  <c r="E17" i="57" s="1"/>
  <c r="F17" i="57" a="1"/>
  <c r="F17" i="57" s="1"/>
  <c r="G17" i="57" a="1"/>
  <c r="G17" i="57" s="1"/>
  <c r="H17" i="57" a="1"/>
  <c r="H17" i="57" s="1"/>
  <c r="I17" i="57" a="1"/>
  <c r="I17" i="57" s="1"/>
  <c r="J17" i="57" a="1"/>
  <c r="J17" i="57" s="1"/>
  <c r="E18" i="57" a="1"/>
  <c r="E18" i="57" s="1"/>
  <c r="F18" i="57" a="1"/>
  <c r="F18" i="57" s="1"/>
  <c r="G18" i="57" a="1"/>
  <c r="G18" i="57" s="1"/>
  <c r="H18" i="57" a="1"/>
  <c r="H18" i="57" s="1"/>
  <c r="I18" i="57" a="1"/>
  <c r="I18" i="57" s="1"/>
  <c r="J18" i="57" a="1"/>
  <c r="J18" i="57" s="1"/>
  <c r="E19" i="57" a="1"/>
  <c r="E19" i="57" s="1"/>
  <c r="F19" i="57" a="1"/>
  <c r="F19" i="57" s="1"/>
  <c r="G19" i="57" a="1"/>
  <c r="G19" i="57" s="1"/>
  <c r="H19" i="57" a="1"/>
  <c r="H19" i="57" s="1"/>
  <c r="I19" i="57" a="1"/>
  <c r="I19" i="57" s="1"/>
  <c r="J19" i="57" a="1"/>
  <c r="J19" i="57" s="1"/>
  <c r="J2" i="57" a="1"/>
  <c r="J2" i="57" s="1"/>
  <c r="I2" i="57" a="1"/>
  <c r="I2" i="57" s="1"/>
  <c r="H2" i="57" a="1"/>
  <c r="H2" i="57" s="1"/>
  <c r="G2" i="57" a="1"/>
  <c r="G2" i="57" s="1"/>
  <c r="F2" i="57" a="1"/>
  <c r="F2" i="57" s="1"/>
  <c r="E2" i="57" a="1"/>
  <c r="E2" i="57" s="1"/>
  <c r="D3" i="57" a="1"/>
  <c r="D3" i="57" s="1"/>
  <c r="D4" i="57" a="1"/>
  <c r="D4" i="57" s="1"/>
  <c r="D5" i="57" a="1"/>
  <c r="D5" i="57" s="1"/>
  <c r="D6" i="57" a="1"/>
  <c r="D6" i="57" s="1"/>
  <c r="D7" i="57" a="1"/>
  <c r="D7" i="57" s="1"/>
  <c r="D8" i="57" a="1"/>
  <c r="D8" i="57" s="1"/>
  <c r="D9" i="57" a="1"/>
  <c r="D9" i="57" s="1"/>
  <c r="D10" i="57" a="1"/>
  <c r="D10" i="57" s="1"/>
  <c r="D11" i="57" a="1"/>
  <c r="D11" i="57" s="1"/>
  <c r="D12" i="57" a="1"/>
  <c r="D12" i="57" s="1"/>
  <c r="D13" i="57" a="1"/>
  <c r="D13" i="57" s="1"/>
  <c r="D14" i="57" a="1"/>
  <c r="D14" i="57" s="1"/>
  <c r="D15" i="57" a="1"/>
  <c r="D15" i="57" s="1"/>
  <c r="D16" i="57" a="1"/>
  <c r="D16" i="57" s="1"/>
  <c r="D17" i="57" a="1"/>
  <c r="D17" i="57" s="1"/>
  <c r="D18" i="57" a="1"/>
  <c r="D18" i="57" s="1"/>
  <c r="D19" i="57" a="1"/>
  <c r="D19" i="57" s="1"/>
  <c r="D2" i="57" a="1"/>
  <c r="D2" i="57" s="1"/>
  <c r="B3" i="59" a="1"/>
  <c r="B3" i="59" s="1"/>
  <c r="C3" i="59" a="1"/>
  <c r="C3" i="59" s="1"/>
  <c r="D3" i="59" a="1"/>
  <c r="D3" i="59" s="1"/>
  <c r="E3" i="59" a="1"/>
  <c r="E3" i="59" s="1"/>
  <c r="F3" i="59" a="1"/>
  <c r="F3" i="59" s="1"/>
  <c r="G3" i="59" a="1"/>
  <c r="G3" i="59" s="1"/>
  <c r="I3" i="59" a="1"/>
  <c r="I3" i="59" s="1"/>
  <c r="B4" i="59" a="1"/>
  <c r="B4" i="59" s="1"/>
  <c r="C4" i="59" a="1"/>
  <c r="C4" i="59" s="1"/>
  <c r="D4" i="59" a="1"/>
  <c r="D4" i="59" s="1"/>
  <c r="E4" i="59" a="1"/>
  <c r="E4" i="59" s="1"/>
  <c r="F4" i="59" a="1"/>
  <c r="F4" i="59" s="1"/>
  <c r="G4" i="59" a="1"/>
  <c r="G4" i="59" s="1"/>
  <c r="I4" i="59" a="1"/>
  <c r="I4" i="59" s="1"/>
  <c r="B5" i="59" a="1"/>
  <c r="B5" i="59" s="1"/>
  <c r="C5" i="59" a="1"/>
  <c r="C5" i="59" s="1"/>
  <c r="D5" i="59" a="1"/>
  <c r="D5" i="59" s="1"/>
  <c r="E5" i="59" a="1"/>
  <c r="E5" i="59" s="1"/>
  <c r="F5" i="59" a="1"/>
  <c r="F5" i="59" s="1"/>
  <c r="G5" i="59" a="1"/>
  <c r="G5" i="59" s="1"/>
  <c r="I5" i="59" a="1"/>
  <c r="I5" i="59" s="1"/>
  <c r="B6" i="59" a="1"/>
  <c r="B6" i="59" s="1"/>
  <c r="C6" i="59" a="1"/>
  <c r="C6" i="59" s="1"/>
  <c r="D6" i="59" a="1"/>
  <c r="D6" i="59" s="1"/>
  <c r="E6" i="59" a="1"/>
  <c r="E6" i="59" s="1"/>
  <c r="F6" i="59" a="1"/>
  <c r="F6" i="59" s="1"/>
  <c r="G6" i="59" a="1"/>
  <c r="G6" i="59" s="1"/>
  <c r="I6" i="59" a="1"/>
  <c r="I6" i="59" s="1"/>
  <c r="B7" i="59" a="1"/>
  <c r="B7" i="59" s="1"/>
  <c r="C7" i="59" a="1"/>
  <c r="C7" i="59" s="1"/>
  <c r="D7" i="59" a="1"/>
  <c r="D7" i="59" s="1"/>
  <c r="E7" i="59" a="1"/>
  <c r="E7" i="59" s="1"/>
  <c r="F7" i="59" a="1"/>
  <c r="F7" i="59" s="1"/>
  <c r="G7" i="59" a="1"/>
  <c r="G7" i="59" s="1"/>
  <c r="I7" i="59" a="1"/>
  <c r="I7" i="59" s="1"/>
  <c r="B8" i="59" a="1"/>
  <c r="B8" i="59" s="1"/>
  <c r="C8" i="59" a="1"/>
  <c r="C8" i="59" s="1"/>
  <c r="D8" i="59" a="1"/>
  <c r="D8" i="59" s="1"/>
  <c r="E8" i="59" a="1"/>
  <c r="E8" i="59" s="1"/>
  <c r="F8" i="59" a="1"/>
  <c r="F8" i="59" s="1"/>
  <c r="G8" i="59" a="1"/>
  <c r="G8" i="59" s="1"/>
  <c r="I8" i="59" a="1"/>
  <c r="I8" i="59" s="1"/>
  <c r="B9" i="59" a="1"/>
  <c r="B9" i="59" s="1"/>
  <c r="C9" i="59" a="1"/>
  <c r="C9" i="59" s="1"/>
  <c r="D9" i="59" a="1"/>
  <c r="D9" i="59" s="1"/>
  <c r="E9" i="59" a="1"/>
  <c r="E9" i="59" s="1"/>
  <c r="F9" i="59" a="1"/>
  <c r="F9" i="59" s="1"/>
  <c r="G9" i="59" a="1"/>
  <c r="G9" i="59" s="1"/>
  <c r="I9" i="59" a="1"/>
  <c r="I9" i="59" s="1"/>
  <c r="B10" i="59" a="1"/>
  <c r="B10" i="59" s="1"/>
  <c r="C10" i="59" a="1"/>
  <c r="C10" i="59" s="1"/>
  <c r="D10" i="59" a="1"/>
  <c r="D10" i="59" s="1"/>
  <c r="E10" i="59" a="1"/>
  <c r="E10" i="59" s="1"/>
  <c r="F10" i="59" a="1"/>
  <c r="F10" i="59" s="1"/>
  <c r="G10" i="59" a="1"/>
  <c r="G10" i="59" s="1"/>
  <c r="I10" i="59" a="1"/>
  <c r="I10" i="59" s="1"/>
  <c r="B11" i="59" a="1"/>
  <c r="B11" i="59" s="1"/>
  <c r="C11" i="59" a="1"/>
  <c r="C11" i="59" s="1"/>
  <c r="D11" i="59" a="1"/>
  <c r="D11" i="59" s="1"/>
  <c r="E11" i="59" a="1"/>
  <c r="E11" i="59" s="1"/>
  <c r="F11" i="59" a="1"/>
  <c r="F11" i="59" s="1"/>
  <c r="G11" i="59" a="1"/>
  <c r="G11" i="59" s="1"/>
  <c r="I11" i="59" a="1"/>
  <c r="I11" i="59" s="1"/>
  <c r="B12" i="59" a="1"/>
  <c r="B12" i="59" s="1"/>
  <c r="C12" i="59" a="1"/>
  <c r="C12" i="59" s="1"/>
  <c r="D12" i="59" a="1"/>
  <c r="D12" i="59" s="1"/>
  <c r="E12" i="59" a="1"/>
  <c r="E12" i="59" s="1"/>
  <c r="F12" i="59" a="1"/>
  <c r="F12" i="59" s="1"/>
  <c r="G12" i="59" a="1"/>
  <c r="G12" i="59" s="1"/>
  <c r="I12" i="59" a="1"/>
  <c r="I12" i="59" s="1"/>
  <c r="B13" i="59" a="1"/>
  <c r="B13" i="59" s="1"/>
  <c r="C13" i="59" a="1"/>
  <c r="C13" i="59" s="1"/>
  <c r="D13" i="59" a="1"/>
  <c r="D13" i="59" s="1"/>
  <c r="E13" i="59" a="1"/>
  <c r="E13" i="59" s="1"/>
  <c r="F13" i="59" a="1"/>
  <c r="F13" i="59" s="1"/>
  <c r="G13" i="59" a="1"/>
  <c r="G13" i="59" s="1"/>
  <c r="I13" i="59" a="1"/>
  <c r="I13" i="59" s="1"/>
  <c r="B14" i="59" a="1"/>
  <c r="B14" i="59" s="1"/>
  <c r="C14" i="59" a="1"/>
  <c r="C14" i="59" s="1"/>
  <c r="D14" i="59" a="1"/>
  <c r="D14" i="59" s="1"/>
  <c r="E14" i="59" a="1"/>
  <c r="E14" i="59" s="1"/>
  <c r="F14" i="59" a="1"/>
  <c r="F14" i="59" s="1"/>
  <c r="G14" i="59" a="1"/>
  <c r="G14" i="59" s="1"/>
  <c r="I14" i="59" a="1"/>
  <c r="I14" i="59" s="1"/>
  <c r="B15" i="59" a="1"/>
  <c r="B15" i="59" s="1"/>
  <c r="C15" i="59" a="1"/>
  <c r="C15" i="59" s="1"/>
  <c r="D15" i="59" a="1"/>
  <c r="D15" i="59" s="1"/>
  <c r="E15" i="59" a="1"/>
  <c r="E15" i="59" s="1"/>
  <c r="F15" i="59" a="1"/>
  <c r="F15" i="59" s="1"/>
  <c r="G15" i="59" a="1"/>
  <c r="G15" i="59" s="1"/>
  <c r="I15" i="59" a="1"/>
  <c r="I15" i="59" s="1"/>
  <c r="B16" i="59" a="1"/>
  <c r="B16" i="59" s="1"/>
  <c r="C16" i="59" a="1"/>
  <c r="C16" i="59" s="1"/>
  <c r="D16" i="59" a="1"/>
  <c r="D16" i="59" s="1"/>
  <c r="E16" i="59" a="1"/>
  <c r="E16" i="59" s="1"/>
  <c r="F16" i="59" a="1"/>
  <c r="F16" i="59" s="1"/>
  <c r="G16" i="59" a="1"/>
  <c r="G16" i="59" s="1"/>
  <c r="I16" i="59" a="1"/>
  <c r="I16" i="59" s="1"/>
  <c r="B17" i="59" a="1"/>
  <c r="B17" i="59" s="1"/>
  <c r="C17" i="59" a="1"/>
  <c r="C17" i="59" s="1"/>
  <c r="D17" i="59" a="1"/>
  <c r="D17" i="59" s="1"/>
  <c r="E17" i="59" a="1"/>
  <c r="E17" i="59" s="1"/>
  <c r="F17" i="59" a="1"/>
  <c r="F17" i="59" s="1"/>
  <c r="G17" i="59" a="1"/>
  <c r="G17" i="59" s="1"/>
  <c r="I17" i="59" a="1"/>
  <c r="I17" i="59" s="1"/>
  <c r="B18" i="59" a="1"/>
  <c r="B18" i="59" s="1"/>
  <c r="C18" i="59" a="1"/>
  <c r="C18" i="59" s="1"/>
  <c r="D18" i="59" a="1"/>
  <c r="D18" i="59" s="1"/>
  <c r="E18" i="59" a="1"/>
  <c r="E18" i="59" s="1"/>
  <c r="F18" i="59" a="1"/>
  <c r="F18" i="59" s="1"/>
  <c r="G18" i="59" a="1"/>
  <c r="G18" i="59" s="1"/>
  <c r="I18" i="59" a="1"/>
  <c r="I18" i="59" s="1"/>
  <c r="B19" i="59" a="1"/>
  <c r="B19" i="59" s="1"/>
  <c r="C19" i="59" a="1"/>
  <c r="C19" i="59" s="1"/>
  <c r="D19" i="59" a="1"/>
  <c r="D19" i="59" s="1"/>
  <c r="E19" i="59" a="1"/>
  <c r="E19" i="59" s="1"/>
  <c r="F19" i="59" a="1"/>
  <c r="F19" i="59" s="1"/>
  <c r="G19" i="59" a="1"/>
  <c r="G19" i="59" s="1"/>
  <c r="I19" i="59" a="1"/>
  <c r="I19" i="59" s="1"/>
  <c r="B20" i="59" a="1"/>
  <c r="B20" i="59" s="1"/>
  <c r="C20" i="59" a="1"/>
  <c r="C20" i="59" s="1"/>
  <c r="D20" i="59" a="1"/>
  <c r="D20" i="59" s="1"/>
  <c r="E20" i="59" a="1"/>
  <c r="E20" i="59" s="1"/>
  <c r="F20" i="59" a="1"/>
  <c r="F20" i="59" s="1"/>
  <c r="G20" i="59" a="1"/>
  <c r="G20" i="59" s="1"/>
  <c r="I20" i="59" a="1"/>
  <c r="I20" i="59" s="1"/>
  <c r="B21" i="59" a="1"/>
  <c r="B21" i="59" s="1"/>
  <c r="C21" i="59" a="1"/>
  <c r="C21" i="59" s="1"/>
  <c r="D21" i="59" a="1"/>
  <c r="D21" i="59" s="1"/>
  <c r="E21" i="59" a="1"/>
  <c r="E21" i="59" s="1"/>
  <c r="F21" i="59" a="1"/>
  <c r="F21" i="59" s="1"/>
  <c r="G21" i="59" a="1"/>
  <c r="G21" i="59" s="1"/>
  <c r="I21" i="59" a="1"/>
  <c r="I21" i="59" s="1"/>
  <c r="B22" i="59" a="1"/>
  <c r="B22" i="59" s="1"/>
  <c r="C22" i="59" a="1"/>
  <c r="C22" i="59" s="1"/>
  <c r="D22" i="59" a="1"/>
  <c r="D22" i="59" s="1"/>
  <c r="E22" i="59" a="1"/>
  <c r="E22" i="59" s="1"/>
  <c r="F22" i="59" a="1"/>
  <c r="F22" i="59" s="1"/>
  <c r="G22" i="59" a="1"/>
  <c r="G22" i="59" s="1"/>
  <c r="I22" i="59" a="1"/>
  <c r="I22" i="59" s="1"/>
  <c r="B23" i="59" a="1"/>
  <c r="B23" i="59" s="1"/>
  <c r="C23" i="59" a="1"/>
  <c r="C23" i="59" s="1"/>
  <c r="D23" i="59" a="1"/>
  <c r="D23" i="59" s="1"/>
  <c r="E23" i="59" a="1"/>
  <c r="E23" i="59" s="1"/>
  <c r="F23" i="59" a="1"/>
  <c r="F23" i="59" s="1"/>
  <c r="G23" i="59" a="1"/>
  <c r="G23" i="59" s="1"/>
  <c r="I23" i="59" a="1"/>
  <c r="I23" i="59" s="1"/>
  <c r="B24" i="59" a="1"/>
  <c r="B24" i="59" s="1"/>
  <c r="C24" i="59" a="1"/>
  <c r="C24" i="59" s="1"/>
  <c r="D24" i="59" a="1"/>
  <c r="D24" i="59" s="1"/>
  <c r="E24" i="59" a="1"/>
  <c r="E24" i="59" s="1"/>
  <c r="F24" i="59" a="1"/>
  <c r="F24" i="59" s="1"/>
  <c r="G24" i="59" a="1"/>
  <c r="G24" i="59" s="1"/>
  <c r="I24" i="59" a="1"/>
  <c r="I24" i="59" s="1"/>
  <c r="B25" i="59" a="1"/>
  <c r="B25" i="59" s="1"/>
  <c r="C25" i="59" a="1"/>
  <c r="C25" i="59" s="1"/>
  <c r="D25" i="59" a="1"/>
  <c r="D25" i="59" s="1"/>
  <c r="E25" i="59" a="1"/>
  <c r="E25" i="59" s="1"/>
  <c r="F25" i="59" a="1"/>
  <c r="F25" i="59" s="1"/>
  <c r="G25" i="59" a="1"/>
  <c r="G25" i="59" s="1"/>
  <c r="I25" i="59" a="1"/>
  <c r="I25" i="59" s="1"/>
  <c r="B26" i="59" a="1"/>
  <c r="B26" i="59" s="1"/>
  <c r="C26" i="59" a="1"/>
  <c r="C26" i="59" s="1"/>
  <c r="D26" i="59" a="1"/>
  <c r="D26" i="59" s="1"/>
  <c r="E26" i="59" a="1"/>
  <c r="E26" i="59" s="1"/>
  <c r="F26" i="59" a="1"/>
  <c r="F26" i="59" s="1"/>
  <c r="G26" i="59" a="1"/>
  <c r="G26" i="59" s="1"/>
  <c r="I26" i="59" a="1"/>
  <c r="I26" i="59" s="1"/>
  <c r="B27" i="59" a="1"/>
  <c r="B27" i="59" s="1"/>
  <c r="C27" i="59" a="1"/>
  <c r="C27" i="59" s="1"/>
  <c r="D27" i="59" a="1"/>
  <c r="D27" i="59" s="1"/>
  <c r="E27" i="59" a="1"/>
  <c r="E27" i="59" s="1"/>
  <c r="F27" i="59" a="1"/>
  <c r="F27" i="59" s="1"/>
  <c r="G27" i="59" a="1"/>
  <c r="G27" i="59" s="1"/>
  <c r="I27" i="59" a="1"/>
  <c r="I27" i="59" s="1"/>
  <c r="B28" i="59" a="1"/>
  <c r="B28" i="59" s="1"/>
  <c r="C28" i="59" a="1"/>
  <c r="C28" i="59" s="1"/>
  <c r="D28" i="59" a="1"/>
  <c r="D28" i="59" s="1"/>
  <c r="E28" i="59" a="1"/>
  <c r="E28" i="59" s="1"/>
  <c r="F28" i="59" a="1"/>
  <c r="F28" i="59" s="1"/>
  <c r="G28" i="59" a="1"/>
  <c r="G28" i="59" s="1"/>
  <c r="I28" i="59" a="1"/>
  <c r="I28" i="59" s="1"/>
  <c r="B29" i="59" a="1"/>
  <c r="B29" i="59" s="1"/>
  <c r="C29" i="59" a="1"/>
  <c r="C29" i="59" s="1"/>
  <c r="D29" i="59" a="1"/>
  <c r="D29" i="59" s="1"/>
  <c r="E29" i="59" a="1"/>
  <c r="E29" i="59" s="1"/>
  <c r="F29" i="59" a="1"/>
  <c r="F29" i="59" s="1"/>
  <c r="G29" i="59" a="1"/>
  <c r="G29" i="59" s="1"/>
  <c r="I29" i="59" a="1"/>
  <c r="I29" i="59" s="1"/>
  <c r="B30" i="59" a="1"/>
  <c r="B30" i="59" s="1"/>
  <c r="C30" i="59" a="1"/>
  <c r="C30" i="59" s="1"/>
  <c r="D30" i="59" a="1"/>
  <c r="D30" i="59" s="1"/>
  <c r="E30" i="59" a="1"/>
  <c r="E30" i="59" s="1"/>
  <c r="F30" i="59" a="1"/>
  <c r="F30" i="59" s="1"/>
  <c r="G30" i="59" a="1"/>
  <c r="G30" i="59" s="1"/>
  <c r="I30" i="59" a="1"/>
  <c r="I30" i="59" s="1"/>
  <c r="B31" i="59" a="1"/>
  <c r="B31" i="59" s="1"/>
  <c r="C31" i="59" a="1"/>
  <c r="C31" i="59" s="1"/>
  <c r="D31" i="59" a="1"/>
  <c r="D31" i="59" s="1"/>
  <c r="E31" i="59" a="1"/>
  <c r="E31" i="59" s="1"/>
  <c r="F31" i="59" a="1"/>
  <c r="F31" i="59" s="1"/>
  <c r="G31" i="59" a="1"/>
  <c r="G31" i="59" s="1"/>
  <c r="I31" i="59" a="1"/>
  <c r="I31" i="59" s="1"/>
  <c r="B32" i="59" a="1"/>
  <c r="B32" i="59" s="1"/>
  <c r="C32" i="59" a="1"/>
  <c r="C32" i="59" s="1"/>
  <c r="D32" i="59" a="1"/>
  <c r="D32" i="59" s="1"/>
  <c r="E32" i="59" a="1"/>
  <c r="E32" i="59" s="1"/>
  <c r="F32" i="59" a="1"/>
  <c r="F32" i="59" s="1"/>
  <c r="G32" i="59" a="1"/>
  <c r="G32" i="59" s="1"/>
  <c r="I32" i="59" a="1"/>
  <c r="I32" i="59" s="1"/>
  <c r="C2" i="59" a="1"/>
  <c r="C2" i="59" s="1"/>
  <c r="D2" i="59" a="1"/>
  <c r="D2" i="59" s="1"/>
  <c r="E2" i="59" a="1"/>
  <c r="E2" i="59" s="1"/>
  <c r="F2" i="59" a="1"/>
  <c r="F2" i="59" s="1"/>
  <c r="G2" i="59" a="1"/>
  <c r="G2" i="59" s="1"/>
  <c r="I2" i="59" a="1"/>
  <c r="I2" i="59" s="1"/>
  <c r="B2" i="59" a="1"/>
  <c r="B2" i="59" s="1"/>
  <c r="J3" i="59" a="1"/>
  <c r="J3" i="59" s="1"/>
  <c r="K3" i="59" a="1"/>
  <c r="K3" i="59" s="1"/>
  <c r="L3" i="59" a="1"/>
  <c r="L3" i="59" s="1"/>
  <c r="M3" i="59" a="1"/>
  <c r="M3" i="59" s="1"/>
  <c r="J4" i="59" a="1"/>
  <c r="J4" i="59" s="1"/>
  <c r="K4" i="59" a="1"/>
  <c r="K4" i="59" s="1"/>
  <c r="L4" i="59" a="1"/>
  <c r="L4" i="59" s="1"/>
  <c r="M4" i="59" a="1"/>
  <c r="M4" i="59" s="1"/>
  <c r="J5" i="59" a="1"/>
  <c r="J5" i="59" s="1"/>
  <c r="K5" i="59" a="1"/>
  <c r="K5" i="59" s="1"/>
  <c r="L5" i="59" a="1"/>
  <c r="L5" i="59" s="1"/>
  <c r="M5" i="59" a="1"/>
  <c r="M5" i="59" s="1"/>
  <c r="J6" i="59" a="1"/>
  <c r="J6" i="59" s="1"/>
  <c r="K6" i="59" a="1"/>
  <c r="K6" i="59" s="1"/>
  <c r="L6" i="59" a="1"/>
  <c r="L6" i="59" s="1"/>
  <c r="M6" i="59" a="1"/>
  <c r="M6" i="59" s="1"/>
  <c r="J7" i="59" a="1"/>
  <c r="J7" i="59" s="1"/>
  <c r="K7" i="59" a="1"/>
  <c r="K7" i="59" s="1"/>
  <c r="L7" i="59" a="1"/>
  <c r="L7" i="59" s="1"/>
  <c r="M7" i="59" a="1"/>
  <c r="M7" i="59" s="1"/>
  <c r="J8" i="59" a="1"/>
  <c r="J8" i="59" s="1"/>
  <c r="K8" i="59" a="1"/>
  <c r="K8" i="59" s="1"/>
  <c r="L8" i="59" a="1"/>
  <c r="L8" i="59" s="1"/>
  <c r="M8" i="59" a="1"/>
  <c r="M8" i="59" s="1"/>
  <c r="J9" i="59" a="1"/>
  <c r="J9" i="59" s="1"/>
  <c r="K9" i="59" a="1"/>
  <c r="K9" i="59" s="1"/>
  <c r="L9" i="59" a="1"/>
  <c r="L9" i="59" s="1"/>
  <c r="M9" i="59" a="1"/>
  <c r="M9" i="59" s="1"/>
  <c r="J10" i="59" a="1"/>
  <c r="J10" i="59" s="1"/>
  <c r="K10" i="59" a="1"/>
  <c r="K10" i="59" s="1"/>
  <c r="L10" i="59" a="1"/>
  <c r="L10" i="59" s="1"/>
  <c r="M10" i="59" a="1"/>
  <c r="M10" i="59" s="1"/>
  <c r="J11" i="59" a="1"/>
  <c r="J11" i="59" s="1"/>
  <c r="K11" i="59" a="1"/>
  <c r="K11" i="59" s="1"/>
  <c r="L11" i="59" a="1"/>
  <c r="L11" i="59" s="1"/>
  <c r="M11" i="59" a="1"/>
  <c r="M11" i="59" s="1"/>
  <c r="J12" i="59" a="1"/>
  <c r="J12" i="59" s="1"/>
  <c r="K12" i="59" a="1"/>
  <c r="K12" i="59" s="1"/>
  <c r="L12" i="59" a="1"/>
  <c r="L12" i="59" s="1"/>
  <c r="M12" i="59" a="1"/>
  <c r="M12" i="59" s="1"/>
  <c r="J13" i="59" a="1"/>
  <c r="J13" i="59" s="1"/>
  <c r="K13" i="59" a="1"/>
  <c r="K13" i="59" s="1"/>
  <c r="L13" i="59" a="1"/>
  <c r="L13" i="59" s="1"/>
  <c r="M13" i="59" a="1"/>
  <c r="M13" i="59" s="1"/>
  <c r="J14" i="59" a="1"/>
  <c r="J14" i="59" s="1"/>
  <c r="K14" i="59" a="1"/>
  <c r="K14" i="59" s="1"/>
  <c r="L14" i="59" a="1"/>
  <c r="L14" i="59" s="1"/>
  <c r="M14" i="59" a="1"/>
  <c r="M14" i="59" s="1"/>
  <c r="J15" i="59" a="1"/>
  <c r="J15" i="59" s="1"/>
  <c r="K15" i="59" a="1"/>
  <c r="K15" i="59" s="1"/>
  <c r="L15" i="59" a="1"/>
  <c r="L15" i="59" s="1"/>
  <c r="M15" i="59" a="1"/>
  <c r="M15" i="59" s="1"/>
  <c r="J16" i="59" a="1"/>
  <c r="J16" i="59" s="1"/>
  <c r="K16" i="59" a="1"/>
  <c r="K16" i="59" s="1"/>
  <c r="L16" i="59" a="1"/>
  <c r="L16" i="59" s="1"/>
  <c r="M16" i="59" a="1"/>
  <c r="M16" i="59" s="1"/>
  <c r="J17" i="59" a="1"/>
  <c r="J17" i="59" s="1"/>
  <c r="K17" i="59" a="1"/>
  <c r="K17" i="59" s="1"/>
  <c r="L17" i="59" a="1"/>
  <c r="L17" i="59" s="1"/>
  <c r="M17" i="59" a="1"/>
  <c r="M17" i="59" s="1"/>
  <c r="J18" i="59" a="1"/>
  <c r="J18" i="59" s="1"/>
  <c r="K18" i="59" a="1"/>
  <c r="K18" i="59" s="1"/>
  <c r="L18" i="59" a="1"/>
  <c r="L18" i="59" s="1"/>
  <c r="M18" i="59" a="1"/>
  <c r="M18" i="59" s="1"/>
  <c r="J19" i="59" a="1"/>
  <c r="J19" i="59" s="1"/>
  <c r="K19" i="59" a="1"/>
  <c r="K19" i="59" s="1"/>
  <c r="L19" i="59" a="1"/>
  <c r="L19" i="59" s="1"/>
  <c r="M19" i="59" a="1"/>
  <c r="M19" i="59" s="1"/>
  <c r="J20" i="59" a="1"/>
  <c r="J20" i="59" s="1"/>
  <c r="K20" i="59" a="1"/>
  <c r="K20" i="59" s="1"/>
  <c r="L20" i="59" a="1"/>
  <c r="L20" i="59" s="1"/>
  <c r="M20" i="59" a="1"/>
  <c r="M20" i="59" s="1"/>
  <c r="J21" i="59" a="1"/>
  <c r="J21" i="59" s="1"/>
  <c r="K21" i="59" a="1"/>
  <c r="K21" i="59" s="1"/>
  <c r="L21" i="59" a="1"/>
  <c r="L21" i="59" s="1"/>
  <c r="M21" i="59" a="1"/>
  <c r="M21" i="59" s="1"/>
  <c r="J22" i="59" a="1"/>
  <c r="J22" i="59" s="1"/>
  <c r="K22" i="59" a="1"/>
  <c r="K22" i="59" s="1"/>
  <c r="L22" i="59" a="1"/>
  <c r="L22" i="59" s="1"/>
  <c r="M22" i="59" a="1"/>
  <c r="M22" i="59" s="1"/>
  <c r="J23" i="59" a="1"/>
  <c r="J23" i="59" s="1"/>
  <c r="K23" i="59" a="1"/>
  <c r="K23" i="59" s="1"/>
  <c r="L23" i="59" a="1"/>
  <c r="L23" i="59" s="1"/>
  <c r="M23" i="59" a="1"/>
  <c r="M23" i="59" s="1"/>
  <c r="J24" i="59" a="1"/>
  <c r="J24" i="59" s="1"/>
  <c r="K24" i="59" a="1"/>
  <c r="K24" i="59" s="1"/>
  <c r="L24" i="59" a="1"/>
  <c r="L24" i="59" s="1"/>
  <c r="M24" i="59" a="1"/>
  <c r="M24" i="59" s="1"/>
  <c r="J25" i="59" a="1"/>
  <c r="J25" i="59" s="1"/>
  <c r="K25" i="59" a="1"/>
  <c r="K25" i="59" s="1"/>
  <c r="L25" i="59" a="1"/>
  <c r="L25" i="59" s="1"/>
  <c r="M25" i="59" a="1"/>
  <c r="M25" i="59" s="1"/>
  <c r="J26" i="59" a="1"/>
  <c r="J26" i="59" s="1"/>
  <c r="K26" i="59" a="1"/>
  <c r="K26" i="59" s="1"/>
  <c r="L26" i="59" a="1"/>
  <c r="L26" i="59" s="1"/>
  <c r="M26" i="59" a="1"/>
  <c r="M26" i="59" s="1"/>
  <c r="J27" i="59" a="1"/>
  <c r="J27" i="59" s="1"/>
  <c r="K27" i="59" a="1"/>
  <c r="K27" i="59" s="1"/>
  <c r="L27" i="59" a="1"/>
  <c r="L27" i="59" s="1"/>
  <c r="M27" i="59" a="1"/>
  <c r="M27" i="59" s="1"/>
  <c r="J28" i="59" a="1"/>
  <c r="J28" i="59" s="1"/>
  <c r="K28" i="59" a="1"/>
  <c r="K28" i="59" s="1"/>
  <c r="L28" i="59" a="1"/>
  <c r="L28" i="59" s="1"/>
  <c r="M28" i="59" a="1"/>
  <c r="M28" i="59" s="1"/>
  <c r="J29" i="59" a="1"/>
  <c r="J29" i="59" s="1"/>
  <c r="K29" i="59" a="1"/>
  <c r="K29" i="59" s="1"/>
  <c r="L29" i="59" a="1"/>
  <c r="L29" i="59" s="1"/>
  <c r="M29" i="59" a="1"/>
  <c r="M29" i="59" s="1"/>
  <c r="J30" i="59" a="1"/>
  <c r="J30" i="59" s="1"/>
  <c r="K30" i="59" a="1"/>
  <c r="K30" i="59" s="1"/>
  <c r="L30" i="59" a="1"/>
  <c r="L30" i="59" s="1"/>
  <c r="M30" i="59" a="1"/>
  <c r="M30" i="59" s="1"/>
  <c r="J31" i="59" a="1"/>
  <c r="J31" i="59" s="1"/>
  <c r="K31" i="59" a="1"/>
  <c r="K31" i="59" s="1"/>
  <c r="L31" i="59" a="1"/>
  <c r="L31" i="59" s="1"/>
  <c r="M31" i="59" a="1"/>
  <c r="M31" i="59" s="1"/>
  <c r="J32" i="59" a="1"/>
  <c r="J32" i="59" s="1"/>
  <c r="K32" i="59" a="1"/>
  <c r="K32" i="59" s="1"/>
  <c r="L32" i="59" a="1"/>
  <c r="L32" i="59" s="1"/>
  <c r="M32" i="59" a="1"/>
  <c r="M32" i="59" s="1"/>
  <c r="K2" i="59" a="1"/>
  <c r="K2" i="59" s="1"/>
  <c r="L2" i="59" a="1"/>
  <c r="L2" i="59" s="1"/>
  <c r="M2" i="59" a="1"/>
  <c r="M2" i="59" s="1"/>
  <c r="J2" i="59" a="1"/>
  <c r="J2" i="59" s="1"/>
  <c r="J13" i="67"/>
  <c r="H13" i="67"/>
  <c r="F13" i="67"/>
  <c r="C20" i="34"/>
  <c r="E75" i="34"/>
  <c r="M20" i="34"/>
  <c r="G13" i="67"/>
  <c r="L75" i="34"/>
  <c r="J20" i="34"/>
  <c r="G20" i="34"/>
  <c r="H75" i="34"/>
  <c r="B75" i="34"/>
  <c r="K75" i="34"/>
  <c r="I75" i="34"/>
  <c r="N20" i="34"/>
  <c r="M75" i="34"/>
  <c r="G75" i="34"/>
  <c r="K13" i="67"/>
  <c r="B20" i="34"/>
  <c r="D20" i="34"/>
  <c r="I20" i="34"/>
  <c r="L13" i="67"/>
  <c r="N75" i="34"/>
  <c r="C75" i="34"/>
  <c r="K20" i="34"/>
  <c r="D75" i="34"/>
  <c r="D13" i="67"/>
  <c r="I13" i="67"/>
  <c r="L20" i="34"/>
  <c r="H20" i="34"/>
  <c r="C13" i="67"/>
  <c r="J75" i="34"/>
  <c r="K2" i="68" l="1"/>
  <c r="F2" i="68"/>
  <c r="A3" i="68"/>
  <c r="A4" i="68" s="1"/>
  <c r="A5" i="68" s="1"/>
  <c r="A6" i="68" s="1"/>
  <c r="A7" i="68" s="1"/>
  <c r="A8" i="68" s="1"/>
  <c r="A9" i="68" s="1"/>
  <c r="A10" i="68" s="1"/>
  <c r="A11" i="68" s="1"/>
  <c r="A12" i="68" s="1"/>
  <c r="A13" i="68" s="1"/>
  <c r="A14" i="68" s="1"/>
  <c r="A15" i="68" s="1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K7" i="31"/>
  <c r="F7" i="31"/>
  <c r="A9" i="3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8" i="31"/>
  <c r="A8" i="22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K7" i="22"/>
  <c r="F7" i="22"/>
  <c r="A8" i="4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K7" i="41"/>
  <c r="F7" i="41"/>
  <c r="A8" i="52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8" i="54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K7" i="19"/>
  <c r="F7" i="19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K7" i="24"/>
  <c r="F7" i="24"/>
  <c r="A8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K7" i="12"/>
  <c r="F7" i="12"/>
  <c r="A7" i="61" l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A36" i="61" s="1"/>
  <c r="A37" i="61" s="1"/>
  <c r="K6" i="61"/>
  <c r="F6" i="61"/>
  <c r="F7" i="13"/>
  <c r="F8" i="13"/>
  <c r="K7" i="13"/>
  <c r="A8" i="13" l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B3" i="67" l="1"/>
  <c r="B4" i="67"/>
  <c r="B5" i="67"/>
  <c r="B6" i="67"/>
  <c r="B7" i="67"/>
  <c r="B8" i="67"/>
  <c r="B9" i="67"/>
  <c r="B10" i="67"/>
  <c r="B11" i="67"/>
  <c r="B12" i="67"/>
  <c r="B2" i="67"/>
  <c r="K32" i="12" l="1"/>
  <c r="K32" i="68" l="1"/>
  <c r="F32" i="68"/>
  <c r="K31" i="68"/>
  <c r="F31" i="68"/>
  <c r="K30" i="68"/>
  <c r="F30" i="68"/>
  <c r="K29" i="68"/>
  <c r="F29" i="68"/>
  <c r="K28" i="68"/>
  <c r="F28" i="68"/>
  <c r="K27" i="68"/>
  <c r="F27" i="68"/>
  <c r="K26" i="68"/>
  <c r="F26" i="68"/>
  <c r="K25" i="68"/>
  <c r="F25" i="68"/>
  <c r="K24" i="68"/>
  <c r="F24" i="68"/>
  <c r="K23" i="68"/>
  <c r="F23" i="68"/>
  <c r="K22" i="68"/>
  <c r="F22" i="68"/>
  <c r="K21" i="68"/>
  <c r="F21" i="68"/>
  <c r="K20" i="68"/>
  <c r="F20" i="68"/>
  <c r="K19" i="68"/>
  <c r="F19" i="68"/>
  <c r="K18" i="68"/>
  <c r="F18" i="68"/>
  <c r="K17" i="68"/>
  <c r="F17" i="68"/>
  <c r="K16" i="68"/>
  <c r="F16" i="68"/>
  <c r="K15" i="68"/>
  <c r="F15" i="68"/>
  <c r="K14" i="68"/>
  <c r="F14" i="68"/>
  <c r="K13" i="68"/>
  <c r="F13" i="68"/>
  <c r="K12" i="68"/>
  <c r="F12" i="68"/>
  <c r="K11" i="68"/>
  <c r="F11" i="68"/>
  <c r="K10" i="68"/>
  <c r="F10" i="68"/>
  <c r="K9" i="68"/>
  <c r="F9" i="68"/>
  <c r="K8" i="68"/>
  <c r="F8" i="68"/>
  <c r="K7" i="68"/>
  <c r="F7" i="68"/>
  <c r="K6" i="68"/>
  <c r="F6" i="68"/>
  <c r="K5" i="68"/>
  <c r="F5" i="68"/>
  <c r="K4" i="68"/>
  <c r="F4" i="68"/>
  <c r="K3" i="68"/>
  <c r="F3" i="68"/>
  <c r="J12" i="67"/>
  <c r="E12" i="67"/>
  <c r="I12" i="67"/>
  <c r="F12" i="67"/>
  <c r="D12" i="67"/>
  <c r="C12" i="67"/>
  <c r="K11" i="13" l="1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L12" i="67"/>
  <c r="K12" i="67"/>
  <c r="H12" i="67"/>
  <c r="G12" i="67"/>
  <c r="F11" i="54" l="1"/>
  <c r="K9" i="41" l="1"/>
  <c r="K10" i="41"/>
  <c r="K11" i="41"/>
  <c r="K12" i="41"/>
  <c r="K13" i="41"/>
  <c r="K14" i="41"/>
  <c r="K15" i="41"/>
  <c r="K16" i="41"/>
  <c r="K17" i="41"/>
  <c r="K18" i="41"/>
  <c r="K19" i="41"/>
  <c r="K20" i="41"/>
  <c r="K21" i="41"/>
  <c r="K22" i="41"/>
  <c r="K23" i="41"/>
  <c r="K24" i="41"/>
  <c r="K25" i="41"/>
  <c r="K26" i="41"/>
  <c r="K27" i="41"/>
  <c r="K28" i="41"/>
  <c r="K29" i="41"/>
  <c r="K30" i="41"/>
  <c r="K31" i="41"/>
  <c r="K32" i="41"/>
  <c r="K33" i="41"/>
  <c r="K34" i="41"/>
  <c r="K35" i="41"/>
  <c r="K36" i="41"/>
  <c r="K37" i="41"/>
  <c r="K3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K8" i="41"/>
  <c r="F8" i="4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9" i="31"/>
  <c r="K8" i="31"/>
  <c r="F8" i="31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K8" i="22"/>
  <c r="F8" i="2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32" i="52"/>
  <c r="K33" i="52"/>
  <c r="K34" i="52"/>
  <c r="K35" i="52"/>
  <c r="K36" i="52"/>
  <c r="K37" i="52"/>
  <c r="K38" i="52"/>
  <c r="F9" i="52"/>
  <c r="F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F23" i="52"/>
  <c r="F24" i="52"/>
  <c r="F25" i="52"/>
  <c r="F26" i="52"/>
  <c r="F27" i="52"/>
  <c r="F28" i="52"/>
  <c r="F29" i="52"/>
  <c r="F30" i="52"/>
  <c r="F31" i="52"/>
  <c r="F32" i="52"/>
  <c r="F33" i="52"/>
  <c r="F34" i="52"/>
  <c r="F35" i="52"/>
  <c r="F36" i="52"/>
  <c r="F37" i="52"/>
  <c r="F38" i="52"/>
  <c r="K8" i="52"/>
  <c r="F8" i="52"/>
  <c r="K11" i="54"/>
  <c r="K12" i="54"/>
  <c r="K13" i="54"/>
  <c r="K14" i="54"/>
  <c r="K15" i="54"/>
  <c r="K16" i="54"/>
  <c r="K17" i="54"/>
  <c r="K18" i="54"/>
  <c r="K19" i="54"/>
  <c r="K20" i="54"/>
  <c r="K21" i="54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9" i="54"/>
  <c r="K10" i="54"/>
  <c r="F12" i="54"/>
  <c r="F13" i="54"/>
  <c r="F14" i="54"/>
  <c r="F15" i="54"/>
  <c r="F16" i="54"/>
  <c r="F17" i="54"/>
  <c r="F18" i="54"/>
  <c r="F19" i="54"/>
  <c r="F20" i="54"/>
  <c r="F21" i="54"/>
  <c r="F22" i="54"/>
  <c r="F23" i="54"/>
  <c r="F24" i="54"/>
  <c r="F25" i="54"/>
  <c r="F26" i="54"/>
  <c r="F27" i="54"/>
  <c r="F28" i="54"/>
  <c r="F29" i="54"/>
  <c r="F30" i="54"/>
  <c r="F31" i="54"/>
  <c r="F32" i="54"/>
  <c r="F33" i="54"/>
  <c r="F34" i="54"/>
  <c r="F35" i="54"/>
  <c r="F36" i="54"/>
  <c r="F37" i="54"/>
  <c r="F38" i="54"/>
  <c r="F9" i="54"/>
  <c r="F10" i="54"/>
  <c r="K8" i="54"/>
  <c r="F8" i="54"/>
  <c r="K9" i="19"/>
  <c r="K10" i="19"/>
  <c r="F9" i="19"/>
  <c r="F10" i="19"/>
  <c r="K8" i="19"/>
  <c r="F8" i="19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8" i="24"/>
  <c r="F8" i="24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3" i="12"/>
  <c r="K34" i="12"/>
  <c r="K35" i="12"/>
  <c r="K36" i="12"/>
  <c r="K37" i="12"/>
  <c r="K38" i="12"/>
  <c r="K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8" i="12"/>
  <c r="K8" i="61"/>
  <c r="K9" i="61"/>
  <c r="K10" i="61"/>
  <c r="K11" i="61"/>
  <c r="K12" i="61"/>
  <c r="K13" i="61"/>
  <c r="K14" i="61"/>
  <c r="K15" i="61"/>
  <c r="K16" i="61"/>
  <c r="K17" i="61"/>
  <c r="K18" i="61"/>
  <c r="K19" i="61"/>
  <c r="K20" i="61"/>
  <c r="K21" i="61"/>
  <c r="K22" i="61"/>
  <c r="K23" i="61"/>
  <c r="K24" i="61"/>
  <c r="K25" i="61"/>
  <c r="K26" i="61"/>
  <c r="K27" i="61"/>
  <c r="K28" i="61"/>
  <c r="K29" i="61"/>
  <c r="K30" i="61"/>
  <c r="K31" i="61"/>
  <c r="K32" i="61"/>
  <c r="K33" i="61"/>
  <c r="K34" i="61"/>
  <c r="K35" i="61"/>
  <c r="K36" i="61"/>
  <c r="K37" i="61"/>
  <c r="K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7" i="61"/>
  <c r="K9" i="13"/>
  <c r="K10" i="13"/>
  <c r="K8" i="13"/>
  <c r="F9" i="13"/>
  <c r="F10" i="13"/>
  <c r="L74" i="34"/>
  <c r="J22" i="57" l="1" a="1"/>
  <c r="J22" i="57" s="1"/>
  <c r="J23" i="57" a="1"/>
  <c r="J23" i="57" s="1"/>
  <c r="J24" i="57" a="1"/>
  <c r="J24" i="57" s="1"/>
  <c r="J25" i="57" a="1"/>
  <c r="J25" i="57" s="1"/>
  <c r="J26" i="57" a="1"/>
  <c r="J26" i="57" s="1"/>
  <c r="J27" i="57" a="1"/>
  <c r="J27" i="57" s="1"/>
  <c r="J28" i="57" a="1"/>
  <c r="J28" i="57" s="1"/>
  <c r="J29" i="57" a="1"/>
  <c r="J29" i="57" s="1"/>
  <c r="J30" i="57" a="1"/>
  <c r="J30" i="57" s="1"/>
  <c r="J31" i="57" a="1"/>
  <c r="J31" i="57" s="1"/>
  <c r="J32" i="57" a="1"/>
  <c r="J32" i="57" s="1"/>
  <c r="J33" i="57" a="1"/>
  <c r="J33" i="57" s="1"/>
  <c r="J34" i="57" a="1"/>
  <c r="J34" i="57" s="1"/>
  <c r="J35" i="57" a="1"/>
  <c r="J35" i="57" s="1"/>
  <c r="J36" i="57" a="1"/>
  <c r="J36" i="57" s="1"/>
  <c r="J37" i="57" a="1"/>
  <c r="J37" i="57" s="1"/>
  <c r="J38" i="57" a="1"/>
  <c r="J38" i="57" s="1"/>
  <c r="J39" i="57" a="1"/>
  <c r="J39" i="57" s="1"/>
  <c r="J40" i="57" a="1"/>
  <c r="J40" i="57" s="1"/>
  <c r="J41" i="57" a="1"/>
  <c r="J41" i="57" s="1"/>
  <c r="J42" i="57" a="1"/>
  <c r="J42" i="57" s="1"/>
  <c r="J43" i="57" a="1"/>
  <c r="J43" i="57" s="1"/>
  <c r="J44" i="57" a="1"/>
  <c r="J44" i="57" s="1"/>
  <c r="J45" i="57" a="1"/>
  <c r="J45" i="57" s="1"/>
  <c r="J46" i="57" a="1"/>
  <c r="J46" i="57" s="1"/>
  <c r="J47" i="57" a="1"/>
  <c r="J47" i="57" s="1"/>
  <c r="J48" i="57" a="1"/>
  <c r="J48" i="57" s="1"/>
  <c r="J21" i="57" a="1"/>
  <c r="J21" i="57" s="1"/>
  <c r="I22" i="57" a="1"/>
  <c r="I22" i="57" s="1"/>
  <c r="I23" i="57" a="1"/>
  <c r="I23" i="57" s="1"/>
  <c r="I24" i="57" a="1"/>
  <c r="I24" i="57" s="1"/>
  <c r="I25" i="57" a="1"/>
  <c r="I25" i="57" s="1"/>
  <c r="I26" i="57" a="1"/>
  <c r="I26" i="57" s="1"/>
  <c r="I27" i="57" a="1"/>
  <c r="I27" i="57" s="1"/>
  <c r="I28" i="57" a="1"/>
  <c r="I28" i="57" s="1"/>
  <c r="I29" i="57" a="1"/>
  <c r="I29" i="57" s="1"/>
  <c r="I30" i="57" a="1"/>
  <c r="I30" i="57" s="1"/>
  <c r="I31" i="57" a="1"/>
  <c r="I31" i="57" s="1"/>
  <c r="I32" i="57" a="1"/>
  <c r="I32" i="57" s="1"/>
  <c r="I33" i="57" a="1"/>
  <c r="I33" i="57" s="1"/>
  <c r="I34" i="57" a="1"/>
  <c r="I34" i="57" s="1"/>
  <c r="I35" i="57" a="1"/>
  <c r="I35" i="57" s="1"/>
  <c r="I36" i="57" a="1"/>
  <c r="I36" i="57" s="1"/>
  <c r="I37" i="57" a="1"/>
  <c r="I37" i="57" s="1"/>
  <c r="I38" i="57" a="1"/>
  <c r="I38" i="57" s="1"/>
  <c r="I39" i="57" a="1"/>
  <c r="I39" i="57" s="1"/>
  <c r="I40" i="57" a="1"/>
  <c r="I40" i="57" s="1"/>
  <c r="I41" i="57" a="1"/>
  <c r="I41" i="57" s="1"/>
  <c r="I42" i="57" a="1"/>
  <c r="I42" i="57" s="1"/>
  <c r="I43" i="57" a="1"/>
  <c r="I43" i="57" s="1"/>
  <c r="I44" i="57" a="1"/>
  <c r="I44" i="57" s="1"/>
  <c r="I45" i="57" a="1"/>
  <c r="I45" i="57" s="1"/>
  <c r="I46" i="57" a="1"/>
  <c r="I46" i="57" s="1"/>
  <c r="I47" i="57" a="1"/>
  <c r="I47" i="57" s="1"/>
  <c r="I48" i="57" a="1"/>
  <c r="I48" i="57" s="1"/>
  <c r="I21" i="57" a="1"/>
  <c r="I21" i="57" s="1"/>
  <c r="H22" i="57" a="1"/>
  <c r="H22" i="57" s="1"/>
  <c r="H23" i="57" a="1"/>
  <c r="H23" i="57" s="1"/>
  <c r="H24" i="57" a="1"/>
  <c r="H24" i="57" s="1"/>
  <c r="H25" i="57" a="1"/>
  <c r="H25" i="57" s="1"/>
  <c r="H26" i="57" a="1"/>
  <c r="H26" i="57" s="1"/>
  <c r="H27" i="57" a="1"/>
  <c r="H27" i="57" s="1"/>
  <c r="H28" i="57" a="1"/>
  <c r="H28" i="57" s="1"/>
  <c r="H29" i="57" a="1"/>
  <c r="H29" i="57" s="1"/>
  <c r="H30" i="57" a="1"/>
  <c r="H30" i="57" s="1"/>
  <c r="H31" i="57" a="1"/>
  <c r="H31" i="57" s="1"/>
  <c r="H32" i="57" a="1"/>
  <c r="H32" i="57" s="1"/>
  <c r="H33" i="57" a="1"/>
  <c r="H33" i="57" s="1"/>
  <c r="H34" i="57" a="1"/>
  <c r="H34" i="57" s="1"/>
  <c r="H35" i="57" a="1"/>
  <c r="H35" i="57" s="1"/>
  <c r="H36" i="57" a="1"/>
  <c r="H36" i="57" s="1"/>
  <c r="H37" i="57" a="1"/>
  <c r="H37" i="57" s="1"/>
  <c r="H38" i="57" a="1"/>
  <c r="H38" i="57" s="1"/>
  <c r="H39" i="57" a="1"/>
  <c r="H39" i="57" s="1"/>
  <c r="H40" i="57" a="1"/>
  <c r="H40" i="57" s="1"/>
  <c r="H41" i="57" a="1"/>
  <c r="H41" i="57" s="1"/>
  <c r="H42" i="57" a="1"/>
  <c r="H42" i="57" s="1"/>
  <c r="H43" i="57" a="1"/>
  <c r="H43" i="57" s="1"/>
  <c r="H44" i="57" a="1"/>
  <c r="H44" i="57" s="1"/>
  <c r="H45" i="57" a="1"/>
  <c r="H45" i="57" s="1"/>
  <c r="H46" i="57" a="1"/>
  <c r="H46" i="57" s="1"/>
  <c r="H47" i="57" a="1"/>
  <c r="H47" i="57" s="1"/>
  <c r="H48" i="57" a="1"/>
  <c r="H48" i="57" s="1"/>
  <c r="H21" i="57" a="1"/>
  <c r="H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G21" i="57" a="1"/>
  <c r="G21" i="57" s="1"/>
  <c r="F22" i="57" a="1"/>
  <c r="F22" i="57" s="1"/>
  <c r="F23" i="57" a="1"/>
  <c r="F23" i="57" s="1"/>
  <c r="F24" i="57" a="1"/>
  <c r="F24" i="57" s="1"/>
  <c r="F25" i="57" a="1"/>
  <c r="F25" i="57" s="1"/>
  <c r="F26" i="57" a="1"/>
  <c r="F26" i="57" s="1"/>
  <c r="F27" i="57" a="1"/>
  <c r="F27" i="57" s="1"/>
  <c r="F28" i="57" a="1"/>
  <c r="F28" i="57" s="1"/>
  <c r="F29" i="57" a="1"/>
  <c r="F29" i="57" s="1"/>
  <c r="F30" i="57" a="1"/>
  <c r="F30" i="57" s="1"/>
  <c r="F31" i="57" a="1"/>
  <c r="F31" i="57" s="1"/>
  <c r="F32" i="57" a="1"/>
  <c r="F32" i="57" s="1"/>
  <c r="F33" i="57" a="1"/>
  <c r="F33" i="57" s="1"/>
  <c r="F34" i="57" a="1"/>
  <c r="F34" i="57" s="1"/>
  <c r="F35" i="57" a="1"/>
  <c r="F35" i="57" s="1"/>
  <c r="F36" i="57" a="1"/>
  <c r="F36" i="57" s="1"/>
  <c r="F37" i="57" a="1"/>
  <c r="F37" i="57" s="1"/>
  <c r="F38" i="57" a="1"/>
  <c r="F38" i="57" s="1"/>
  <c r="F39" i="57" a="1"/>
  <c r="F39" i="57" s="1"/>
  <c r="F40" i="57" a="1"/>
  <c r="F40" i="57" s="1"/>
  <c r="F41" i="57" a="1"/>
  <c r="F41" i="57" s="1"/>
  <c r="F42" i="57" a="1"/>
  <c r="F42" i="57" s="1"/>
  <c r="F43" i="57" a="1"/>
  <c r="F43" i="57" s="1"/>
  <c r="F44" i="57" a="1"/>
  <c r="F44" i="57" s="1"/>
  <c r="F45" i="57" a="1"/>
  <c r="F45" i="57" s="1"/>
  <c r="F46" i="57" a="1"/>
  <c r="F46" i="57" s="1"/>
  <c r="F47" i="57" a="1"/>
  <c r="F47" i="57" s="1"/>
  <c r="F48" i="57" a="1"/>
  <c r="F48" i="57" s="1"/>
  <c r="F21" i="57" a="1"/>
  <c r="F21" i="57" s="1"/>
  <c r="E22" i="57" a="1"/>
  <c r="E22" i="57" s="1"/>
  <c r="E23" i="57" a="1"/>
  <c r="E23" i="57" s="1"/>
  <c r="E24" i="57" a="1"/>
  <c r="E24" i="57" s="1"/>
  <c r="E25" i="57" a="1"/>
  <c r="E25" i="57" s="1"/>
  <c r="E26" i="57" a="1"/>
  <c r="E26" i="57" s="1"/>
  <c r="E27" i="57" a="1"/>
  <c r="E27" i="57" s="1"/>
  <c r="E28" i="57" a="1"/>
  <c r="E28" i="57" s="1"/>
  <c r="E29" i="57" a="1"/>
  <c r="E29" i="57" s="1"/>
  <c r="E30" i="57" a="1"/>
  <c r="E30" i="57" s="1"/>
  <c r="E31" i="57" a="1"/>
  <c r="E31" i="57" s="1"/>
  <c r="E32" i="57" a="1"/>
  <c r="E32" i="57" s="1"/>
  <c r="E33" i="57" a="1"/>
  <c r="E33" i="57" s="1"/>
  <c r="E34" i="57" a="1"/>
  <c r="E34" i="57" s="1"/>
  <c r="E35" i="57" a="1"/>
  <c r="E35" i="57" s="1"/>
  <c r="E36" i="57" a="1"/>
  <c r="E36" i="57" s="1"/>
  <c r="E37" i="57" a="1"/>
  <c r="E37" i="57" s="1"/>
  <c r="E38" i="57" a="1"/>
  <c r="E38" i="57" s="1"/>
  <c r="E39" i="57" a="1"/>
  <c r="E39" i="57" s="1"/>
  <c r="E40" i="57" a="1"/>
  <c r="E40" i="57" s="1"/>
  <c r="E41" i="57" a="1"/>
  <c r="E41" i="57" s="1"/>
  <c r="E42" i="57" a="1"/>
  <c r="E42" i="57" s="1"/>
  <c r="E43" i="57" a="1"/>
  <c r="E43" i="57" s="1"/>
  <c r="E44" i="57" a="1"/>
  <c r="E44" i="57" s="1"/>
  <c r="E45" i="57" a="1"/>
  <c r="E45" i="57" s="1"/>
  <c r="E46" i="57" a="1"/>
  <c r="E46" i="57" s="1"/>
  <c r="E47" i="57" a="1"/>
  <c r="E47" i="57" s="1"/>
  <c r="E48" i="57" a="1"/>
  <c r="E48" i="57" s="1"/>
  <c r="E21" i="57" a="1"/>
  <c r="E21" i="57" s="1"/>
  <c r="D22" i="57" a="1"/>
  <c r="D22" i="57" s="1"/>
  <c r="D23" i="57" a="1"/>
  <c r="D23" i="57" s="1"/>
  <c r="D24" i="57" a="1"/>
  <c r="D24" i="57" s="1"/>
  <c r="D25" i="57" a="1"/>
  <c r="D25" i="57" s="1"/>
  <c r="D26" i="57" a="1"/>
  <c r="D26" i="57" s="1"/>
  <c r="D27" i="57" a="1"/>
  <c r="D27" i="57" s="1"/>
  <c r="D28" i="57" a="1"/>
  <c r="D28" i="57" s="1"/>
  <c r="D29" i="57" a="1"/>
  <c r="D29" i="57" s="1"/>
  <c r="D30" i="57" a="1"/>
  <c r="D30" i="57" s="1"/>
  <c r="D31" i="57" a="1"/>
  <c r="D31" i="57" s="1"/>
  <c r="D32" i="57" a="1"/>
  <c r="D32" i="57" s="1"/>
  <c r="D33" i="57" a="1"/>
  <c r="D33" i="57" s="1"/>
  <c r="D34" i="57" a="1"/>
  <c r="D34" i="57" s="1"/>
  <c r="D35" i="57" a="1"/>
  <c r="D35" i="57" s="1"/>
  <c r="D36" i="57" a="1"/>
  <c r="D36" i="57" s="1"/>
  <c r="D37" i="57" a="1"/>
  <c r="D37" i="57" s="1"/>
  <c r="D38" i="57" a="1"/>
  <c r="D38" i="57" s="1"/>
  <c r="D39" i="57" a="1"/>
  <c r="D39" i="57" s="1"/>
  <c r="D40" i="57" a="1"/>
  <c r="D40" i="57" s="1"/>
  <c r="D41" i="57" a="1"/>
  <c r="D41" i="57" s="1"/>
  <c r="D42" i="57" a="1"/>
  <c r="D42" i="57" s="1"/>
  <c r="D43" i="57" a="1"/>
  <c r="D43" i="57" s="1"/>
  <c r="D44" i="57" a="1"/>
  <c r="D44" i="57" s="1"/>
  <c r="D45" i="57" a="1"/>
  <c r="D45" i="57" s="1"/>
  <c r="D46" i="57" a="1"/>
  <c r="D46" i="57" s="1"/>
  <c r="D47" i="57" a="1"/>
  <c r="D47" i="57" s="1"/>
  <c r="D48" i="57" a="1"/>
  <c r="D48" i="57" s="1"/>
  <c r="D21" i="57" a="1"/>
  <c r="D21" i="57" s="1"/>
  <c r="L19" i="34"/>
  <c r="J50" i="57" l="1"/>
  <c r="I50" i="57"/>
  <c r="H50" i="57"/>
  <c r="G50" i="57"/>
  <c r="F50" i="57"/>
  <c r="E50" i="57"/>
  <c r="D50" i="57"/>
  <c r="N3" i="59"/>
  <c r="N29" i="59"/>
  <c r="N21" i="59"/>
  <c r="N13" i="59"/>
  <c r="N2" i="59"/>
  <c r="N23" i="59"/>
  <c r="N25" i="59"/>
  <c r="N15" i="59"/>
  <c r="N7" i="59"/>
  <c r="N4" i="59"/>
  <c r="N17" i="59"/>
  <c r="N9" i="59"/>
  <c r="N5" i="59"/>
  <c r="N31" i="59"/>
  <c r="N27" i="59"/>
  <c r="N19" i="59"/>
  <c r="N11" i="59"/>
  <c r="N32" i="59"/>
  <c r="N26" i="59"/>
  <c r="N24" i="59"/>
  <c r="N18" i="59"/>
  <c r="N16" i="59"/>
  <c r="N10" i="59"/>
  <c r="N8" i="59"/>
  <c r="N30" i="59"/>
  <c r="N28" i="59"/>
  <c r="N22" i="59"/>
  <c r="N20" i="59"/>
  <c r="N14" i="59"/>
  <c r="N12" i="59"/>
  <c r="N6" i="59"/>
  <c r="N111" i="34" l="1"/>
  <c r="M111" i="34"/>
  <c r="N58" i="34" l="1"/>
  <c r="M58" i="34"/>
  <c r="K4" i="22" l="1"/>
  <c r="F4" i="22"/>
  <c r="K4" i="52"/>
  <c r="F4" i="52"/>
  <c r="K4" i="12" l="1"/>
  <c r="F4" i="12"/>
  <c r="A67" i="34" l="1"/>
  <c r="A68" i="34"/>
  <c r="A69" i="34"/>
  <c r="A70" i="34"/>
  <c r="A71" i="34"/>
  <c r="A22" i="34"/>
  <c r="A23" i="34" s="1"/>
  <c r="A24" i="34" s="1"/>
  <c r="A79" i="34" s="1"/>
  <c r="A77" i="34" l="1"/>
  <c r="A78" i="34"/>
  <c r="A76" i="34"/>
  <c r="K2" i="19"/>
  <c r="K3" i="19"/>
  <c r="F2" i="19"/>
  <c r="F3" i="19"/>
  <c r="K2" i="54"/>
  <c r="K3" i="54"/>
  <c r="F2" i="54"/>
  <c r="F3" i="54"/>
  <c r="K2" i="24"/>
  <c r="K3" i="24"/>
  <c r="F2" i="24"/>
  <c r="F3" i="24"/>
  <c r="K2" i="41"/>
  <c r="K3" i="41"/>
  <c r="F2" i="41"/>
  <c r="F3" i="41"/>
  <c r="K2" i="31"/>
  <c r="K3" i="31"/>
  <c r="F2" i="31"/>
  <c r="F3" i="31"/>
  <c r="K2" i="22"/>
  <c r="K3" i="22"/>
  <c r="F2" i="22"/>
  <c r="F3" i="22"/>
  <c r="K2" i="52"/>
  <c r="K3" i="52"/>
  <c r="F2" i="52"/>
  <c r="F3" i="52"/>
  <c r="A25" i="34" l="1"/>
  <c r="L49" i="34"/>
  <c r="K2" i="12"/>
  <c r="K3" i="12"/>
  <c r="F2" i="12"/>
  <c r="F3" i="12"/>
  <c r="A26" i="34" l="1"/>
  <c r="A80" i="34"/>
  <c r="A27" i="34" l="1"/>
  <c r="A81" i="34"/>
  <c r="L24" i="34"/>
  <c r="L16" i="34"/>
  <c r="L80" i="34"/>
  <c r="L72" i="34"/>
  <c r="L21" i="34"/>
  <c r="L23" i="34"/>
  <c r="L18" i="34"/>
  <c r="L14" i="34"/>
  <c r="L17" i="34"/>
  <c r="L73" i="34"/>
  <c r="L71" i="34"/>
  <c r="L78" i="34"/>
  <c r="L25" i="34"/>
  <c r="L69" i="34"/>
  <c r="L68" i="34"/>
  <c r="L15" i="34"/>
  <c r="L22" i="34"/>
  <c r="L13" i="34"/>
  <c r="L79" i="34"/>
  <c r="L77" i="34"/>
  <c r="L70" i="34"/>
  <c r="L27" i="34"/>
  <c r="L76" i="34"/>
  <c r="L26" i="34"/>
  <c r="A28" i="34" l="1"/>
  <c r="A82" i="34"/>
  <c r="F36" i="47"/>
  <c r="K36" i="47"/>
  <c r="F37" i="47"/>
  <c r="K37" i="47"/>
  <c r="L81" i="34"/>
  <c r="L28" i="34"/>
  <c r="L82" i="34"/>
  <c r="A29" i="34" l="1"/>
  <c r="A83" i="34"/>
  <c r="F35" i="47"/>
  <c r="K35" i="47"/>
  <c r="L83" i="34"/>
  <c r="L29" i="34"/>
  <c r="A30" i="34" l="1"/>
  <c r="A84" i="34"/>
  <c r="F3" i="17"/>
  <c r="F2" i="17"/>
  <c r="L84" i="34"/>
  <c r="A31" i="34" l="1"/>
  <c r="A85" i="34"/>
  <c r="K34" i="47"/>
  <c r="F34" i="47"/>
  <c r="K33" i="47"/>
  <c r="F33" i="47"/>
  <c r="K32" i="47"/>
  <c r="F32" i="47"/>
  <c r="L85" i="34"/>
  <c r="L31" i="34"/>
  <c r="L30" i="34"/>
  <c r="A32" i="34" l="1"/>
  <c r="K31" i="47"/>
  <c r="F31" i="47"/>
  <c r="K30" i="47"/>
  <c r="F30" i="47"/>
  <c r="L32" i="34"/>
  <c r="A33" i="34" l="1"/>
  <c r="K29" i="47"/>
  <c r="F29" i="47"/>
  <c r="K28" i="47"/>
  <c r="F28" i="47"/>
  <c r="K27" i="47"/>
  <c r="F27" i="47"/>
  <c r="K26" i="47"/>
  <c r="F26" i="47"/>
  <c r="K25" i="47"/>
  <c r="F25" i="47"/>
  <c r="K24" i="47"/>
  <c r="F24" i="47"/>
  <c r="K23" i="47"/>
  <c r="F23" i="47"/>
  <c r="K22" i="47"/>
  <c r="F22" i="47"/>
  <c r="K21" i="47"/>
  <c r="F21" i="47"/>
  <c r="K20" i="47"/>
  <c r="F20" i="47"/>
  <c r="K19" i="47"/>
  <c r="F19" i="47"/>
  <c r="K18" i="47"/>
  <c r="F18" i="47"/>
  <c r="K17" i="47"/>
  <c r="F17" i="47"/>
  <c r="K16" i="47"/>
  <c r="F16" i="47"/>
  <c r="K15" i="47"/>
  <c r="F15" i="47"/>
  <c r="K14" i="47"/>
  <c r="F14" i="47"/>
  <c r="K13" i="47"/>
  <c r="F13" i="47"/>
  <c r="K12" i="47"/>
  <c r="F12" i="47"/>
  <c r="K11" i="47"/>
  <c r="F11" i="47"/>
  <c r="L33" i="34"/>
  <c r="A34" i="34" l="1"/>
  <c r="K10" i="47"/>
  <c r="F10" i="47"/>
  <c r="K9" i="47"/>
  <c r="F9" i="47"/>
  <c r="K8" i="47"/>
  <c r="F8" i="47"/>
  <c r="A8" i="47"/>
  <c r="K7" i="47"/>
  <c r="F7" i="47"/>
  <c r="K4" i="47"/>
  <c r="F4" i="47"/>
  <c r="K3" i="47"/>
  <c r="F3" i="47"/>
  <c r="K2" i="47"/>
  <c r="F2" i="47"/>
  <c r="L34" i="34"/>
  <c r="A35" i="34" l="1"/>
  <c r="A9" i="47"/>
  <c r="A36" i="34" l="1"/>
  <c r="A10" i="47"/>
  <c r="K39" i="36"/>
  <c r="F39" i="36"/>
  <c r="K38" i="36"/>
  <c r="F38" i="36"/>
  <c r="K37" i="36"/>
  <c r="F37" i="36"/>
  <c r="K36" i="36"/>
  <c r="F36" i="36"/>
  <c r="K35" i="36"/>
  <c r="F35" i="36"/>
  <c r="K34" i="36"/>
  <c r="F34" i="36"/>
  <c r="K33" i="36"/>
  <c r="F33" i="36"/>
  <c r="K32" i="36"/>
  <c r="F32" i="36"/>
  <c r="K31" i="36"/>
  <c r="F31" i="36"/>
  <c r="K30" i="36"/>
  <c r="F30" i="36"/>
  <c r="K29" i="36"/>
  <c r="F29" i="36"/>
  <c r="K28" i="36"/>
  <c r="F28" i="36"/>
  <c r="K27" i="36"/>
  <c r="F27" i="36"/>
  <c r="K26" i="36"/>
  <c r="F26" i="36"/>
  <c r="K25" i="36"/>
  <c r="F25" i="36"/>
  <c r="K24" i="36"/>
  <c r="F24" i="36"/>
  <c r="K23" i="36"/>
  <c r="F23" i="36"/>
  <c r="K22" i="36"/>
  <c r="F22" i="36"/>
  <c r="K21" i="36"/>
  <c r="F21" i="36"/>
  <c r="K20" i="36"/>
  <c r="F20" i="36"/>
  <c r="K19" i="36"/>
  <c r="F19" i="36"/>
  <c r="K18" i="36"/>
  <c r="F18" i="36"/>
  <c r="K17" i="36"/>
  <c r="F17" i="36"/>
  <c r="K16" i="36"/>
  <c r="F16" i="36"/>
  <c r="K15" i="36"/>
  <c r="F15" i="36"/>
  <c r="K14" i="36"/>
  <c r="F14" i="36"/>
  <c r="K13" i="36"/>
  <c r="F13" i="36"/>
  <c r="K12" i="36"/>
  <c r="F12" i="36"/>
  <c r="K11" i="36"/>
  <c r="F11" i="36"/>
  <c r="K10" i="36"/>
  <c r="F10" i="36"/>
  <c r="A10" i="36"/>
  <c r="K9" i="36"/>
  <c r="F9" i="36"/>
  <c r="K8" i="36"/>
  <c r="F8" i="36"/>
  <c r="K6" i="36"/>
  <c r="F6" i="36"/>
  <c r="K5" i="36"/>
  <c r="F5" i="36"/>
  <c r="K4" i="36"/>
  <c r="F4" i="36"/>
  <c r="K3" i="36"/>
  <c r="F3" i="36"/>
  <c r="K2" i="36"/>
  <c r="F2" i="36"/>
  <c r="K5" i="32"/>
  <c r="F5" i="32"/>
  <c r="K4" i="32"/>
  <c r="F4" i="32"/>
  <c r="K3" i="32"/>
  <c r="F3" i="32"/>
  <c r="K2" i="32"/>
  <c r="F2" i="32"/>
  <c r="L36" i="34"/>
  <c r="L35" i="34"/>
  <c r="A37" i="34" l="1"/>
  <c r="A2" i="34" s="1"/>
  <c r="A11" i="36"/>
  <c r="A11" i="47"/>
  <c r="L37" i="34"/>
  <c r="A38" i="34" l="1"/>
  <c r="A12" i="36"/>
  <c r="A12" i="47"/>
  <c r="L38" i="34"/>
  <c r="A39" i="34" l="1"/>
  <c r="A13" i="36"/>
  <c r="A13" i="47"/>
  <c r="C11" i="67"/>
  <c r="J11" i="67"/>
  <c r="C10" i="67"/>
  <c r="F7" i="67"/>
  <c r="D7" i="67"/>
  <c r="F9" i="67"/>
  <c r="L8" i="67"/>
  <c r="F10" i="67"/>
  <c r="K11" i="67"/>
  <c r="G7" i="67"/>
  <c r="I10" i="67"/>
  <c r="L9" i="67"/>
  <c r="I7" i="67"/>
  <c r="K9" i="67"/>
  <c r="K8" i="67"/>
  <c r="I9" i="67"/>
  <c r="F11" i="67"/>
  <c r="G10" i="67"/>
  <c r="H9" i="67"/>
  <c r="D8" i="67"/>
  <c r="L10" i="67"/>
  <c r="E8" i="67"/>
  <c r="G9" i="67"/>
  <c r="H8" i="67"/>
  <c r="K10" i="67"/>
  <c r="K7" i="67"/>
  <c r="D10" i="67"/>
  <c r="H11" i="67"/>
  <c r="D9" i="67"/>
  <c r="E7" i="67"/>
  <c r="J9" i="67"/>
  <c r="D11" i="67"/>
  <c r="I8" i="67"/>
  <c r="C9" i="67"/>
  <c r="I11" i="67"/>
  <c r="L7" i="67"/>
  <c r="G11" i="67"/>
  <c r="E11" i="67"/>
  <c r="F8" i="67"/>
  <c r="G8" i="67"/>
  <c r="H10" i="67"/>
  <c r="J8" i="67"/>
  <c r="E10" i="67"/>
  <c r="J10" i="67"/>
  <c r="L11" i="67"/>
  <c r="H7" i="67"/>
  <c r="E9" i="67"/>
  <c r="C7" i="67"/>
  <c r="J7" i="67"/>
  <c r="C8" i="67"/>
  <c r="A40" i="34" l="1"/>
  <c r="A14" i="36"/>
  <c r="A14" i="47"/>
  <c r="A41" i="34" l="1"/>
  <c r="A15" i="36"/>
  <c r="A15" i="47"/>
  <c r="A42" i="34" l="1"/>
  <c r="A16" i="36"/>
  <c r="A16" i="47"/>
  <c r="A43" i="34" l="1"/>
  <c r="A17" i="36"/>
  <c r="A17" i="47"/>
  <c r="A44" i="34" l="1"/>
  <c r="A18" i="36"/>
  <c r="A18" i="47"/>
  <c r="A45" i="34" l="1"/>
  <c r="A19" i="36"/>
  <c r="A19" i="47"/>
  <c r="A46" i="34" l="1"/>
  <c r="A20" i="36"/>
  <c r="A20" i="47"/>
  <c r="A47" i="34" l="1"/>
  <c r="A21" i="36"/>
  <c r="A21" i="47"/>
  <c r="A48" i="34" l="1"/>
  <c r="A22" i="36"/>
  <c r="A22" i="47"/>
  <c r="A49" i="34" l="1"/>
  <c r="A23" i="36"/>
  <c r="A23" i="47"/>
  <c r="N78" i="34"/>
  <c r="N25" i="34"/>
  <c r="J4" i="67"/>
  <c r="N68" i="34"/>
  <c r="N43" i="34"/>
  <c r="N26" i="34"/>
  <c r="C3" i="67"/>
  <c r="N30" i="34"/>
  <c r="N69" i="34"/>
  <c r="N23" i="34"/>
  <c r="N40" i="34"/>
  <c r="N71" i="34"/>
  <c r="J3" i="67"/>
  <c r="N17" i="34"/>
  <c r="D3" i="67"/>
  <c r="N32" i="34"/>
  <c r="N29" i="34"/>
  <c r="N81" i="34"/>
  <c r="N76" i="34"/>
  <c r="G3" i="67"/>
  <c r="H3" i="67"/>
  <c r="L3" i="67"/>
  <c r="F3" i="67"/>
  <c r="N13" i="34"/>
  <c r="N21" i="34"/>
  <c r="N72" i="34"/>
  <c r="N82" i="34"/>
  <c r="H4" i="67"/>
  <c r="N35" i="34"/>
  <c r="N31" i="34"/>
  <c r="N84" i="34"/>
  <c r="N48" i="34"/>
  <c r="N36" i="34"/>
  <c r="N80" i="34"/>
  <c r="C4" i="67"/>
  <c r="K4" i="67"/>
  <c r="N114" i="34"/>
  <c r="L4" i="67"/>
  <c r="K3" i="67"/>
  <c r="I4" i="67"/>
  <c r="L5" i="42"/>
  <c r="F4" i="67"/>
  <c r="N28" i="34"/>
  <c r="N42" i="34"/>
  <c r="N45" i="34"/>
  <c r="N18" i="34"/>
  <c r="N38" i="34"/>
  <c r="N37" i="34"/>
  <c r="G4" i="67"/>
  <c r="N44" i="34"/>
  <c r="N24" i="34"/>
  <c r="N79" i="34"/>
  <c r="N49" i="34"/>
  <c r="N74" i="34"/>
  <c r="N14" i="34"/>
  <c r="N19" i="34"/>
  <c r="N46" i="34"/>
  <c r="I3" i="67"/>
  <c r="D4" i="67"/>
  <c r="N34" i="34"/>
  <c r="E3" i="67"/>
  <c r="N16" i="34"/>
  <c r="N33" i="34"/>
  <c r="N85" i="34"/>
  <c r="N22" i="34"/>
  <c r="N50" i="34"/>
  <c r="N83" i="34"/>
  <c r="N27" i="34"/>
  <c r="E4" i="67"/>
  <c r="N39" i="34"/>
  <c r="N47" i="34"/>
  <c r="N73" i="34"/>
  <c r="N77" i="34"/>
  <c r="N41" i="34"/>
  <c r="N112" i="34"/>
  <c r="N70" i="34"/>
  <c r="N113" i="34"/>
  <c r="N15" i="34"/>
  <c r="N115" i="34" l="1"/>
  <c r="N51" i="34"/>
  <c r="N52" i="34" s="1"/>
  <c r="N53" i="34" s="1"/>
  <c r="A24" i="36"/>
  <c r="A24" i="47"/>
  <c r="K39" i="40"/>
  <c r="F39" i="40"/>
  <c r="K38" i="40"/>
  <c r="F38" i="40"/>
  <c r="K37" i="40"/>
  <c r="F37" i="40"/>
  <c r="K36" i="40"/>
  <c r="F36" i="40"/>
  <c r="K35" i="40"/>
  <c r="F35" i="40"/>
  <c r="K34" i="40"/>
  <c r="F34" i="40"/>
  <c r="K33" i="40"/>
  <c r="F33" i="40"/>
  <c r="K32" i="40"/>
  <c r="F32" i="40"/>
  <c r="K31" i="40"/>
  <c r="F31" i="40"/>
  <c r="K30" i="40"/>
  <c r="F30" i="40"/>
  <c r="K29" i="40"/>
  <c r="F29" i="40"/>
  <c r="K28" i="40"/>
  <c r="F28" i="40"/>
  <c r="K27" i="40"/>
  <c r="F27" i="40"/>
  <c r="K26" i="40"/>
  <c r="F26" i="40"/>
  <c r="K25" i="40"/>
  <c r="F25" i="40"/>
  <c r="K24" i="40"/>
  <c r="F24" i="40"/>
  <c r="K23" i="40"/>
  <c r="F23" i="40"/>
  <c r="K22" i="40"/>
  <c r="F22" i="40"/>
  <c r="K21" i="40"/>
  <c r="F21" i="40"/>
  <c r="K20" i="40"/>
  <c r="F20" i="40"/>
  <c r="K19" i="40"/>
  <c r="F19" i="40"/>
  <c r="K18" i="40"/>
  <c r="F18" i="40"/>
  <c r="K17" i="40"/>
  <c r="F17" i="40"/>
  <c r="K16" i="40"/>
  <c r="F16" i="40"/>
  <c r="K15" i="40"/>
  <c r="F15" i="40"/>
  <c r="K14" i="40"/>
  <c r="F14" i="40"/>
  <c r="K13" i="40"/>
  <c r="F13" i="40"/>
  <c r="K12" i="40"/>
  <c r="F12" i="40"/>
  <c r="K11" i="40"/>
  <c r="F11" i="40"/>
  <c r="K10" i="40"/>
  <c r="F10" i="40"/>
  <c r="A10" i="40"/>
  <c r="K9" i="40"/>
  <c r="F9" i="40"/>
  <c r="K8" i="40"/>
  <c r="F8" i="40"/>
  <c r="K6" i="40"/>
  <c r="F6" i="40"/>
  <c r="K5" i="40"/>
  <c r="F5" i="40"/>
  <c r="K4" i="40"/>
  <c r="F4" i="40"/>
  <c r="K3" i="40"/>
  <c r="F3" i="40"/>
  <c r="K2" i="40"/>
  <c r="F2" i="40"/>
  <c r="A11" i="40" l="1"/>
  <c r="A25" i="36"/>
  <c r="A25" i="47"/>
  <c r="A26" i="36" l="1"/>
  <c r="A12" i="40"/>
  <c r="A26" i="47"/>
  <c r="A13" i="40" l="1"/>
  <c r="A27" i="36"/>
  <c r="A27" i="47"/>
  <c r="A28" i="36" l="1"/>
  <c r="A14" i="40"/>
  <c r="A28" i="47"/>
  <c r="K39" i="35"/>
  <c r="F39" i="35"/>
  <c r="K38" i="35"/>
  <c r="F38" i="35"/>
  <c r="K37" i="35"/>
  <c r="F37" i="35"/>
  <c r="K36" i="35"/>
  <c r="F36" i="35"/>
  <c r="K35" i="35"/>
  <c r="F35" i="35"/>
  <c r="K34" i="35"/>
  <c r="F34" i="35"/>
  <c r="K33" i="35"/>
  <c r="F33" i="35"/>
  <c r="K32" i="35"/>
  <c r="F32" i="35"/>
  <c r="K31" i="35"/>
  <c r="F31" i="35"/>
  <c r="K30" i="35"/>
  <c r="F30" i="35"/>
  <c r="K29" i="35"/>
  <c r="F29" i="35"/>
  <c r="K28" i="35"/>
  <c r="F28" i="35"/>
  <c r="K27" i="35"/>
  <c r="F27" i="35"/>
  <c r="K26" i="35"/>
  <c r="F26" i="35"/>
  <c r="K25" i="35"/>
  <c r="F25" i="35"/>
  <c r="K24" i="35"/>
  <c r="F24" i="35"/>
  <c r="K23" i="35"/>
  <c r="F23" i="35"/>
  <c r="K22" i="35"/>
  <c r="F22" i="35"/>
  <c r="K21" i="35"/>
  <c r="F21" i="35"/>
  <c r="K20" i="35"/>
  <c r="F20" i="35"/>
  <c r="K19" i="35"/>
  <c r="F19" i="35"/>
  <c r="K18" i="35"/>
  <c r="F18" i="35"/>
  <c r="K17" i="35"/>
  <c r="F17" i="35"/>
  <c r="K16" i="35"/>
  <c r="F16" i="35"/>
  <c r="K15" i="35"/>
  <c r="F15" i="35"/>
  <c r="K14" i="35"/>
  <c r="F14" i="35"/>
  <c r="K13" i="35"/>
  <c r="F13" i="35"/>
  <c r="K12" i="35"/>
  <c r="F12" i="35"/>
  <c r="K11" i="35"/>
  <c r="F11" i="35"/>
  <c r="K10" i="35"/>
  <c r="F10" i="35"/>
  <c r="A10" i="35"/>
  <c r="K9" i="35"/>
  <c r="F9" i="35"/>
  <c r="K8" i="35"/>
  <c r="F8" i="35"/>
  <c r="K6" i="35"/>
  <c r="F6" i="35"/>
  <c r="K5" i="35"/>
  <c r="F5" i="35"/>
  <c r="K4" i="35"/>
  <c r="F4" i="35"/>
  <c r="K3" i="35"/>
  <c r="F3" i="35"/>
  <c r="K2" i="35"/>
  <c r="F2" i="35"/>
  <c r="K39" i="30"/>
  <c r="F39" i="30"/>
  <c r="K38" i="30"/>
  <c r="F38" i="30"/>
  <c r="K37" i="30"/>
  <c r="F37" i="30"/>
  <c r="K36" i="30"/>
  <c r="F36" i="30"/>
  <c r="K35" i="30"/>
  <c r="F35" i="30"/>
  <c r="K34" i="30"/>
  <c r="F34" i="30"/>
  <c r="K33" i="30"/>
  <c r="F33" i="30"/>
  <c r="K32" i="30"/>
  <c r="F32" i="30"/>
  <c r="K31" i="30"/>
  <c r="F31" i="30"/>
  <c r="K30" i="30"/>
  <c r="F30" i="30"/>
  <c r="K29" i="30"/>
  <c r="F29" i="30"/>
  <c r="K28" i="30"/>
  <c r="F28" i="30"/>
  <c r="K27" i="30"/>
  <c r="F27" i="30"/>
  <c r="K26" i="30"/>
  <c r="F26" i="30"/>
  <c r="K25" i="30"/>
  <c r="F25" i="30"/>
  <c r="K24" i="30"/>
  <c r="F24" i="30"/>
  <c r="K23" i="30"/>
  <c r="F23" i="30"/>
  <c r="K22" i="30"/>
  <c r="F22" i="30"/>
  <c r="K21" i="30"/>
  <c r="F21" i="30"/>
  <c r="K20" i="30"/>
  <c r="F20" i="30"/>
  <c r="K19" i="30"/>
  <c r="F19" i="30"/>
  <c r="K18" i="30"/>
  <c r="F18" i="30"/>
  <c r="K17" i="30"/>
  <c r="F17" i="30"/>
  <c r="K16" i="30"/>
  <c r="F16" i="30"/>
  <c r="K15" i="30"/>
  <c r="F15" i="30"/>
  <c r="K14" i="30"/>
  <c r="F14" i="30"/>
  <c r="K13" i="30"/>
  <c r="F13" i="30"/>
  <c r="K12" i="30"/>
  <c r="F12" i="30"/>
  <c r="K11" i="30"/>
  <c r="F11" i="30"/>
  <c r="K10" i="30"/>
  <c r="F10" i="30"/>
  <c r="A10" i="30"/>
  <c r="K9" i="30"/>
  <c r="F9" i="30"/>
  <c r="K8" i="30"/>
  <c r="F8" i="30"/>
  <c r="K6" i="30"/>
  <c r="F6" i="30"/>
  <c r="K5" i="30"/>
  <c r="F5" i="30"/>
  <c r="K4" i="30"/>
  <c r="F4" i="30"/>
  <c r="K3" i="30"/>
  <c r="F3" i="30"/>
  <c r="K2" i="30"/>
  <c r="F2" i="30"/>
  <c r="A11" i="35" l="1"/>
  <c r="A11" i="30"/>
  <c r="A15" i="40"/>
  <c r="A29" i="36"/>
  <c r="A29" i="47"/>
  <c r="I19" i="34"/>
  <c r="D6" i="67"/>
  <c r="E77" i="34"/>
  <c r="E81" i="34"/>
  <c r="J34" i="34"/>
  <c r="I72" i="34"/>
  <c r="C76" i="34"/>
  <c r="I69" i="34"/>
  <c r="K5" i="67"/>
  <c r="H68" i="34"/>
  <c r="I17" i="34"/>
  <c r="E78" i="34"/>
  <c r="D74" i="34"/>
  <c r="G68" i="34"/>
  <c r="J73" i="34"/>
  <c r="G18" i="34"/>
  <c r="D17" i="34"/>
  <c r="E70" i="34"/>
  <c r="B77" i="34"/>
  <c r="J70" i="34"/>
  <c r="H77" i="34"/>
  <c r="J77" i="34"/>
  <c r="I68" i="34"/>
  <c r="I84" i="34"/>
  <c r="G77" i="34"/>
  <c r="C79" i="34"/>
  <c r="C82" i="34"/>
  <c r="J28" i="34"/>
  <c r="D80" i="34"/>
  <c r="C49" i="34"/>
  <c r="J71" i="34"/>
  <c r="D19" i="34"/>
  <c r="J81" i="34"/>
  <c r="G79" i="34"/>
  <c r="G70" i="34"/>
  <c r="E5" i="67"/>
  <c r="H84" i="34"/>
  <c r="D81" i="34"/>
  <c r="J17" i="34"/>
  <c r="J38" i="34"/>
  <c r="E74" i="34"/>
  <c r="C81" i="34"/>
  <c r="H78" i="34"/>
  <c r="J21" i="34"/>
  <c r="D48" i="34"/>
  <c r="J26" i="34"/>
  <c r="D82" i="34"/>
  <c r="J16" i="34"/>
  <c r="E84" i="34"/>
  <c r="C78" i="34"/>
  <c r="C71" i="34"/>
  <c r="G17" i="34"/>
  <c r="I85" i="34"/>
  <c r="D5" i="67"/>
  <c r="B19" i="34"/>
  <c r="I83" i="34"/>
  <c r="B82" i="34"/>
  <c r="D71" i="34"/>
  <c r="I5" i="67"/>
  <c r="B102" i="34"/>
  <c r="K6" i="67"/>
  <c r="G81" i="34"/>
  <c r="I76" i="34"/>
  <c r="F6" i="67"/>
  <c r="B18" i="34"/>
  <c r="H18" i="34"/>
  <c r="J6" i="67"/>
  <c r="B103" i="34"/>
  <c r="I81" i="34"/>
  <c r="J80" i="34"/>
  <c r="B69" i="34"/>
  <c r="J29" i="34"/>
  <c r="J69" i="34"/>
  <c r="I74" i="34"/>
  <c r="G78" i="34"/>
  <c r="G74" i="34"/>
  <c r="E79" i="34"/>
  <c r="I79" i="34"/>
  <c r="B84" i="34"/>
  <c r="J18" i="34"/>
  <c r="H69" i="34"/>
  <c r="J68" i="34"/>
  <c r="I80" i="34"/>
  <c r="E80" i="34"/>
  <c r="J33" i="34"/>
  <c r="G85" i="34"/>
  <c r="G73" i="34"/>
  <c r="J72" i="34"/>
  <c r="J74" i="34"/>
  <c r="I73" i="34"/>
  <c r="E72" i="34"/>
  <c r="B78" i="34"/>
  <c r="C68" i="34"/>
  <c r="H19" i="34"/>
  <c r="C19" i="34"/>
  <c r="H74" i="34"/>
  <c r="I71" i="34"/>
  <c r="B74" i="34"/>
  <c r="D85" i="34"/>
  <c r="D72" i="34"/>
  <c r="L5" i="67"/>
  <c r="I70" i="34"/>
  <c r="H85" i="34"/>
  <c r="E76" i="34"/>
  <c r="L6" i="67"/>
  <c r="J23" i="34"/>
  <c r="J27" i="34"/>
  <c r="E6" i="67"/>
  <c r="H79" i="34"/>
  <c r="C74" i="34"/>
  <c r="G82" i="34"/>
  <c r="H5" i="67"/>
  <c r="F5" i="67"/>
  <c r="J5" i="67"/>
  <c r="I18" i="34"/>
  <c r="H71" i="34"/>
  <c r="H73" i="34"/>
  <c r="J85" i="34"/>
  <c r="J32" i="34"/>
  <c r="B83" i="34"/>
  <c r="C77" i="34"/>
  <c r="H70" i="34"/>
  <c r="B80" i="34"/>
  <c r="H72" i="34"/>
  <c r="C73" i="34"/>
  <c r="C48" i="34"/>
  <c r="D18" i="34"/>
  <c r="E73" i="34"/>
  <c r="J19" i="34"/>
  <c r="D77" i="34"/>
  <c r="B5" i="42"/>
  <c r="E68" i="34"/>
  <c r="E85" i="34"/>
  <c r="G5" i="67"/>
  <c r="H81" i="34"/>
  <c r="H76" i="34"/>
  <c r="H83" i="34"/>
  <c r="J24" i="34"/>
  <c r="E69" i="34"/>
  <c r="B70" i="34"/>
  <c r="D84" i="34"/>
  <c r="C69" i="34"/>
  <c r="G84" i="34"/>
  <c r="B85" i="34"/>
  <c r="B71" i="34"/>
  <c r="J25" i="34"/>
  <c r="D79" i="34"/>
  <c r="B17" i="34"/>
  <c r="G80" i="34"/>
  <c r="G72" i="34"/>
  <c r="B81" i="34"/>
  <c r="C70" i="34"/>
  <c r="J15" i="34"/>
  <c r="J79" i="34"/>
  <c r="C6" i="67"/>
  <c r="D78" i="34"/>
  <c r="D68" i="34"/>
  <c r="I77" i="34"/>
  <c r="G69" i="34"/>
  <c r="C84" i="34"/>
  <c r="G83" i="34"/>
  <c r="C18" i="34"/>
  <c r="I6" i="67"/>
  <c r="G76" i="34"/>
  <c r="D70" i="34"/>
  <c r="J22" i="34"/>
  <c r="H6" i="67"/>
  <c r="B68" i="34"/>
  <c r="B76" i="34"/>
  <c r="J78" i="34"/>
  <c r="C83" i="34"/>
  <c r="D69" i="34"/>
  <c r="J83" i="34"/>
  <c r="H82" i="34"/>
  <c r="B73" i="34"/>
  <c r="J84" i="34"/>
  <c r="C85" i="34"/>
  <c r="J76" i="34"/>
  <c r="G19" i="34"/>
  <c r="C5" i="67"/>
  <c r="C80" i="34"/>
  <c r="C17" i="34"/>
  <c r="J35" i="34"/>
  <c r="G71" i="34"/>
  <c r="D73" i="34"/>
  <c r="E83" i="34"/>
  <c r="J37" i="34"/>
  <c r="J36" i="34"/>
  <c r="E82" i="34"/>
  <c r="I78" i="34"/>
  <c r="G6" i="67"/>
  <c r="I82" i="34"/>
  <c r="J30" i="34"/>
  <c r="B79" i="34"/>
  <c r="H17" i="34"/>
  <c r="C72" i="34"/>
  <c r="D83" i="34"/>
  <c r="B72" i="34"/>
  <c r="E71" i="34"/>
  <c r="H80" i="34"/>
  <c r="D49" i="34"/>
  <c r="J14" i="34"/>
  <c r="J31" i="34"/>
  <c r="J82" i="34"/>
  <c r="B104" i="34"/>
  <c r="D76" i="34"/>
  <c r="A12" i="35" l="1"/>
  <c r="A30" i="36"/>
  <c r="A16" i="40"/>
  <c r="A12" i="30"/>
  <c r="A30" i="47"/>
  <c r="A13" i="35" l="1"/>
  <c r="A13" i="30"/>
  <c r="A17" i="40"/>
  <c r="A31" i="36"/>
  <c r="A31" i="47"/>
  <c r="A14" i="35" l="1"/>
  <c r="A18" i="40"/>
  <c r="A32" i="36"/>
  <c r="A14" i="30"/>
  <c r="A32" i="47"/>
  <c r="A15" i="35" l="1"/>
  <c r="A15" i="30"/>
  <c r="A33" i="36"/>
  <c r="A19" i="40"/>
  <c r="A33" i="47"/>
  <c r="A16" i="35" l="1"/>
  <c r="A34" i="36"/>
  <c r="A20" i="40"/>
  <c r="A16" i="30"/>
  <c r="A34" i="47"/>
  <c r="A17" i="35" l="1"/>
  <c r="A17" i="30"/>
  <c r="A21" i="40"/>
  <c r="A35" i="36"/>
  <c r="A35" i="47"/>
  <c r="L108" i="34"/>
  <c r="K111" i="34"/>
  <c r="J111" i="34"/>
  <c r="I111" i="34"/>
  <c r="H111" i="34"/>
  <c r="G111" i="34"/>
  <c r="E111" i="34"/>
  <c r="D111" i="34"/>
  <c r="C111" i="34"/>
  <c r="B111" i="34"/>
  <c r="L107" i="34"/>
  <c r="K110" i="34"/>
  <c r="J110" i="34"/>
  <c r="I110" i="34"/>
  <c r="H110" i="34"/>
  <c r="G110" i="34"/>
  <c r="E110" i="34"/>
  <c r="D110" i="34"/>
  <c r="C110" i="34"/>
  <c r="B110" i="34"/>
  <c r="I48" i="34"/>
  <c r="E48" i="34"/>
  <c r="G48" i="34"/>
  <c r="H49" i="34"/>
  <c r="E49" i="34"/>
  <c r="I49" i="34"/>
  <c r="H48" i="34"/>
  <c r="G49" i="34"/>
  <c r="J49" i="34"/>
  <c r="J48" i="34"/>
  <c r="A18" i="35" l="1"/>
  <c r="A36" i="47"/>
  <c r="A22" i="40"/>
  <c r="A36" i="36"/>
  <c r="A18" i="30"/>
  <c r="A60" i="34"/>
  <c r="L56" i="34"/>
  <c r="K58" i="34"/>
  <c r="J58" i="34"/>
  <c r="I58" i="34"/>
  <c r="H58" i="34"/>
  <c r="G58" i="34"/>
  <c r="E58" i="34"/>
  <c r="D58" i="34"/>
  <c r="C58" i="34"/>
  <c r="B58" i="34"/>
  <c r="L55" i="34"/>
  <c r="K57" i="34"/>
  <c r="J57" i="34"/>
  <c r="I57" i="34"/>
  <c r="H57" i="34"/>
  <c r="G57" i="34"/>
  <c r="E57" i="34"/>
  <c r="D57" i="34"/>
  <c r="C57" i="34"/>
  <c r="B57" i="34"/>
  <c r="A82" i="42"/>
  <c r="A43" i="42"/>
  <c r="A6" i="42"/>
  <c r="C114" i="34"/>
  <c r="G113" i="34"/>
  <c r="J114" i="34"/>
  <c r="D114" i="34"/>
  <c r="C113" i="34"/>
  <c r="C112" i="34"/>
  <c r="L6" i="42"/>
  <c r="L43" i="42"/>
  <c r="H114" i="34"/>
  <c r="B113" i="34"/>
  <c r="H113" i="34"/>
  <c r="J112" i="34"/>
  <c r="D113" i="34"/>
  <c r="I112" i="34"/>
  <c r="L82" i="42"/>
  <c r="E112" i="34"/>
  <c r="B112" i="34"/>
  <c r="G114" i="34"/>
  <c r="I113" i="34"/>
  <c r="E113" i="34"/>
  <c r="J113" i="34"/>
  <c r="E114" i="34"/>
  <c r="I114" i="34"/>
  <c r="G112" i="34"/>
  <c r="D112" i="34"/>
  <c r="B114" i="34"/>
  <c r="H112" i="34"/>
  <c r="B115" i="34" l="1"/>
  <c r="E115" i="34"/>
  <c r="C115" i="34"/>
  <c r="G115" i="34"/>
  <c r="D115" i="34"/>
  <c r="I115" i="34"/>
  <c r="J115" i="34"/>
  <c r="H115" i="34"/>
  <c r="A19" i="35"/>
  <c r="A37" i="47"/>
  <c r="A37" i="36"/>
  <c r="A19" i="30"/>
  <c r="A23" i="40"/>
  <c r="A44" i="42"/>
  <c r="A7" i="42"/>
  <c r="A83" i="42"/>
  <c r="L7" i="42"/>
  <c r="L83" i="42"/>
  <c r="L44" i="42"/>
  <c r="A45" i="42" l="1"/>
  <c r="A20" i="35"/>
  <c r="A24" i="40"/>
  <c r="A20" i="30"/>
  <c r="A38" i="36"/>
  <c r="A84" i="42"/>
  <c r="A8" i="42"/>
  <c r="L84" i="42"/>
  <c r="L45" i="42"/>
  <c r="L8" i="42"/>
  <c r="A46" i="42" l="1"/>
  <c r="A21" i="35"/>
  <c r="A21" i="30"/>
  <c r="A39" i="36"/>
  <c r="A25" i="40"/>
  <c r="A85" i="42"/>
  <c r="A9" i="42"/>
  <c r="K27" i="34"/>
  <c r="K74" i="34"/>
  <c r="K24" i="34"/>
  <c r="K33" i="34"/>
  <c r="K17" i="34"/>
  <c r="K25" i="34"/>
  <c r="K37" i="34"/>
  <c r="K48" i="34"/>
  <c r="K72" i="34"/>
  <c r="K114" i="34"/>
  <c r="K15" i="34"/>
  <c r="K85" i="34"/>
  <c r="K19" i="34"/>
  <c r="K35" i="34"/>
  <c r="K31" i="34"/>
  <c r="K83" i="34"/>
  <c r="K23" i="34"/>
  <c r="L85" i="42"/>
  <c r="K113" i="34"/>
  <c r="L46" i="42"/>
  <c r="K38" i="34"/>
  <c r="K79" i="34"/>
  <c r="K76" i="34"/>
  <c r="K13" i="34"/>
  <c r="K77" i="34"/>
  <c r="K49" i="34"/>
  <c r="K82" i="34"/>
  <c r="K70" i="34"/>
  <c r="K16" i="34"/>
  <c r="K68" i="34"/>
  <c r="K80" i="34"/>
  <c r="K30" i="34"/>
  <c r="K78" i="34"/>
  <c r="K36" i="34"/>
  <c r="L9" i="42"/>
  <c r="K69" i="34"/>
  <c r="K28" i="34"/>
  <c r="K84" i="34"/>
  <c r="K34" i="34"/>
  <c r="K29" i="34"/>
  <c r="K21" i="34"/>
  <c r="K71" i="34"/>
  <c r="K32" i="34"/>
  <c r="K14" i="34"/>
  <c r="K18" i="34"/>
  <c r="K81" i="34"/>
  <c r="K112" i="34"/>
  <c r="K73" i="34"/>
  <c r="K22" i="34"/>
  <c r="K26" i="34"/>
  <c r="K115" i="34" l="1"/>
  <c r="A47" i="42"/>
  <c r="A22" i="35"/>
  <c r="A26" i="40"/>
  <c r="A22" i="30"/>
  <c r="A86" i="42"/>
  <c r="A10" i="42"/>
  <c r="L47" i="42"/>
  <c r="L86" i="42"/>
  <c r="L10" i="42"/>
  <c r="A48" i="42" l="1"/>
  <c r="A23" i="35"/>
  <c r="A23" i="30"/>
  <c r="A27" i="40"/>
  <c r="A11" i="42"/>
  <c r="A87" i="42"/>
  <c r="L87" i="42"/>
  <c r="L11" i="42"/>
  <c r="L48" i="42"/>
  <c r="J13" i="34"/>
  <c r="A49" i="42" l="1"/>
  <c r="A24" i="35"/>
  <c r="A24" i="30"/>
  <c r="A28" i="40"/>
  <c r="A12" i="42"/>
  <c r="A88" i="42"/>
  <c r="L88" i="42"/>
  <c r="L12" i="42"/>
  <c r="L49" i="42"/>
  <c r="A50" i="42" l="1"/>
  <c r="A25" i="35"/>
  <c r="A29" i="40"/>
  <c r="A25" i="30"/>
  <c r="A89" i="42"/>
  <c r="A13" i="42"/>
  <c r="L89" i="42"/>
  <c r="L50" i="42"/>
  <c r="L13" i="42"/>
  <c r="A51" i="42" l="1"/>
  <c r="A26" i="35"/>
  <c r="A26" i="30"/>
  <c r="A30" i="40"/>
  <c r="A90" i="42"/>
  <c r="A14" i="42"/>
  <c r="L90" i="42"/>
  <c r="L51" i="42"/>
  <c r="L14" i="42"/>
  <c r="A52" i="42" l="1"/>
  <c r="A27" i="35"/>
  <c r="A31" i="40"/>
  <c r="A27" i="30"/>
  <c r="A15" i="42"/>
  <c r="A91" i="42"/>
  <c r="L52" i="42"/>
  <c r="L15" i="42"/>
  <c r="L91" i="42"/>
  <c r="A53" i="42" l="1"/>
  <c r="A28" i="35"/>
  <c r="A28" i="30"/>
  <c r="A32" i="40"/>
  <c r="A92" i="42"/>
  <c r="A16" i="42"/>
  <c r="L53" i="42"/>
  <c r="L16" i="42"/>
  <c r="L92" i="42"/>
  <c r="A54" i="42" l="1"/>
  <c r="A29" i="35"/>
  <c r="A86" i="34"/>
  <c r="A93" i="42"/>
  <c r="A17" i="42"/>
  <c r="H86" i="34"/>
  <c r="I86" i="34"/>
  <c r="L93" i="42"/>
  <c r="E86" i="34"/>
  <c r="J86" i="34"/>
  <c r="N86" i="34"/>
  <c r="C86" i="34"/>
  <c r="D86" i="34"/>
  <c r="B86" i="34"/>
  <c r="G86" i="34"/>
  <c r="K86" i="34"/>
  <c r="L86" i="34"/>
  <c r="L17" i="42"/>
  <c r="L54" i="42"/>
  <c r="A55" i="42" l="1"/>
  <c r="A30" i="35"/>
  <c r="A33" i="40"/>
  <c r="A29" i="30"/>
  <c r="A87" i="34"/>
  <c r="A94" i="42"/>
  <c r="A18" i="42"/>
  <c r="M114" i="34"/>
  <c r="I87" i="34"/>
  <c r="H87" i="34"/>
  <c r="M113" i="34"/>
  <c r="G87" i="34"/>
  <c r="K2" i="67"/>
  <c r="M112" i="34"/>
  <c r="E2" i="67"/>
  <c r="L18" i="42"/>
  <c r="I2" i="67"/>
  <c r="N87" i="34"/>
  <c r="L55" i="42"/>
  <c r="G2" i="67"/>
  <c r="F2" i="67"/>
  <c r="D2" i="67"/>
  <c r="C2" i="67"/>
  <c r="L94" i="42"/>
  <c r="J87" i="34"/>
  <c r="J2" i="67"/>
  <c r="L87" i="34"/>
  <c r="L2" i="67"/>
  <c r="C87" i="34"/>
  <c r="H2" i="67"/>
  <c r="M115" i="34" l="1"/>
  <c r="A56" i="42"/>
  <c r="A31" i="35"/>
  <c r="A34" i="40"/>
  <c r="A30" i="30"/>
  <c r="A95" i="42"/>
  <c r="A19" i="42"/>
  <c r="A88" i="34"/>
  <c r="D87" i="34"/>
  <c r="E88" i="34"/>
  <c r="K88" i="34"/>
  <c r="L95" i="42"/>
  <c r="G88" i="34"/>
  <c r="N88" i="34"/>
  <c r="L88" i="34"/>
  <c r="I88" i="34"/>
  <c r="B87" i="34"/>
  <c r="E87" i="34"/>
  <c r="J88" i="34"/>
  <c r="D88" i="34"/>
  <c r="L56" i="42"/>
  <c r="K87" i="34"/>
  <c r="L19" i="42"/>
  <c r="B88" i="34"/>
  <c r="A57" i="42" l="1"/>
  <c r="A32" i="35"/>
  <c r="A31" i="30"/>
  <c r="A35" i="40"/>
  <c r="A96" i="42"/>
  <c r="A89" i="34"/>
  <c r="A20" i="42"/>
  <c r="D89" i="34"/>
  <c r="G89" i="34"/>
  <c r="C89" i="34"/>
  <c r="L89" i="34"/>
  <c r="B89" i="34"/>
  <c r="C88" i="34"/>
  <c r="H88" i="34"/>
  <c r="I89" i="34"/>
  <c r="N89" i="34"/>
  <c r="H89" i="34"/>
  <c r="L57" i="42"/>
  <c r="L96" i="42"/>
  <c r="E89" i="34"/>
  <c r="L20" i="42"/>
  <c r="A58" i="42" l="1"/>
  <c r="A33" i="35"/>
  <c r="A36" i="40"/>
  <c r="A32" i="30"/>
  <c r="A97" i="42"/>
  <c r="A90" i="34"/>
  <c r="A21" i="42"/>
  <c r="K89" i="34"/>
  <c r="L90" i="34"/>
  <c r="L97" i="42"/>
  <c r="J89" i="34"/>
  <c r="N90" i="34"/>
  <c r="J90" i="34"/>
  <c r="C90" i="34"/>
  <c r="E90" i="34"/>
  <c r="I90" i="34"/>
  <c r="G90" i="34"/>
  <c r="D90" i="34"/>
  <c r="H90" i="34"/>
  <c r="L58" i="42"/>
  <c r="L21" i="42"/>
  <c r="A59" i="42" l="1"/>
  <c r="A34" i="35"/>
  <c r="A33" i="30"/>
  <c r="A37" i="40"/>
  <c r="A22" i="42"/>
  <c r="A98" i="42"/>
  <c r="A91" i="34"/>
  <c r="N91" i="34"/>
  <c r="B90" i="34"/>
  <c r="L98" i="42"/>
  <c r="B91" i="34"/>
  <c r="L59" i="42"/>
  <c r="I91" i="34"/>
  <c r="H91" i="34"/>
  <c r="L22" i="42"/>
  <c r="K90" i="34"/>
  <c r="E91" i="34"/>
  <c r="A60" i="42" l="1"/>
  <c r="A35" i="35"/>
  <c r="A38" i="40"/>
  <c r="A34" i="30"/>
  <c r="A92" i="34"/>
  <c r="A23" i="42"/>
  <c r="A99" i="42"/>
  <c r="L60" i="42"/>
  <c r="G91" i="34"/>
  <c r="B92" i="34"/>
  <c r="H92" i="34"/>
  <c r="G92" i="34"/>
  <c r="I92" i="34"/>
  <c r="L92" i="34"/>
  <c r="D91" i="34"/>
  <c r="C91" i="34"/>
  <c r="J91" i="34"/>
  <c r="L91" i="34"/>
  <c r="K91" i="34"/>
  <c r="E92" i="34"/>
  <c r="D92" i="34"/>
  <c r="L99" i="42"/>
  <c r="N92" i="34"/>
  <c r="K92" i="34"/>
  <c r="L23" i="42"/>
  <c r="J92" i="34"/>
  <c r="C92" i="34"/>
  <c r="A61" i="42" l="1"/>
  <c r="A36" i="35"/>
  <c r="A35" i="30"/>
  <c r="A39" i="40"/>
  <c r="A100" i="42"/>
  <c r="A93" i="34"/>
  <c r="A24" i="42"/>
  <c r="L61" i="42"/>
  <c r="L24" i="42"/>
  <c r="L93" i="34"/>
  <c r="L100" i="42"/>
  <c r="D93" i="34"/>
  <c r="A62" i="42" l="1"/>
  <c r="A37" i="35"/>
  <c r="L103" i="34"/>
  <c r="A36" i="30"/>
  <c r="A25" i="42"/>
  <c r="A94" i="34"/>
  <c r="A101" i="42"/>
  <c r="D94" i="34"/>
  <c r="L94" i="34"/>
  <c r="G93" i="34"/>
  <c r="E94" i="34"/>
  <c r="L101" i="42"/>
  <c r="K94" i="34"/>
  <c r="H94" i="34"/>
  <c r="L25" i="42"/>
  <c r="H93" i="34"/>
  <c r="I93" i="34"/>
  <c r="G94" i="34"/>
  <c r="K93" i="34"/>
  <c r="I94" i="34"/>
  <c r="N93" i="34"/>
  <c r="J93" i="34"/>
  <c r="N94" i="34"/>
  <c r="C93" i="34"/>
  <c r="B94" i="34"/>
  <c r="J94" i="34"/>
  <c r="E93" i="34"/>
  <c r="L62" i="42"/>
  <c r="B93" i="34"/>
  <c r="C94" i="34"/>
  <c r="A63" i="42" l="1"/>
  <c r="A38" i="35"/>
  <c r="A37" i="30"/>
  <c r="A102" i="42"/>
  <c r="A95" i="34"/>
  <c r="A26" i="42"/>
  <c r="L95" i="34"/>
  <c r="J95" i="34"/>
  <c r="L102" i="42"/>
  <c r="B95" i="34"/>
  <c r="H15" i="34"/>
  <c r="L63" i="42"/>
  <c r="L26" i="42"/>
  <c r="H95" i="34"/>
  <c r="E95" i="34"/>
  <c r="C95" i="34"/>
  <c r="A64" i="42" l="1"/>
  <c r="A39" i="35"/>
  <c r="A38" i="30"/>
  <c r="A27" i="42"/>
  <c r="A96" i="34"/>
  <c r="A103" i="42"/>
  <c r="H96" i="34"/>
  <c r="L64" i="42"/>
  <c r="L103" i="42"/>
  <c r="G95" i="34"/>
  <c r="N95" i="34"/>
  <c r="B96" i="34"/>
  <c r="K95" i="34"/>
  <c r="I15" i="34"/>
  <c r="D15" i="34"/>
  <c r="E96" i="34"/>
  <c r="I13" i="34"/>
  <c r="L27" i="42"/>
  <c r="L96" i="34"/>
  <c r="I95" i="34"/>
  <c r="I14" i="34"/>
  <c r="D95" i="34"/>
  <c r="A65" i="42" l="1"/>
  <c r="A39" i="30"/>
  <c r="A104" i="42"/>
  <c r="A97" i="34"/>
  <c r="A56" i="34" s="1"/>
  <c r="A28" i="42"/>
  <c r="L28" i="42"/>
  <c r="L65" i="42"/>
  <c r="G15" i="34"/>
  <c r="C97" i="34"/>
  <c r="K97" i="34"/>
  <c r="H97" i="34"/>
  <c r="N97" i="34"/>
  <c r="D96" i="34"/>
  <c r="L104" i="42"/>
  <c r="L97" i="34"/>
  <c r="D97" i="34"/>
  <c r="K96" i="34"/>
  <c r="C96" i="34"/>
  <c r="I96" i="34"/>
  <c r="I97" i="34"/>
  <c r="B97" i="34"/>
  <c r="J97" i="34"/>
  <c r="C15" i="34"/>
  <c r="E97" i="34"/>
  <c r="N96" i="34"/>
  <c r="G97" i="34"/>
  <c r="J96" i="34"/>
  <c r="G96" i="34"/>
  <c r="A66" i="42" l="1"/>
  <c r="A29" i="42"/>
  <c r="A98" i="34"/>
  <c r="A105" i="42"/>
  <c r="H98" i="34"/>
  <c r="J98" i="34"/>
  <c r="C98" i="34"/>
  <c r="L66" i="42"/>
  <c r="K98" i="34"/>
  <c r="I98" i="34"/>
  <c r="D98" i="34"/>
  <c r="N98" i="34"/>
  <c r="L29" i="42"/>
  <c r="E98" i="34"/>
  <c r="B98" i="34"/>
  <c r="L98" i="34"/>
  <c r="G98" i="34"/>
  <c r="L105" i="42"/>
  <c r="A67" i="42" l="1"/>
  <c r="A99" i="34"/>
  <c r="A30" i="42"/>
  <c r="A106" i="42"/>
  <c r="L30" i="42"/>
  <c r="L106" i="42"/>
  <c r="G99" i="34"/>
  <c r="N99" i="34"/>
  <c r="E99" i="34"/>
  <c r="B48" i="34"/>
  <c r="B49" i="34"/>
  <c r="B15" i="34"/>
  <c r="K99" i="34"/>
  <c r="L99" i="34"/>
  <c r="L67" i="42"/>
  <c r="A68" i="42" l="1"/>
  <c r="A31" i="42"/>
  <c r="A100" i="34"/>
  <c r="A107" i="42"/>
  <c r="L68" i="42"/>
  <c r="H99" i="34"/>
  <c r="C100" i="34"/>
  <c r="J99" i="34"/>
  <c r="I99" i="34"/>
  <c r="C99" i="34"/>
  <c r="L100" i="34"/>
  <c r="I100" i="34"/>
  <c r="L31" i="42"/>
  <c r="B100" i="34"/>
  <c r="D99" i="34"/>
  <c r="L107" i="42"/>
  <c r="B99" i="34"/>
  <c r="D100" i="34"/>
  <c r="E100" i="34"/>
  <c r="A69" i="42" l="1"/>
  <c r="A101" i="34"/>
  <c r="A32" i="42"/>
  <c r="A108" i="42"/>
  <c r="J100" i="34"/>
  <c r="J101" i="34"/>
  <c r="N101" i="34"/>
  <c r="B101" i="34"/>
  <c r="L69" i="42"/>
  <c r="K101" i="34"/>
  <c r="N100" i="34"/>
  <c r="D101" i="34"/>
  <c r="G101" i="34"/>
  <c r="K100" i="34"/>
  <c r="G100" i="34"/>
  <c r="C101" i="34"/>
  <c r="L32" i="42"/>
  <c r="H100" i="34"/>
  <c r="L101" i="34"/>
  <c r="L108" i="42"/>
  <c r="E101" i="34"/>
  <c r="I101" i="34"/>
  <c r="H101" i="34"/>
  <c r="N105" i="34" l="1"/>
  <c r="N106" i="34" s="1"/>
  <c r="A70" i="42"/>
  <c r="A109" i="42"/>
  <c r="A102" i="34"/>
  <c r="A33" i="42"/>
  <c r="L33" i="42"/>
  <c r="L70" i="42"/>
  <c r="L109" i="42"/>
  <c r="A71" i="42" l="1"/>
  <c r="A104" i="34"/>
  <c r="A110" i="42"/>
  <c r="A103" i="34"/>
  <c r="A34" i="42"/>
  <c r="M24" i="34"/>
  <c r="M69" i="34"/>
  <c r="M98" i="34"/>
  <c r="M70" i="34"/>
  <c r="M84" i="34"/>
  <c r="M99" i="34"/>
  <c r="K61" i="42"/>
  <c r="K103" i="42"/>
  <c r="K88" i="42"/>
  <c r="M92" i="34"/>
  <c r="K14" i="42"/>
  <c r="K101" i="42"/>
  <c r="K62" i="42"/>
  <c r="L34" i="42"/>
  <c r="M42" i="34"/>
  <c r="K17" i="42"/>
  <c r="M14" i="34"/>
  <c r="M40" i="34"/>
  <c r="M85" i="34"/>
  <c r="K46" i="42"/>
  <c r="K47" i="42"/>
  <c r="M25" i="34"/>
  <c r="K87" i="42"/>
  <c r="K25" i="42"/>
  <c r="M29" i="34"/>
  <c r="M72" i="34"/>
  <c r="K63" i="42"/>
  <c r="M100" i="34"/>
  <c r="M35" i="34"/>
  <c r="K83" i="42"/>
  <c r="M79" i="34"/>
  <c r="K64" i="42"/>
  <c r="M23" i="34"/>
  <c r="M81" i="34"/>
  <c r="K31" i="42"/>
  <c r="K44" i="42"/>
  <c r="M44" i="34"/>
  <c r="K28" i="42"/>
  <c r="M19" i="34"/>
  <c r="K89" i="42"/>
  <c r="K30" i="42"/>
  <c r="K43" i="42"/>
  <c r="K105" i="42"/>
  <c r="M90" i="34"/>
  <c r="K49" i="42"/>
  <c r="K52" i="42"/>
  <c r="K67" i="42"/>
  <c r="M36" i="34"/>
  <c r="M15" i="34"/>
  <c r="M34" i="34"/>
  <c r="K23" i="42"/>
  <c r="K20" i="42"/>
  <c r="K5" i="42"/>
  <c r="K107" i="42"/>
  <c r="M68" i="34"/>
  <c r="M78" i="34"/>
  <c r="M47" i="34"/>
  <c r="K92" i="42"/>
  <c r="M88" i="34"/>
  <c r="K91" i="42"/>
  <c r="M32" i="34"/>
  <c r="K19" i="42"/>
  <c r="K26" i="42"/>
  <c r="M91" i="34"/>
  <c r="K82" i="42"/>
  <c r="K18" i="42"/>
  <c r="M49" i="34"/>
  <c r="K8" i="42"/>
  <c r="K21" i="42"/>
  <c r="M26" i="34"/>
  <c r="L110" i="42"/>
  <c r="M17" i="34"/>
  <c r="K15" i="42"/>
  <c r="K93" i="42"/>
  <c r="M89" i="34"/>
  <c r="M86" i="34"/>
  <c r="M94" i="34"/>
  <c r="K51" i="42"/>
  <c r="K7" i="42"/>
  <c r="K86" i="42"/>
  <c r="K55" i="42"/>
  <c r="M27" i="34"/>
  <c r="M101" i="34"/>
  <c r="M13" i="34"/>
  <c r="M48" i="34"/>
  <c r="M46" i="34"/>
  <c r="K33" i="42"/>
  <c r="M28" i="34"/>
  <c r="K22" i="42"/>
  <c r="K13" i="42"/>
  <c r="K104" i="42"/>
  <c r="M80" i="34"/>
  <c r="M77" i="34"/>
  <c r="K16" i="42"/>
  <c r="K27" i="42"/>
  <c r="K106" i="42"/>
  <c r="L71" i="42"/>
  <c r="K97" i="42"/>
  <c r="M31" i="34"/>
  <c r="K94" i="42"/>
  <c r="M41" i="34"/>
  <c r="K85" i="42"/>
  <c r="K53" i="42"/>
  <c r="K45" i="42"/>
  <c r="M22" i="34"/>
  <c r="K108" i="42"/>
  <c r="K110" i="42"/>
  <c r="K84" i="42"/>
  <c r="K68" i="42"/>
  <c r="M97" i="34"/>
  <c r="K32" i="42"/>
  <c r="K10" i="42"/>
  <c r="K54" i="42"/>
  <c r="K12" i="42"/>
  <c r="K60" i="42"/>
  <c r="K95" i="42"/>
  <c r="K71" i="42"/>
  <c r="M43" i="34"/>
  <c r="M37" i="34"/>
  <c r="M18" i="34"/>
  <c r="K50" i="42"/>
  <c r="M96" i="34"/>
  <c r="K90" i="42"/>
  <c r="K69" i="42"/>
  <c r="K109" i="42"/>
  <c r="M87" i="34"/>
  <c r="K6" i="42"/>
  <c r="K70" i="42"/>
  <c r="K66" i="42"/>
  <c r="K57" i="42"/>
  <c r="M45" i="34"/>
  <c r="K99" i="42"/>
  <c r="M38" i="34"/>
  <c r="M30" i="34"/>
  <c r="K102" i="42"/>
  <c r="K58" i="42"/>
  <c r="K11" i="42"/>
  <c r="K56" i="42"/>
  <c r="M95" i="34"/>
  <c r="M82" i="34"/>
  <c r="M73" i="34"/>
  <c r="K59" i="42"/>
  <c r="M50" i="34"/>
  <c r="K96" i="42"/>
  <c r="K65" i="42"/>
  <c r="M39" i="34"/>
  <c r="M16" i="34"/>
  <c r="M93" i="34"/>
  <c r="M76" i="34"/>
  <c r="K24" i="42"/>
  <c r="K9" i="42"/>
  <c r="K34" i="42"/>
  <c r="K98" i="42"/>
  <c r="M21" i="34"/>
  <c r="K48" i="42"/>
  <c r="M71" i="34"/>
  <c r="M83" i="34"/>
  <c r="M33" i="34"/>
  <c r="M74" i="34"/>
  <c r="K100" i="42"/>
  <c r="K29" i="42"/>
  <c r="M51" i="34" l="1"/>
  <c r="M52" i="34" s="1"/>
  <c r="M53" i="34" s="1"/>
  <c r="M105" i="34"/>
  <c r="M106" i="34" s="1"/>
  <c r="A72" i="42"/>
  <c r="L110" i="34"/>
  <c r="L111" i="34"/>
  <c r="L109" i="34"/>
  <c r="A35" i="42"/>
  <c r="A111" i="42"/>
  <c r="K35" i="42"/>
  <c r="L72" i="42"/>
  <c r="K72" i="42"/>
  <c r="L35" i="42"/>
  <c r="K111" i="42"/>
  <c r="L111" i="42"/>
  <c r="A73" i="42" l="1"/>
  <c r="A112" i="42"/>
  <c r="K73" i="42"/>
  <c r="L112" i="34"/>
  <c r="L113" i="34"/>
  <c r="L112" i="42"/>
  <c r="L114" i="34"/>
  <c r="L73" i="42"/>
  <c r="L115" i="34" l="1"/>
  <c r="B105" i="34"/>
  <c r="B106" i="34" s="1"/>
  <c r="I35" i="34"/>
  <c r="G10" i="34"/>
  <c r="G88" i="42"/>
  <c r="C65" i="34"/>
  <c r="J32" i="42"/>
  <c r="C28" i="42"/>
  <c r="C88" i="42"/>
  <c r="D45" i="34"/>
  <c r="I24" i="42"/>
  <c r="B83" i="42"/>
  <c r="H83" i="42"/>
  <c r="C23" i="34"/>
  <c r="D102" i="42"/>
  <c r="H103" i="42"/>
  <c r="E82" i="42"/>
  <c r="B110" i="42"/>
  <c r="C45" i="34"/>
  <c r="H23" i="42"/>
  <c r="D24" i="42"/>
  <c r="H18" i="42"/>
  <c r="C100" i="42"/>
  <c r="J54" i="42"/>
  <c r="B68" i="42"/>
  <c r="C8" i="42"/>
  <c r="J23" i="42"/>
  <c r="C93" i="42"/>
  <c r="E44" i="42"/>
  <c r="H5" i="42"/>
  <c r="D61" i="34"/>
  <c r="C19" i="42"/>
  <c r="B100" i="42"/>
  <c r="C72" i="42"/>
  <c r="I7" i="34"/>
  <c r="B106" i="42"/>
  <c r="H12" i="42"/>
  <c r="C61" i="34"/>
  <c r="B53" i="42"/>
  <c r="E103" i="34"/>
  <c r="I12" i="34"/>
  <c r="C23" i="42"/>
  <c r="E15" i="42"/>
  <c r="B62" i="42"/>
  <c r="J5" i="34"/>
  <c r="B10" i="42"/>
  <c r="E53" i="42"/>
  <c r="I53" i="42"/>
  <c r="C13" i="34"/>
  <c r="H109" i="42"/>
  <c r="E45" i="42"/>
  <c r="J15" i="42"/>
  <c r="C99" i="42"/>
  <c r="I42" i="34"/>
  <c r="E60" i="42"/>
  <c r="D8" i="34"/>
  <c r="I68" i="42"/>
  <c r="J45" i="42"/>
  <c r="B26" i="42"/>
  <c r="I103" i="34"/>
  <c r="H68" i="42"/>
  <c r="J43" i="42"/>
  <c r="B85" i="42"/>
  <c r="H87" i="42"/>
  <c r="H103" i="34"/>
  <c r="C112" i="42"/>
  <c r="I13" i="42"/>
  <c r="G82" i="42"/>
  <c r="G9" i="42"/>
  <c r="H62" i="34"/>
  <c r="H49" i="42"/>
  <c r="B95" i="42"/>
  <c r="C62" i="42"/>
  <c r="J108" i="42"/>
  <c r="J17" i="42"/>
  <c r="E68" i="42"/>
  <c r="D71" i="42"/>
  <c r="B16" i="42"/>
  <c r="D15" i="42"/>
  <c r="J46" i="42"/>
  <c r="I38" i="34"/>
  <c r="H88" i="42"/>
  <c r="I67" i="34"/>
  <c r="J65" i="34"/>
  <c r="B45" i="34"/>
  <c r="J55" i="42"/>
  <c r="H59" i="42"/>
  <c r="I55" i="42"/>
  <c r="B21" i="34"/>
  <c r="C14" i="42"/>
  <c r="G45" i="34"/>
  <c r="E14" i="42"/>
  <c r="B33" i="34"/>
  <c r="K7" i="34"/>
  <c r="C110" i="42"/>
  <c r="C67" i="42"/>
  <c r="D66" i="42"/>
  <c r="C26" i="34"/>
  <c r="I110" i="42"/>
  <c r="D60" i="42"/>
  <c r="C54" i="42"/>
  <c r="I17" i="42"/>
  <c r="E50" i="42"/>
  <c r="G19" i="42"/>
  <c r="H6" i="42"/>
  <c r="H111" i="42"/>
  <c r="D33" i="34"/>
  <c r="I111" i="42"/>
  <c r="I43" i="34"/>
  <c r="J111" i="42"/>
  <c r="H85" i="42"/>
  <c r="C53" i="42"/>
  <c r="E67" i="42"/>
  <c r="B54" i="42"/>
  <c r="J10" i="34"/>
  <c r="D11" i="34"/>
  <c r="H61" i="34"/>
  <c r="G87" i="42"/>
  <c r="E83" i="42"/>
  <c r="E13" i="42"/>
  <c r="C31" i="42"/>
  <c r="C102" i="42"/>
  <c r="H100" i="42"/>
  <c r="D18" i="42"/>
  <c r="C107" i="42"/>
  <c r="H86" i="42"/>
  <c r="D63" i="42"/>
  <c r="I103" i="42"/>
  <c r="H56" i="42"/>
  <c r="B87" i="42"/>
  <c r="D31" i="42"/>
  <c r="D61" i="42"/>
  <c r="D62" i="34"/>
  <c r="C111" i="42"/>
  <c r="I52" i="42"/>
  <c r="B8" i="34"/>
  <c r="G38" i="34"/>
  <c r="B17" i="42"/>
  <c r="C24" i="34"/>
  <c r="J86" i="42"/>
  <c r="H38" i="34"/>
  <c r="H40" i="34"/>
  <c r="J7" i="42"/>
  <c r="B84" i="42"/>
  <c r="H69" i="42"/>
  <c r="I41" i="34"/>
  <c r="I25" i="34"/>
  <c r="E88" i="42"/>
  <c r="D94" i="42"/>
  <c r="E64" i="42"/>
  <c r="J104" i="34"/>
  <c r="C6" i="42"/>
  <c r="C12" i="42"/>
  <c r="H71" i="42"/>
  <c r="D10" i="42"/>
  <c r="I16" i="34"/>
  <c r="H95" i="42"/>
  <c r="E21" i="42"/>
  <c r="D40" i="34"/>
  <c r="C16" i="34"/>
  <c r="J9" i="34"/>
  <c r="I39" i="34"/>
  <c r="H64" i="34"/>
  <c r="H43" i="34"/>
  <c r="H6" i="34"/>
  <c r="D34" i="42"/>
  <c r="B64" i="34"/>
  <c r="J21" i="42"/>
  <c r="C38" i="34"/>
  <c r="E63" i="42"/>
  <c r="H34" i="34"/>
  <c r="H105" i="42"/>
  <c r="H33" i="34"/>
  <c r="I69" i="42"/>
  <c r="D47" i="34"/>
  <c r="J104" i="42"/>
  <c r="J102" i="42"/>
  <c r="D65" i="34"/>
  <c r="G73" i="42"/>
  <c r="J8" i="34"/>
  <c r="G104" i="34"/>
  <c r="D95" i="42"/>
  <c r="E8" i="42"/>
  <c r="D13" i="42"/>
  <c r="D13" i="34"/>
  <c r="E28" i="42"/>
  <c r="B6" i="42"/>
  <c r="C92" i="42"/>
  <c r="G71" i="42"/>
  <c r="C34" i="42"/>
  <c r="G54" i="42"/>
  <c r="B98" i="42"/>
  <c r="H52" i="42"/>
  <c r="E34" i="42"/>
  <c r="I98" i="42"/>
  <c r="H44" i="42"/>
  <c r="H106" i="42"/>
  <c r="E73" i="42"/>
  <c r="E49" i="42"/>
  <c r="D24" i="34"/>
  <c r="E48" i="42"/>
  <c r="I11" i="34"/>
  <c r="H60" i="34"/>
  <c r="H90" i="42"/>
  <c r="J26" i="42"/>
  <c r="C86" i="42"/>
  <c r="C29" i="34"/>
  <c r="G46" i="34"/>
  <c r="C89" i="42"/>
  <c r="H67" i="42"/>
  <c r="B92" i="42"/>
  <c r="E26" i="42"/>
  <c r="B60" i="42"/>
  <c r="H48" i="42"/>
  <c r="H65" i="34"/>
  <c r="B97" i="42"/>
  <c r="C5" i="42"/>
  <c r="J9" i="42"/>
  <c r="J13" i="42"/>
  <c r="H89" i="42"/>
  <c r="E5" i="42"/>
  <c r="D30" i="42"/>
  <c r="J62" i="34"/>
  <c r="J68" i="42"/>
  <c r="G94" i="42"/>
  <c r="I9" i="34"/>
  <c r="C69" i="42"/>
  <c r="B13" i="42"/>
  <c r="B14" i="34"/>
  <c r="H12" i="34"/>
  <c r="I31" i="42"/>
  <c r="G52" i="42"/>
  <c r="J83" i="42"/>
  <c r="I27" i="34"/>
  <c r="C44" i="34"/>
  <c r="I59" i="42"/>
  <c r="C35" i="34"/>
  <c r="H30" i="34"/>
  <c r="C21" i="34"/>
  <c r="G10" i="42"/>
  <c r="B39" i="34"/>
  <c r="D47" i="42"/>
  <c r="I30" i="42"/>
  <c r="J107" i="42"/>
  <c r="G28" i="42"/>
  <c r="D102" i="34"/>
  <c r="K12" i="34"/>
  <c r="H51" i="42"/>
  <c r="H16" i="42"/>
  <c r="J71" i="42"/>
  <c r="E91" i="42"/>
  <c r="H110" i="42"/>
  <c r="G28" i="34"/>
  <c r="G107" i="42"/>
  <c r="B24" i="42"/>
  <c r="I11" i="42"/>
  <c r="J52" i="42"/>
  <c r="I63" i="42"/>
  <c r="B23" i="42"/>
  <c r="J101" i="42"/>
  <c r="D22" i="42"/>
  <c r="E107" i="42"/>
  <c r="H30" i="42"/>
  <c r="D112" i="42"/>
  <c r="H63" i="34"/>
  <c r="D35" i="42"/>
  <c r="J58" i="42"/>
  <c r="H22" i="34"/>
  <c r="D62" i="42"/>
  <c r="D26" i="42"/>
  <c r="E60" i="34"/>
  <c r="G93" i="42"/>
  <c r="C41" i="34"/>
  <c r="E110" i="42"/>
  <c r="H10" i="34"/>
  <c r="D16" i="42"/>
  <c r="J28" i="42"/>
  <c r="C31" i="34"/>
  <c r="I60" i="34"/>
  <c r="K9" i="34"/>
  <c r="E25" i="42"/>
  <c r="J6" i="34"/>
  <c r="G15" i="42"/>
  <c r="E18" i="42"/>
  <c r="H14" i="34"/>
  <c r="E59" i="42"/>
  <c r="C39" i="34"/>
  <c r="E30" i="42"/>
  <c r="B9" i="34"/>
  <c r="E101" i="42"/>
  <c r="D43" i="34"/>
  <c r="C73" i="42"/>
  <c r="I61" i="34"/>
  <c r="L5" i="34"/>
  <c r="E56" i="42"/>
  <c r="I107" i="42"/>
  <c r="G27" i="42"/>
  <c r="E55" i="42"/>
  <c r="B5" i="34"/>
  <c r="J48" i="42"/>
  <c r="K47" i="34"/>
  <c r="J60" i="42"/>
  <c r="I33" i="42"/>
  <c r="I99" i="42"/>
  <c r="B25" i="42"/>
  <c r="G11" i="42"/>
  <c r="J64" i="34"/>
  <c r="D8" i="42"/>
  <c r="G25" i="34"/>
  <c r="D34" i="34"/>
  <c r="J69" i="42"/>
  <c r="C101" i="42"/>
  <c r="G30" i="34"/>
  <c r="J102" i="34"/>
  <c r="C90" i="42"/>
  <c r="D25" i="42"/>
  <c r="I93" i="42"/>
  <c r="E112" i="42"/>
  <c r="G43" i="34"/>
  <c r="C32" i="34"/>
  <c r="H17" i="42"/>
  <c r="H47" i="42"/>
  <c r="K8" i="34"/>
  <c r="J40" i="34"/>
  <c r="E16" i="42"/>
  <c r="E95" i="42"/>
  <c r="G43" i="42"/>
  <c r="G105" i="42"/>
  <c r="D9" i="34"/>
  <c r="I34" i="42"/>
  <c r="E62" i="34"/>
  <c r="G31" i="34"/>
  <c r="B71" i="42"/>
  <c r="C96" i="42"/>
  <c r="I29" i="42"/>
  <c r="G49" i="42"/>
  <c r="I66" i="34"/>
  <c r="I32" i="34"/>
  <c r="J109" i="42"/>
  <c r="G62" i="34"/>
  <c r="D46" i="34"/>
  <c r="H72" i="42"/>
  <c r="C10" i="34"/>
  <c r="L67" i="34"/>
  <c r="C64" i="34"/>
  <c r="G56" i="42"/>
  <c r="G92" i="42"/>
  <c r="C32" i="42"/>
  <c r="J44" i="42"/>
  <c r="E105" i="42"/>
  <c r="E11" i="42"/>
  <c r="G7" i="42"/>
  <c r="L58" i="34"/>
  <c r="D17" i="42"/>
  <c r="G27" i="34"/>
  <c r="D43" i="42"/>
  <c r="I62" i="42"/>
  <c r="H65" i="42"/>
  <c r="B31" i="34"/>
  <c r="C104" i="34"/>
  <c r="D63" i="34"/>
  <c r="B67" i="34"/>
  <c r="H104" i="42"/>
  <c r="I43" i="42"/>
  <c r="B9" i="42"/>
  <c r="H61" i="42"/>
  <c r="H46" i="42"/>
  <c r="G110" i="42"/>
  <c r="B24" i="34"/>
  <c r="D48" i="42"/>
  <c r="B49" i="42"/>
  <c r="G65" i="42"/>
  <c r="D12" i="34"/>
  <c r="J110" i="42"/>
  <c r="E106" i="42"/>
  <c r="I88" i="42"/>
  <c r="G35" i="34"/>
  <c r="D49" i="42"/>
  <c r="I61" i="42"/>
  <c r="G13" i="34"/>
  <c r="D7" i="42"/>
  <c r="B56" i="42"/>
  <c r="D70" i="42"/>
  <c r="H35" i="42"/>
  <c r="B61" i="34"/>
  <c r="C63" i="34"/>
  <c r="G45" i="42"/>
  <c r="J61" i="34"/>
  <c r="K10" i="34"/>
  <c r="J43" i="34"/>
  <c r="G62" i="42"/>
  <c r="K102" i="34"/>
  <c r="B63" i="34"/>
  <c r="I95" i="42"/>
  <c r="H58" i="42"/>
  <c r="E12" i="34"/>
  <c r="I31" i="34"/>
  <c r="G39" i="34"/>
  <c r="D35" i="34"/>
  <c r="J46" i="34"/>
  <c r="G85" i="42"/>
  <c r="C105" i="42"/>
  <c r="G70" i="42"/>
  <c r="K63" i="34"/>
  <c r="G63" i="34"/>
  <c r="H73" i="42"/>
  <c r="B42" i="34"/>
  <c r="D10" i="34"/>
  <c r="E65" i="34"/>
  <c r="E103" i="42"/>
  <c r="I56" i="42"/>
  <c r="H91" i="42"/>
  <c r="H28" i="42"/>
  <c r="H97" i="42"/>
  <c r="J12" i="34"/>
  <c r="I84" i="42"/>
  <c r="E47" i="34"/>
  <c r="E31" i="42"/>
  <c r="H27" i="42"/>
  <c r="H32" i="42"/>
  <c r="H24" i="34"/>
  <c r="K62" i="34"/>
  <c r="C30" i="42"/>
  <c r="G32" i="42"/>
  <c r="J20" i="42"/>
  <c r="H26" i="42"/>
  <c r="G41" i="34"/>
  <c r="D45" i="42"/>
  <c r="G108" i="42"/>
  <c r="J97" i="42"/>
  <c r="C5" i="34"/>
  <c r="G16" i="34"/>
  <c r="J103" i="42"/>
  <c r="L59" i="34"/>
  <c r="H8" i="34"/>
  <c r="H21" i="42"/>
  <c r="E9" i="34"/>
  <c r="D84" i="42"/>
  <c r="B13" i="34"/>
  <c r="H11" i="34"/>
  <c r="K46" i="34"/>
  <c r="H44" i="34"/>
  <c r="G103" i="34"/>
  <c r="J56" i="42"/>
  <c r="I20" i="42"/>
  <c r="I12" i="42"/>
  <c r="H36" i="34"/>
  <c r="J10" i="42"/>
  <c r="K61" i="34"/>
  <c r="K42" i="34"/>
  <c r="H34" i="42"/>
  <c r="E35" i="42"/>
  <c r="G60" i="42"/>
  <c r="H99" i="42"/>
  <c r="J22" i="42"/>
  <c r="D65" i="42"/>
  <c r="I51" i="42"/>
  <c r="G13" i="42"/>
  <c r="D90" i="42"/>
  <c r="D98" i="42"/>
  <c r="G90" i="42"/>
  <c r="G36" i="34"/>
  <c r="J90" i="42"/>
  <c r="I44" i="42"/>
  <c r="H102" i="42"/>
  <c r="J85" i="42"/>
  <c r="H13" i="42"/>
  <c r="E10" i="34"/>
  <c r="D44" i="34"/>
  <c r="C47" i="42"/>
  <c r="J67" i="42"/>
  <c r="B104" i="42"/>
  <c r="G61" i="34"/>
  <c r="H108" i="42"/>
  <c r="B93" i="42"/>
  <c r="C8" i="34"/>
  <c r="B35" i="34"/>
  <c r="J72" i="42"/>
  <c r="B27" i="42"/>
  <c r="B102" i="42"/>
  <c r="H66" i="34"/>
  <c r="C56" i="42"/>
  <c r="K67" i="34"/>
  <c r="H60" i="42"/>
  <c r="I58" i="42"/>
  <c r="I94" i="42"/>
  <c r="C94" i="42"/>
  <c r="I16" i="42"/>
  <c r="I47" i="34"/>
  <c r="B109" i="42"/>
  <c r="J64" i="42"/>
  <c r="C61" i="42"/>
  <c r="E85" i="42"/>
  <c r="B32" i="42"/>
  <c r="B19" i="42"/>
  <c r="B27" i="34"/>
  <c r="D44" i="42"/>
  <c r="B66" i="34"/>
  <c r="D69" i="42"/>
  <c r="E71" i="42"/>
  <c r="H5" i="34"/>
  <c r="E20" i="42"/>
  <c r="D68" i="42"/>
  <c r="H31" i="42"/>
  <c r="E9" i="42"/>
  <c r="C13" i="42"/>
  <c r="G58" i="42"/>
  <c r="C37" i="34"/>
  <c r="B52" i="42"/>
  <c r="I83" i="42"/>
  <c r="C59" i="42"/>
  <c r="B11" i="34"/>
  <c r="I54" i="42"/>
  <c r="J66" i="42"/>
  <c r="H11" i="42"/>
  <c r="G40" i="34"/>
  <c r="B30" i="34"/>
  <c r="G106" i="42"/>
  <c r="J11" i="42"/>
  <c r="B8" i="42"/>
  <c r="I62" i="34"/>
  <c r="E98" i="42"/>
  <c r="D36" i="34"/>
  <c r="E46" i="42"/>
  <c r="H104" i="34"/>
  <c r="G8" i="34"/>
  <c r="G103" i="42"/>
  <c r="C83" i="42"/>
  <c r="B51" i="42"/>
  <c r="E6" i="42"/>
  <c r="E47" i="42"/>
  <c r="H54" i="42"/>
  <c r="G64" i="42"/>
  <c r="B43" i="42"/>
  <c r="B63" i="42"/>
  <c r="J24" i="42"/>
  <c r="D28" i="34"/>
  <c r="D110" i="42"/>
  <c r="J8" i="42"/>
  <c r="B59" i="42"/>
  <c r="G55" i="42"/>
  <c r="E7" i="34"/>
  <c r="D22" i="34"/>
  <c r="B14" i="42"/>
  <c r="I50" i="42"/>
  <c r="C52" i="42"/>
  <c r="D19" i="42"/>
  <c r="B112" i="42"/>
  <c r="G7" i="34"/>
  <c r="L7" i="34"/>
  <c r="D109" i="42"/>
  <c r="G67" i="42"/>
  <c r="B31" i="42"/>
  <c r="G31" i="42"/>
  <c r="D103" i="34"/>
  <c r="G67" i="34"/>
  <c r="H92" i="42"/>
  <c r="E89" i="42"/>
  <c r="E66" i="42"/>
  <c r="C66" i="42"/>
  <c r="E27" i="42"/>
  <c r="B65" i="42"/>
  <c r="J73" i="42"/>
  <c r="I82" i="42"/>
  <c r="D32" i="34"/>
  <c r="E61" i="34"/>
  <c r="J47" i="34"/>
  <c r="E24" i="42"/>
  <c r="I101" i="42"/>
  <c r="I8" i="34"/>
  <c r="K43" i="34"/>
  <c r="G20" i="42"/>
  <c r="E92" i="42"/>
  <c r="H29" i="42"/>
  <c r="C98" i="42"/>
  <c r="H43" i="42"/>
  <c r="I48" i="42"/>
  <c r="L60" i="34"/>
  <c r="C62" i="34"/>
  <c r="D27" i="34"/>
  <c r="B88" i="42"/>
  <c r="E17" i="42"/>
  <c r="H102" i="34"/>
  <c r="G33" i="34"/>
  <c r="D53" i="42"/>
  <c r="I47" i="42"/>
  <c r="G104" i="42"/>
  <c r="D16" i="34"/>
  <c r="E8" i="34"/>
  <c r="I60" i="42"/>
  <c r="C48" i="42"/>
  <c r="D58" i="42"/>
  <c r="G102" i="34"/>
  <c r="J31" i="42"/>
  <c r="H22" i="42"/>
  <c r="H94" i="42"/>
  <c r="J100" i="42"/>
  <c r="J41" i="34"/>
  <c r="D6" i="34"/>
  <c r="E19" i="42"/>
  <c r="C45" i="42"/>
  <c r="G95" i="42"/>
  <c r="B29" i="34"/>
  <c r="C14" i="34"/>
  <c r="I8" i="42"/>
  <c r="H9" i="34"/>
  <c r="H15" i="42"/>
  <c r="C10" i="42"/>
  <c r="C70" i="42"/>
  <c r="G5" i="42"/>
  <c r="E54" i="42"/>
  <c r="G11" i="34"/>
  <c r="I5" i="42"/>
  <c r="H50" i="42"/>
  <c r="C68" i="42"/>
  <c r="J16" i="42"/>
  <c r="H28" i="34"/>
  <c r="G98" i="42"/>
  <c r="H62" i="42"/>
  <c r="C40" i="34"/>
  <c r="G66" i="42"/>
  <c r="J103" i="34"/>
  <c r="I23" i="42"/>
  <c r="D57" i="42"/>
  <c r="J60" i="34"/>
  <c r="B12" i="34"/>
  <c r="J11" i="34"/>
  <c r="E10" i="42"/>
  <c r="C44" i="42"/>
  <c r="K65" i="34"/>
  <c r="J39" i="34"/>
  <c r="D32" i="42"/>
  <c r="C60" i="42"/>
  <c r="G112" i="42"/>
  <c r="B12" i="42"/>
  <c r="B41" i="34"/>
  <c r="B94" i="42"/>
  <c r="B91" i="42"/>
  <c r="I109" i="42"/>
  <c r="J106" i="42"/>
  <c r="D39" i="34"/>
  <c r="D59" i="42"/>
  <c r="D108" i="42"/>
  <c r="G89" i="42"/>
  <c r="G63" i="42"/>
  <c r="B72" i="42"/>
  <c r="J50" i="42"/>
  <c r="G65" i="34"/>
  <c r="D82" i="42"/>
  <c r="J29" i="42"/>
  <c r="B64" i="42"/>
  <c r="E58" i="42"/>
  <c r="H25" i="42"/>
  <c r="G44" i="34"/>
  <c r="K6" i="34"/>
  <c r="H33" i="42"/>
  <c r="E66" i="34"/>
  <c r="B28" i="34"/>
  <c r="G26" i="34"/>
  <c r="G97" i="42"/>
  <c r="B46" i="42"/>
  <c r="G5" i="34"/>
  <c r="B107" i="42"/>
  <c r="D99" i="42"/>
  <c r="D83" i="42"/>
  <c r="H35" i="34"/>
  <c r="D21" i="34"/>
  <c r="C71" i="42"/>
  <c r="B89" i="42"/>
  <c r="B99" i="42"/>
  <c r="J99" i="42"/>
  <c r="G6" i="42"/>
  <c r="G47" i="42"/>
  <c r="D5" i="34"/>
  <c r="E86" i="42"/>
  <c r="D46" i="42"/>
  <c r="B11" i="42"/>
  <c r="E29" i="42"/>
  <c r="C57" i="42"/>
  <c r="E104" i="42"/>
  <c r="B44" i="34"/>
  <c r="D67" i="42"/>
  <c r="B10" i="34"/>
  <c r="G86" i="42"/>
  <c r="D29" i="42"/>
  <c r="G84" i="42"/>
  <c r="C9" i="34"/>
  <c r="C50" i="42"/>
  <c r="J112" i="42"/>
  <c r="L6" i="34"/>
  <c r="G30" i="42"/>
  <c r="D26" i="34"/>
  <c r="I85" i="42"/>
  <c r="I102" i="42"/>
  <c r="I18" i="42"/>
  <c r="I6" i="34"/>
  <c r="C60" i="34"/>
  <c r="D42" i="34"/>
  <c r="B47" i="42"/>
  <c r="C16" i="42"/>
  <c r="D86" i="42"/>
  <c r="H31" i="34"/>
  <c r="D14" i="34"/>
  <c r="B46" i="34"/>
  <c r="E63" i="34"/>
  <c r="I49" i="42"/>
  <c r="G47" i="34"/>
  <c r="H84" i="42"/>
  <c r="G17" i="42"/>
  <c r="D100" i="42"/>
  <c r="J94" i="42"/>
  <c r="J61" i="42"/>
  <c r="C63" i="42"/>
  <c r="I27" i="42"/>
  <c r="E87" i="42"/>
  <c r="I108" i="42"/>
  <c r="H24" i="42"/>
  <c r="C33" i="34"/>
  <c r="B111" i="42"/>
  <c r="G72" i="42"/>
  <c r="D67" i="34"/>
  <c r="C21" i="42"/>
  <c r="C67" i="34"/>
  <c r="J53" i="42"/>
  <c r="C95" i="42"/>
  <c r="I44" i="34"/>
  <c r="D12" i="42"/>
  <c r="J6" i="42"/>
  <c r="D88" i="42"/>
  <c r="G91" i="42"/>
  <c r="J105" i="42"/>
  <c r="J47" i="42"/>
  <c r="J27" i="42"/>
  <c r="G32" i="34"/>
  <c r="E33" i="42"/>
  <c r="B30" i="42"/>
  <c r="B7" i="34"/>
  <c r="G9" i="34"/>
  <c r="H10" i="42"/>
  <c r="B43" i="34"/>
  <c r="K112" i="42"/>
  <c r="C34" i="34"/>
  <c r="C84" i="42"/>
  <c r="B6" i="34"/>
  <c r="C106" i="42"/>
  <c r="G29" i="34"/>
  <c r="H7" i="34"/>
  <c r="D93" i="42"/>
  <c r="I5" i="34"/>
  <c r="I89" i="42"/>
  <c r="I26" i="34"/>
  <c r="I14" i="42"/>
  <c r="G46" i="42"/>
  <c r="E111" i="42"/>
  <c r="G101" i="42"/>
  <c r="H32" i="34"/>
  <c r="J44" i="34"/>
  <c r="G29" i="42"/>
  <c r="I33" i="34"/>
  <c r="I19" i="42"/>
  <c r="B103" i="42"/>
  <c r="E13" i="34"/>
  <c r="C24" i="42"/>
  <c r="K5" i="34"/>
  <c r="C27" i="34"/>
  <c r="E108" i="42"/>
  <c r="E7" i="42"/>
  <c r="H14" i="42"/>
  <c r="C51" i="42"/>
  <c r="C97" i="42"/>
  <c r="D38" i="34"/>
  <c r="J35" i="42"/>
  <c r="G12" i="34"/>
  <c r="G109" i="42"/>
  <c r="G26" i="42"/>
  <c r="J19" i="42"/>
  <c r="D11" i="42"/>
  <c r="B55" i="42"/>
  <c r="I63" i="34"/>
  <c r="C12" i="34"/>
  <c r="J42" i="34"/>
  <c r="I29" i="34"/>
  <c r="B48" i="42"/>
  <c r="C22" i="34"/>
  <c r="H19" i="42"/>
  <c r="G16" i="42"/>
  <c r="E97" i="42"/>
  <c r="D103" i="42"/>
  <c r="D104" i="42"/>
  <c r="J30" i="42"/>
  <c r="J45" i="34"/>
  <c r="B90" i="42"/>
  <c r="C28" i="34"/>
  <c r="B34" i="42"/>
  <c r="D55" i="42"/>
  <c r="J51" i="42"/>
  <c r="I104" i="34"/>
  <c r="C9" i="42"/>
  <c r="H7" i="42"/>
  <c r="H96" i="42"/>
  <c r="H47" i="34"/>
  <c r="H46" i="34"/>
  <c r="I35" i="42"/>
  <c r="I10" i="42"/>
  <c r="B35" i="42"/>
  <c r="B22" i="34"/>
  <c r="H20" i="42"/>
  <c r="I22" i="34"/>
  <c r="D91" i="42"/>
  <c r="I65" i="42"/>
  <c r="C104" i="42"/>
  <c r="B47" i="34"/>
  <c r="I86" i="42"/>
  <c r="D97" i="42"/>
  <c r="C102" i="34"/>
  <c r="B29" i="42"/>
  <c r="B101" i="42"/>
  <c r="B25" i="34"/>
  <c r="C11" i="42"/>
  <c r="D85" i="42"/>
  <c r="D33" i="42"/>
  <c r="E72" i="42"/>
  <c r="H107" i="42"/>
  <c r="I45" i="34"/>
  <c r="G12" i="42"/>
  <c r="J92" i="42"/>
  <c r="H23" i="34"/>
  <c r="B28" i="42"/>
  <c r="C58" i="42"/>
  <c r="J59" i="42"/>
  <c r="B23" i="34"/>
  <c r="I25" i="42"/>
  <c r="C55" i="42"/>
  <c r="D7" i="34"/>
  <c r="I34" i="34"/>
  <c r="G14" i="42"/>
  <c r="G34" i="42"/>
  <c r="K39" i="34"/>
  <c r="J98" i="42"/>
  <c r="B58" i="42"/>
  <c r="B69" i="42"/>
  <c r="G22" i="42"/>
  <c r="G14" i="34"/>
  <c r="J12" i="42"/>
  <c r="E109" i="42"/>
  <c r="I21" i="34"/>
  <c r="C82" i="42"/>
  <c r="G61" i="42"/>
  <c r="H26" i="34"/>
  <c r="H66" i="42"/>
  <c r="J65" i="42"/>
  <c r="D107" i="42"/>
  <c r="I26" i="42"/>
  <c r="D111" i="42"/>
  <c r="G21" i="42"/>
  <c r="H29" i="34"/>
  <c r="K11" i="34"/>
  <c r="K104" i="34"/>
  <c r="G24" i="42"/>
  <c r="H55" i="42"/>
  <c r="I104" i="42"/>
  <c r="E22" i="42"/>
  <c r="J67" i="34"/>
  <c r="G83" i="42"/>
  <c r="B7" i="42"/>
  <c r="G59" i="42"/>
  <c r="D27" i="42"/>
  <c r="I57" i="42"/>
  <c r="I100" i="42"/>
  <c r="G64" i="34"/>
  <c r="K66" i="34"/>
  <c r="C65" i="42"/>
  <c r="B18" i="42"/>
  <c r="I37" i="34"/>
  <c r="J66" i="34"/>
  <c r="D21" i="42"/>
  <c r="J91" i="42"/>
  <c r="D41" i="34"/>
  <c r="E96" i="42"/>
  <c r="J57" i="42"/>
  <c r="D20" i="42"/>
  <c r="I30" i="34"/>
  <c r="C46" i="34"/>
  <c r="I70" i="42"/>
  <c r="E43" i="42"/>
  <c r="D64" i="34"/>
  <c r="B45" i="42"/>
  <c r="I10" i="34"/>
  <c r="C36" i="34"/>
  <c r="J49" i="42"/>
  <c r="E69" i="42"/>
  <c r="H21" i="34"/>
  <c r="J63" i="34"/>
  <c r="I22" i="42"/>
  <c r="G48" i="42"/>
  <c r="B15" i="42"/>
  <c r="E70" i="42"/>
  <c r="B67" i="42"/>
  <c r="H64" i="42"/>
  <c r="B70" i="42"/>
  <c r="B60" i="34"/>
  <c r="E102" i="42"/>
  <c r="H39" i="34"/>
  <c r="G50" i="42"/>
  <c r="B61" i="42"/>
  <c r="E84" i="42"/>
  <c r="E57" i="42"/>
  <c r="J63" i="42"/>
  <c r="E102" i="34"/>
  <c r="D101" i="42"/>
  <c r="L62" i="34"/>
  <c r="B36" i="34"/>
  <c r="C11" i="34"/>
  <c r="C91" i="42"/>
  <c r="C22" i="42"/>
  <c r="D89" i="42"/>
  <c r="C27" i="42"/>
  <c r="H13" i="34"/>
  <c r="B50" i="42"/>
  <c r="H41" i="34"/>
  <c r="H101" i="42"/>
  <c r="C6" i="34"/>
  <c r="J18" i="42"/>
  <c r="G69" i="42"/>
  <c r="B73" i="42"/>
  <c r="I32" i="42"/>
  <c r="D64" i="42"/>
  <c r="G23" i="34"/>
  <c r="I90" i="42"/>
  <c r="B66" i="42"/>
  <c r="D87" i="42"/>
  <c r="G22" i="34"/>
  <c r="G44" i="42"/>
  <c r="G51" i="42"/>
  <c r="I28" i="34"/>
  <c r="D52" i="42"/>
  <c r="I64" i="42"/>
  <c r="G23" i="42"/>
  <c r="D66" i="34"/>
  <c r="D31" i="34"/>
  <c r="C43" i="34"/>
  <c r="D92" i="42"/>
  <c r="I71" i="42"/>
  <c r="I46" i="34"/>
  <c r="B34" i="34"/>
  <c r="C20" i="42"/>
  <c r="G37" i="34"/>
  <c r="G66" i="34"/>
  <c r="I36" i="34"/>
  <c r="D25" i="34"/>
  <c r="J88" i="42"/>
  <c r="G25" i="42"/>
  <c r="C35" i="42"/>
  <c r="D9" i="42"/>
  <c r="B44" i="42"/>
  <c r="B108" i="42"/>
  <c r="J7" i="34"/>
  <c r="H8" i="42"/>
  <c r="E65" i="42"/>
  <c r="C7" i="42"/>
  <c r="D6" i="42"/>
  <c r="J93" i="42"/>
  <c r="D23" i="34"/>
  <c r="H70" i="42"/>
  <c r="C109" i="42"/>
  <c r="C85" i="42"/>
  <c r="G34" i="34"/>
  <c r="D28" i="42"/>
  <c r="D73" i="42"/>
  <c r="I6" i="42"/>
  <c r="I46" i="42"/>
  <c r="E52" i="42"/>
  <c r="C18" i="42"/>
  <c r="C17" i="42"/>
  <c r="D5" i="42"/>
  <c r="B26" i="34"/>
  <c r="G21" i="34"/>
  <c r="B38" i="34"/>
  <c r="I28" i="42"/>
  <c r="E12" i="42"/>
  <c r="H9" i="42"/>
  <c r="E11" i="34"/>
  <c r="E32" i="42"/>
  <c r="E99" i="42"/>
  <c r="J89" i="42"/>
  <c r="I24" i="34"/>
  <c r="J95" i="42"/>
  <c r="H98" i="42"/>
  <c r="D29" i="34"/>
  <c r="B16" i="34"/>
  <c r="B65" i="34"/>
  <c r="I87" i="42"/>
  <c r="D56" i="42"/>
  <c r="J25" i="42"/>
  <c r="I7" i="42"/>
  <c r="D54" i="42"/>
  <c r="E51" i="42"/>
  <c r="C26" i="42"/>
  <c r="E67" i="34"/>
  <c r="C87" i="42"/>
  <c r="C7" i="34"/>
  <c r="E93" i="42"/>
  <c r="I21" i="42"/>
  <c r="C46" i="42"/>
  <c r="D104" i="34"/>
  <c r="C103" i="34"/>
  <c r="I112" i="42"/>
  <c r="I96" i="42"/>
  <c r="I65" i="34"/>
  <c r="J87" i="42"/>
  <c r="B20" i="42"/>
  <c r="J82" i="42"/>
  <c r="H112" i="42"/>
  <c r="C25" i="42"/>
  <c r="G96" i="42"/>
  <c r="C108" i="42"/>
  <c r="K40" i="34"/>
  <c r="G111" i="42"/>
  <c r="I9" i="42"/>
  <c r="D23" i="42"/>
  <c r="I45" i="42"/>
  <c r="C30" i="34"/>
  <c r="E94" i="42"/>
  <c r="I97" i="42"/>
  <c r="C15" i="42"/>
  <c r="D37" i="34"/>
  <c r="G57" i="42"/>
  <c r="B37" i="34"/>
  <c r="I102" i="34"/>
  <c r="E5" i="34"/>
  <c r="D51" i="42"/>
  <c r="C29" i="42"/>
  <c r="B96" i="42"/>
  <c r="H57" i="42"/>
  <c r="H45" i="34"/>
  <c r="H25" i="34"/>
  <c r="E6" i="34"/>
  <c r="D72" i="42"/>
  <c r="D96" i="42"/>
  <c r="I15" i="42"/>
  <c r="H37" i="34"/>
  <c r="G100" i="42"/>
  <c r="C64" i="42"/>
  <c r="G33" i="42"/>
  <c r="I64" i="34"/>
  <c r="H63" i="42"/>
  <c r="G53" i="42"/>
  <c r="C42" i="34"/>
  <c r="E23" i="42"/>
  <c r="D105" i="42"/>
  <c r="I106" i="42"/>
  <c r="D50" i="42"/>
  <c r="J96" i="42"/>
  <c r="H53" i="42"/>
  <c r="B105" i="42"/>
  <c r="L61" i="34"/>
  <c r="G6" i="34"/>
  <c r="K64" i="34"/>
  <c r="G35" i="42"/>
  <c r="I91" i="42"/>
  <c r="D60" i="34"/>
  <c r="D30" i="34"/>
  <c r="E100" i="42"/>
  <c r="G102" i="42"/>
  <c r="I66" i="42"/>
  <c r="E104" i="34"/>
  <c r="H82" i="42"/>
  <c r="E64" i="34"/>
  <c r="I72" i="42"/>
  <c r="H67" i="34"/>
  <c r="G60" i="34"/>
  <c r="B86" i="42"/>
  <c r="I105" i="42"/>
  <c r="I67" i="42"/>
  <c r="C33" i="42"/>
  <c r="G24" i="34"/>
  <c r="K103" i="34"/>
  <c r="G42" i="34"/>
  <c r="E62" i="42"/>
  <c r="C43" i="42"/>
  <c r="I73" i="42"/>
  <c r="K44" i="34"/>
  <c r="J84" i="42"/>
  <c r="E61" i="42"/>
  <c r="B32" i="34"/>
  <c r="C25" i="34"/>
  <c r="C66" i="34"/>
  <c r="D106" i="42"/>
  <c r="J34" i="42"/>
  <c r="K41" i="34"/>
  <c r="K60" i="34"/>
  <c r="B40" i="34"/>
  <c r="H93" i="42"/>
  <c r="C49" i="42"/>
  <c r="J70" i="42"/>
  <c r="K45" i="34"/>
  <c r="B21" i="42"/>
  <c r="H42" i="34"/>
  <c r="H27" i="34"/>
  <c r="G68" i="42"/>
  <c r="E90" i="42"/>
  <c r="J62" i="42"/>
  <c r="H16" i="34"/>
  <c r="B82" i="42"/>
  <c r="C103" i="42"/>
  <c r="G8" i="42"/>
  <c r="B62" i="34"/>
  <c r="G18" i="42"/>
  <c r="I40" i="34"/>
  <c r="D14" i="42"/>
  <c r="B22" i="42"/>
  <c r="H45" i="42"/>
  <c r="I92" i="42"/>
  <c r="J14" i="42"/>
  <c r="C47" i="34"/>
  <c r="G99" i="42"/>
  <c r="I23" i="34"/>
  <c r="J33" i="42"/>
  <c r="B33" i="42"/>
  <c r="J5" i="42"/>
  <c r="B57" i="42"/>
  <c r="M57" i="42" l="1"/>
  <c r="M33" i="42"/>
  <c r="M22" i="42"/>
  <c r="M82" i="42"/>
  <c r="H51" i="34"/>
  <c r="H52" i="34" s="1"/>
  <c r="H53" i="34" s="1"/>
  <c r="M21" i="42"/>
  <c r="M86" i="42"/>
  <c r="M105" i="42"/>
  <c r="M96" i="42"/>
  <c r="I105" i="34"/>
  <c r="I106" i="34" s="1"/>
  <c r="M20" i="42"/>
  <c r="M108" i="42"/>
  <c r="M44" i="42"/>
  <c r="M66" i="42"/>
  <c r="M73" i="42"/>
  <c r="M50" i="42"/>
  <c r="E105" i="34"/>
  <c r="E106" i="34" s="1"/>
  <c r="M61" i="42"/>
  <c r="M70" i="42"/>
  <c r="M67" i="42"/>
  <c r="M15" i="42"/>
  <c r="M45" i="42"/>
  <c r="M18" i="42"/>
  <c r="M7" i="42"/>
  <c r="M69" i="42"/>
  <c r="M58" i="42"/>
  <c r="K51" i="34"/>
  <c r="K52" i="34" s="1"/>
  <c r="K53" i="34" s="1"/>
  <c r="M28" i="42"/>
  <c r="M101" i="42"/>
  <c r="M29" i="42"/>
  <c r="C105" i="34"/>
  <c r="C106" i="34" s="1"/>
  <c r="M35" i="42"/>
  <c r="M34" i="42"/>
  <c r="M90" i="42"/>
  <c r="M48" i="42"/>
  <c r="M55" i="42"/>
  <c r="C51" i="34"/>
  <c r="C52" i="34" s="1"/>
  <c r="C53" i="34" s="1"/>
  <c r="M103" i="42"/>
  <c r="M30" i="42"/>
  <c r="M111" i="42"/>
  <c r="M47" i="42"/>
  <c r="L51" i="34"/>
  <c r="L52" i="34" s="1"/>
  <c r="L53" i="34" s="1"/>
  <c r="M11" i="42"/>
  <c r="M99" i="42"/>
  <c r="M89" i="42"/>
  <c r="M107" i="42"/>
  <c r="M46" i="42"/>
  <c r="M64" i="42"/>
  <c r="M72" i="42"/>
  <c r="M91" i="42"/>
  <c r="M94" i="42"/>
  <c r="M12" i="42"/>
  <c r="J51" i="34"/>
  <c r="J52" i="34" s="1"/>
  <c r="J53" i="34" s="1"/>
  <c r="G105" i="34"/>
  <c r="G106" i="34" s="1"/>
  <c r="H105" i="34"/>
  <c r="H106" i="34" s="1"/>
  <c r="M88" i="42"/>
  <c r="D51" i="34"/>
  <c r="D52" i="34" s="1"/>
  <c r="D53" i="34" s="1"/>
  <c r="M65" i="42"/>
  <c r="M31" i="42"/>
  <c r="M112" i="42"/>
  <c r="M14" i="42"/>
  <c r="M59" i="42"/>
  <c r="M63" i="42"/>
  <c r="M43" i="42"/>
  <c r="M51" i="42"/>
  <c r="M8" i="42"/>
  <c r="M52" i="42"/>
  <c r="B51" i="34"/>
  <c r="B52" i="34" s="1"/>
  <c r="B53" i="34" s="1"/>
  <c r="M19" i="42"/>
  <c r="M32" i="42"/>
  <c r="M109" i="42"/>
  <c r="M102" i="42"/>
  <c r="M27" i="42"/>
  <c r="M93" i="42"/>
  <c r="M104" i="42"/>
  <c r="E51" i="34"/>
  <c r="E52" i="34" s="1"/>
  <c r="E53" i="34" s="1"/>
  <c r="K105" i="34"/>
  <c r="K106" i="34" s="1"/>
  <c r="M56" i="42"/>
  <c r="M49" i="42"/>
  <c r="M9" i="42"/>
  <c r="G51" i="34"/>
  <c r="G52" i="34" s="1"/>
  <c r="G53" i="34" s="1"/>
  <c r="L105" i="34"/>
  <c r="L106" i="34" s="1"/>
  <c r="M71" i="42"/>
  <c r="J105" i="34"/>
  <c r="J106" i="34" s="1"/>
  <c r="M25" i="42"/>
  <c r="M23" i="42"/>
  <c r="M24" i="42"/>
  <c r="D105" i="34"/>
  <c r="D106" i="34" s="1"/>
  <c r="I51" i="34"/>
  <c r="I52" i="34" s="1"/>
  <c r="I53" i="34" s="1"/>
  <c r="M13" i="42"/>
  <c r="M5" i="42"/>
  <c r="M97" i="42"/>
  <c r="M60" i="42"/>
  <c r="M92" i="42"/>
  <c r="M98" i="42"/>
  <c r="M6" i="42"/>
  <c r="M84" i="42"/>
  <c r="M17" i="42"/>
  <c r="M87" i="42"/>
  <c r="M54" i="42"/>
  <c r="M16" i="42"/>
  <c r="M95" i="42"/>
  <c r="M85" i="42"/>
  <c r="M26" i="42"/>
  <c r="M10" i="42"/>
  <c r="M62" i="42"/>
  <c r="M53" i="42"/>
  <c r="M106" i="42"/>
  <c r="M100" i="42"/>
  <c r="M68" i="42"/>
  <c r="M110" i="42"/>
  <c r="M83" i="42"/>
</calcChain>
</file>

<file path=xl/sharedStrings.xml><?xml version="1.0" encoding="utf-8"?>
<sst xmlns="http://schemas.openxmlformats.org/spreadsheetml/2006/main" count="10833" uniqueCount="570">
  <si>
    <t>时间</t>
    <phoneticPr fontId="1" type="noConversion"/>
  </si>
  <si>
    <t>（1）应用内计费管控</t>
  </si>
  <si>
    <t>付费用户数</t>
  </si>
  <si>
    <t>不知情投诉指标量</t>
  </si>
  <si>
    <t>单个应用/业务不知情投诉指标量F</t>
  </si>
  <si>
    <t>管控周期</t>
  </si>
  <si>
    <t>&lt;10000</t>
  </si>
  <si>
    <t>二线投诉量</t>
  </si>
  <si>
    <t>3＜F≤6</t>
  </si>
  <si>
    <t>F＞6</t>
  </si>
  <si>
    <t>≥10000</t>
  </si>
  <si>
    <t>不知情投诉万用户投诉率</t>
  </si>
  <si>
    <t>管控措施</t>
  </si>
  <si>
    <t>1、手机号码日消费限额降到30元</t>
  </si>
  <si>
    <t>下线</t>
  </si>
  <si>
    <t>7天</t>
  </si>
  <si>
    <t>2、手机设备号日消费限额降到50元</t>
  </si>
  <si>
    <t>强联网：每次支付增加短信验证码；</t>
  </si>
  <si>
    <t>弱联网：弱联网转强联网，每次支付增加短信验证码</t>
  </si>
  <si>
    <t>（2）网页计费管控</t>
  </si>
  <si>
    <t>手机号码日消费限额降到40元</t>
  </si>
  <si>
    <t>手机号码日消费限额降到30元</t>
  </si>
  <si>
    <t>每次支付增加短信逻辑验证码</t>
  </si>
  <si>
    <t>每次支付增加短信逻辑验证码以及短信回复确认订购</t>
  </si>
  <si>
    <r>
      <t>阶段二：按照</t>
    </r>
    <r>
      <rPr>
        <b/>
        <sz val="11"/>
        <color rgb="FF000000"/>
        <rFont val="Microsoft Yahei"/>
        <family val="2"/>
        <charset val="134"/>
      </rPr>
      <t>使用用户的全量投诉万投比指标量</t>
    </r>
    <r>
      <rPr>
        <sz val="11"/>
        <color rgb="FF000000"/>
        <rFont val="Microsoft Yahei"/>
        <family val="2"/>
        <charset val="134"/>
      </rPr>
      <t>进行管控</t>
    </r>
  </si>
  <si>
    <r>
      <t>1、实施时间：</t>
    </r>
    <r>
      <rPr>
        <sz val="11"/>
        <color rgb="FF000000"/>
        <rFont val="Microsoft Yahei"/>
        <family val="2"/>
        <charset val="134"/>
      </rPr>
      <t>9月1日及以后</t>
    </r>
  </si>
  <si>
    <t>2、管控政策：</t>
  </si>
  <si>
    <t>使用用户数</t>
  </si>
  <si>
    <t>全量投诉指标量</t>
  </si>
  <si>
    <t>单个应用/业务投诉指标量S</t>
  </si>
  <si>
    <t>一线投诉量</t>
  </si>
  <si>
    <t>3＜S≤5</t>
  </si>
  <si>
    <t>5＜S≤8</t>
  </si>
  <si>
    <t>S＞8</t>
  </si>
  <si>
    <t>全量投诉万用户投诉率</t>
  </si>
  <si>
    <t>1、手机号码日消费限额降到50元</t>
  </si>
  <si>
    <t>2、手机设备号日消费限额降到100元</t>
  </si>
  <si>
    <t>强联网：每次支付增加图形验证码；</t>
  </si>
  <si>
    <t>弱联网：弱联网转强联网，每次支付增加图形验证码</t>
  </si>
  <si>
    <t>■ 数据统计周期：每自然周考核，以考核日更新的该应用当月累计数据为考核依据。如4月10日为考核日，则单个应用投诉指标量指4月1日-4月10日期间的该应用投诉指标量。如4月2日为考核日，则单个应用投诉指标量指4月1日-4月2日期间的该应用投诉指标量。</t>
  </si>
  <si>
    <t>■ 不知情投诉万用户投诉率=单个应用二线不知情投诉量/该应用付费用户数×10000</t>
  </si>
  <si>
    <t>■ 全量投诉万用户投诉率=单个应用一线投诉量/该应用使用用户数×10000</t>
  </si>
  <si>
    <t>■ 使用用户数：指考核周期内其全部业务或应用的下载用户数、启动用户数、付费用户数、浏览用户数等的交集数据（汇总去重）。</t>
  </si>
  <si>
    <r>
      <t>收到移动</t>
    </r>
    <r>
      <rPr>
        <sz val="10.5"/>
        <color rgb="FF1F497D"/>
        <rFont val="Calibri"/>
        <family val="2"/>
      </rPr>
      <t>MM</t>
    </r>
    <r>
      <rPr>
        <sz val="10.5"/>
        <color rgb="FF1F497D"/>
        <rFont val="宋体"/>
        <family val="3"/>
        <charset val="134"/>
      </rPr>
      <t>口头通知，据悉移动</t>
    </r>
    <r>
      <rPr>
        <sz val="10.5"/>
        <color rgb="FF1F497D"/>
        <rFont val="Calibri"/>
        <family val="2"/>
      </rPr>
      <t>MM</t>
    </r>
    <r>
      <rPr>
        <sz val="10.5"/>
        <color rgb="FF1F497D"/>
        <rFont val="宋体"/>
        <family val="3"/>
        <charset val="134"/>
      </rPr>
      <t>甘肃地区计费因投诉过高，现进行管控要求一个账号（一家公司）下所有业务万投比不能超</t>
    </r>
    <r>
      <rPr>
        <sz val="10.5"/>
        <color rgb="FF1F497D"/>
        <rFont val="Calibri"/>
        <family val="2"/>
      </rPr>
      <t>5</t>
    </r>
    <r>
      <rPr>
        <sz val="10.5"/>
        <color rgb="FF1F497D"/>
        <rFont val="宋体"/>
        <family val="3"/>
        <charset val="134"/>
      </rPr>
      <t>，若万投比超五将进行所有业务甘肃计费暂停，暂停时间一个月。</t>
    </r>
  </si>
  <si>
    <t>一线是通过10086的投诉，二线是10086一时解决不了，转工单到互联网基地解决的投诉</t>
  </si>
  <si>
    <t>时间</t>
    <phoneticPr fontId="1" type="noConversion"/>
  </si>
  <si>
    <t>互联网基地于2015年1月15日启动试点日管控工作，为了更好促进MM业务的健康快速发展，拟进一步优化规则，新规则将于2015年4月1日起实行。具体工作安排如下：</t>
  </si>
  <si>
    <t>1、指标口径：</t>
  </si>
  <si>
    <t>说明：</t>
  </si>
  <si>
    <t>1）统计周期：统计时间当天往前追溯30天。如果应用最后一次上线时间距离统计时间当天不足30天，则按上线时间至统计时间当天计算。</t>
  </si>
  <si>
    <t>2）一线不知情定制投诉用户数：统计周期内投诉用户数（按手机号码去重）。</t>
  </si>
  <si>
    <t>3）付费用户数：统计周期内付费用户数（按手机号码去重）；</t>
  </si>
  <si>
    <t>2、按照AP星级分层分级管控（管控周期为7天）：</t>
  </si>
  <si>
    <t>1）针对2星级及2星级以下AP的应用，若上述指标大于60，进行下线7天处理。</t>
  </si>
  <si>
    <t>2）针对3星级AP的应用，若上述指标大于90，进行下线7天处理。</t>
  </si>
  <si>
    <t>3）针对4星级及4星级以上AP的应用，若上述指标大于150，进行7天下线处理；</t>
  </si>
  <si>
    <t>3、下线后重新上线的应用，指标计算的开始时间重新开始，统计周期最多回溯30天的投诉数据；</t>
  </si>
  <si>
    <t>4、AP可以在有数平台上查看相关数据，如符合管控要求的，会通过邮件通知。</t>
  </si>
  <si>
    <t>特此通知。</t>
  </si>
  <si>
    <t>备注</t>
    <phoneticPr fontId="1" type="noConversion"/>
  </si>
  <si>
    <t>当日不知情有理投诉次数</t>
    <phoneticPr fontId="1" type="noConversion"/>
  </si>
  <si>
    <t>当月不知情有理万投比</t>
    <phoneticPr fontId="1" type="noConversion"/>
  </si>
  <si>
    <t>当月累计不知情有理投诉量</t>
    <phoneticPr fontId="1" type="noConversion"/>
  </si>
  <si>
    <t>当月累计有理投诉总量</t>
    <phoneticPr fontId="1" type="noConversion"/>
  </si>
  <si>
    <t>当月有理万元投诉率</t>
    <phoneticPr fontId="1" type="noConversion"/>
  </si>
  <si>
    <t>cp</t>
  </si>
  <si>
    <t>星级</t>
  </si>
  <si>
    <t>★★</t>
    <phoneticPr fontId="1" type="noConversion"/>
  </si>
  <si>
    <t>掌上乐游</t>
    <phoneticPr fontId="1" type="noConversion"/>
  </si>
  <si>
    <t>违约等级</t>
  </si>
  <si>
    <t>移动MM暂停河北-单机斗地主赢话费业务与有数数据有较大出入，经沟通获悉以通知数据为准，有数数据只做参考。</t>
    <phoneticPr fontId="1" type="noConversion"/>
  </si>
  <si>
    <t xml:space="preserve">【传说】有数-雨文文 
分省是万10，但是这个不是硬指标 以分省那边的要求为准，有些分省要求超万5就暂停计费了 ，有些是万10。具体是以邮件通知为准的
</t>
    <phoneticPr fontId="1" type="noConversion"/>
  </si>
  <si>
    <t>因近期广东/湖北/广西公司反馈贵司账号不知情投诉量激增，为进一步对投诉量进行严格管控，达到有效降低投诉的目的，广东/湖北/广西公司申请对4月不知情投诉激增账号旗下的应用进行管控</t>
    <phoneticPr fontId="1" type="noConversion"/>
  </si>
  <si>
    <t>二线投诉量</t>
    <phoneticPr fontId="2" type="noConversion"/>
  </si>
  <si>
    <t>单个应用/业务不知情投诉指标量F</t>
    <phoneticPr fontId="2" type="noConversion"/>
  </si>
  <si>
    <t>cp</t>
    <phoneticPr fontId="1" type="noConversion"/>
  </si>
  <si>
    <t>星级</t>
    <phoneticPr fontId="1" type="noConversion"/>
  </si>
  <si>
    <t>目前当月不知情有理万投比</t>
    <phoneticPr fontId="1" type="noConversion"/>
  </si>
  <si>
    <t>目标值</t>
  </si>
  <si>
    <t>指标量S</t>
  </si>
  <si>
    <t>＜10000</t>
  </si>
  <si>
    <t>投诉总量</t>
  </si>
  <si>
    <t>25＜S≤35</t>
  </si>
  <si>
    <t>S＞35</t>
  </si>
  <si>
    <t>万元投诉率</t>
  </si>
  <si>
    <t>信用积分扣减</t>
  </si>
  <si>
    <t>成前应收金额（元）</t>
    <phoneticPr fontId="1" type="noConversion"/>
  </si>
  <si>
    <t>有理万投比阀值</t>
    <phoneticPr fontId="1" type="noConversion"/>
  </si>
  <si>
    <t>目前当月有理万元投诉率</t>
    <phoneticPr fontId="1" type="noConversion"/>
  </si>
  <si>
    <t>当前结算积分扣减情况</t>
    <phoneticPr fontId="1" type="noConversion"/>
  </si>
  <si>
    <t>违约处理措施</t>
    <phoneticPr fontId="1" type="noConversion"/>
  </si>
  <si>
    <t>预计当前违约等级</t>
    <phoneticPr fontId="1" type="noConversion"/>
  </si>
  <si>
    <t>暂停商品新增及变更90天；暂缓结算3个月；违约商品下线</t>
    <phoneticPr fontId="1" type="noConversion"/>
  </si>
  <si>
    <t>信用减分</t>
    <phoneticPr fontId="1" type="noConversion"/>
  </si>
  <si>
    <t>5分-10分</t>
    <phoneticPr fontId="1" type="noConversion"/>
  </si>
  <si>
    <t>15分-30分</t>
    <phoneticPr fontId="1" type="noConversion"/>
  </si>
  <si>
    <t>25分-50分</t>
    <phoneticPr fontId="1" type="noConversion"/>
  </si>
  <si>
    <t>50分-100分</t>
    <phoneticPr fontId="1" type="noConversion"/>
  </si>
  <si>
    <t>增加的付费用户数</t>
    <phoneticPr fontId="1" type="noConversion"/>
  </si>
  <si>
    <t>增加的付费用户数</t>
    <phoneticPr fontId="1" type="noConversion"/>
  </si>
  <si>
    <t>预计当前违约处理措施</t>
    <phoneticPr fontId="1" type="noConversion"/>
  </si>
  <si>
    <t>意利恒</t>
    <phoneticPr fontId="1" type="noConversion"/>
  </si>
  <si>
    <t>目前积分</t>
    <phoneticPr fontId="1" type="noConversion"/>
  </si>
  <si>
    <t>当日投诉次数总计</t>
    <phoneticPr fontId="1" type="noConversion"/>
  </si>
  <si>
    <t>当日有理投诉次数</t>
    <phoneticPr fontId="1" type="noConversion"/>
  </si>
  <si>
    <t>当天不知情投诉次数</t>
    <phoneticPr fontId="1" type="noConversion"/>
  </si>
  <si>
    <t>不知情有理投诉次数</t>
    <phoneticPr fontId="1" type="noConversion"/>
  </si>
  <si>
    <t>不知情投诉次数</t>
    <phoneticPr fontId="1" type="noConversion"/>
  </si>
  <si>
    <t>总计投诉次数</t>
    <phoneticPr fontId="1" type="noConversion"/>
  </si>
  <si>
    <t>有理投诉次数</t>
    <phoneticPr fontId="1" type="noConversion"/>
  </si>
  <si>
    <r>
      <rPr>
        <sz val="10"/>
        <rFont val="宋体"/>
        <family val="3"/>
        <charset val="134"/>
      </rPr>
      <t>当月不知情有理万投比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当月累计不知情有理投诉量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当月累计付费用户数</t>
    </r>
    <r>
      <rPr>
        <sz val="10"/>
        <rFont val="Arial"/>
        <family val="2"/>
      </rPr>
      <t>*10000</t>
    </r>
    <phoneticPr fontId="2" type="noConversion"/>
  </si>
  <si>
    <t>★★★</t>
    <phoneticPr fontId="1" type="noConversion"/>
  </si>
  <si>
    <t>★</t>
    <phoneticPr fontId="1" type="noConversion"/>
  </si>
  <si>
    <t>F﹥135</t>
    <phoneticPr fontId="1" type="noConversion"/>
  </si>
  <si>
    <t>90﹤F≤135</t>
    <phoneticPr fontId="1" type="noConversion"/>
  </si>
  <si>
    <t>70﹤F≤90</t>
    <phoneticPr fontId="1" type="noConversion"/>
  </si>
  <si>
    <t>45﹤F≤70</t>
    <phoneticPr fontId="1" type="noConversion"/>
  </si>
  <si>
    <t>当月累计付费用户数（大于10000）</t>
    <phoneticPr fontId="1" type="noConversion"/>
  </si>
  <si>
    <t>当月累计付费金额(&gt;10000)</t>
    <phoneticPr fontId="1" type="noConversion"/>
  </si>
  <si>
    <t>★★</t>
    <phoneticPr fontId="1" type="noConversion"/>
  </si>
  <si>
    <t>F﹥140</t>
    <phoneticPr fontId="1" type="noConversion"/>
  </si>
  <si>
    <t>120﹤F≤140</t>
    <phoneticPr fontId="1" type="noConversion"/>
  </si>
  <si>
    <t>100﹤F≤120</t>
    <phoneticPr fontId="1" type="noConversion"/>
  </si>
  <si>
    <t>80﹤F≤100</t>
    <phoneticPr fontId="1" type="noConversion"/>
  </si>
  <si>
    <t>一星壳</t>
    <phoneticPr fontId="1" type="noConversion"/>
  </si>
  <si>
    <t>当月不知情有理投诉次数</t>
    <phoneticPr fontId="1" type="noConversion"/>
  </si>
  <si>
    <t>总计</t>
    <phoneticPr fontId="1" type="noConversion"/>
  </si>
  <si>
    <t>二~四星壳</t>
    <phoneticPr fontId="1" type="noConversion"/>
  </si>
  <si>
    <t>暂停服务3个月</t>
    <phoneticPr fontId="1" type="noConversion"/>
  </si>
  <si>
    <t>暂停商品新增及变更30天</t>
    <phoneticPr fontId="1" type="noConversion"/>
  </si>
  <si>
    <r>
      <t>当月</t>
    </r>
    <r>
      <rPr>
        <b/>
        <sz val="10"/>
        <color rgb="FFFF0000"/>
        <rFont val="微软雅黑"/>
        <family val="2"/>
        <charset val="134"/>
      </rPr>
      <t>累计</t>
    </r>
    <r>
      <rPr>
        <b/>
        <sz val="10"/>
        <rFont val="微软雅黑"/>
        <family val="2"/>
        <charset val="134"/>
      </rPr>
      <t>付费用户数</t>
    </r>
    <phoneticPr fontId="1" type="noConversion"/>
  </si>
  <si>
    <t>当月投诉次数</t>
    <phoneticPr fontId="1" type="noConversion"/>
  </si>
  <si>
    <t>`</t>
    <phoneticPr fontId="1" type="noConversion"/>
  </si>
  <si>
    <t>★★★</t>
    <phoneticPr fontId="1" type="noConversion"/>
  </si>
  <si>
    <t>其中：</t>
  </si>
  <si>
    <t>当月不知情有理万投比=当月累计不知情有理投诉量/当月累计付费用户数*10000</t>
  </si>
  <si>
    <t>（当月累计不知情有理投诉量即为：不知情有理投诉次数当月累计值）</t>
  </si>
  <si>
    <t>当月有理万元投诉率=当月累计有理投诉总量/当月累计付费金额*10000</t>
  </si>
  <si>
    <t>（当月累计有理投诉总量即为：有理投诉次数当月累计值）</t>
  </si>
  <si>
    <t>详见附件。</t>
  </si>
  <si>
    <t>万投比违约规则：</t>
  </si>
  <si>
    <t>二~四星壳</t>
  </si>
  <si>
    <t>有理万投比阀值</t>
  </si>
  <si>
    <t>信用减分</t>
  </si>
  <si>
    <t>违约处理措施</t>
  </si>
  <si>
    <t>F﹥140</t>
  </si>
  <si>
    <t>50分-100分</t>
  </si>
  <si>
    <t>暂停服务3个月</t>
  </si>
  <si>
    <t>120﹤F≤140</t>
  </si>
  <si>
    <t>25分-50分</t>
  </si>
  <si>
    <t>暂停商品新增及变更90天；暂缓结算3个月；违约商品下线</t>
  </si>
  <si>
    <t>100﹤F≤120</t>
  </si>
  <si>
    <t>15分-30分</t>
  </si>
  <si>
    <t>暂停商品新增及变更30天</t>
  </si>
  <si>
    <t>80﹤F≤100</t>
  </si>
  <si>
    <t>5分-10分</t>
  </si>
  <si>
    <t>一星壳</t>
  </si>
  <si>
    <t>F﹥135</t>
  </si>
  <si>
    <t>90﹤F≤135</t>
  </si>
  <si>
    <t>70﹤F≤90</t>
  </si>
  <si>
    <t>45﹤F≤70</t>
  </si>
  <si>
    <t>万元投诉率规则：</t>
  </si>
  <si>
    <t>成前应收金额（元）</t>
  </si>
  <si>
    <t>趣游</t>
    <phoneticPr fontId="1" type="noConversion"/>
  </si>
  <si>
    <t>魔谷</t>
    <phoneticPr fontId="1" type="noConversion"/>
  </si>
  <si>
    <t>欧朋</t>
    <phoneticPr fontId="1" type="noConversion"/>
  </si>
  <si>
    <t>前游</t>
    <phoneticPr fontId="1" type="noConversion"/>
  </si>
  <si>
    <t>魔逗</t>
    <phoneticPr fontId="1" type="noConversion"/>
  </si>
  <si>
    <t>中力为</t>
    <phoneticPr fontId="1" type="noConversion"/>
  </si>
  <si>
    <t>深圳玉璟</t>
    <phoneticPr fontId="1" type="noConversion"/>
  </si>
  <si>
    <t>广州骏伯</t>
    <phoneticPr fontId="1" type="noConversion"/>
  </si>
  <si>
    <t>当日不知情投诉次数</t>
    <phoneticPr fontId="1" type="noConversion"/>
  </si>
  <si>
    <t>7＜S≤25</t>
    <phoneticPr fontId="1" type="noConversion"/>
  </si>
  <si>
    <t>7＜S≤25</t>
    <phoneticPr fontId="1" type="noConversion"/>
  </si>
  <si>
    <t>（1）一星级及无星级合作伙伴的应用，近30天万投比若大于等于30，进行下线7天处理。</t>
  </si>
  <si>
    <t>（2）二星级合作伙伴的应用，近30天万投比若大于等于90，进行下线7天处理。</t>
  </si>
  <si>
    <t>（3）三星级合作伙伴的应用，近30天万投比若大于等于120，进行下线7天处理。</t>
  </si>
  <si>
    <t>（4）四星级合作伙伴的应用，近30天万投比若大于等于150，进行下线7天处理。</t>
  </si>
  <si>
    <t>应用ID</t>
  </si>
  <si>
    <t>应用名称</t>
  </si>
  <si>
    <t>当日不知情投诉次数</t>
  </si>
  <si>
    <t>当月累计不知情投诉量</t>
  </si>
  <si>
    <t>当日不知情有理投诉次数</t>
  </si>
  <si>
    <t>当月累计不知情有理投诉量</t>
  </si>
  <si>
    <t>当月累计付费用户数</t>
  </si>
  <si>
    <t>当月不知情万投比</t>
  </si>
  <si>
    <t>当月不知情有理万投比</t>
  </si>
  <si>
    <t>云霄穿行</t>
  </si>
  <si>
    <t>坦克大作战2015</t>
  </si>
  <si>
    <t>奔跑吧小猪</t>
  </si>
  <si>
    <t>全民大战飞机一中国版</t>
  </si>
  <si>
    <t>全民消消乐水果版</t>
  </si>
  <si>
    <t>1942之怒吼太平洋</t>
  </si>
  <si>
    <t>趣游</t>
  </si>
  <si>
    <t>魔法少女</t>
  </si>
  <si>
    <t>北京</t>
    <phoneticPr fontId="45" type="noConversion"/>
  </si>
  <si>
    <t>福建</t>
    <phoneticPr fontId="45" type="noConversion"/>
  </si>
  <si>
    <t>甘肃</t>
    <phoneticPr fontId="45" type="noConversion"/>
  </si>
  <si>
    <t>广东</t>
    <phoneticPr fontId="45" type="noConversion"/>
  </si>
  <si>
    <t>广西</t>
    <phoneticPr fontId="45" type="noConversion"/>
  </si>
  <si>
    <t>贵州</t>
    <phoneticPr fontId="45" type="noConversion"/>
  </si>
  <si>
    <t>海南</t>
    <phoneticPr fontId="45" type="noConversion"/>
  </si>
  <si>
    <t>河北</t>
    <phoneticPr fontId="45" type="noConversion"/>
  </si>
  <si>
    <t>河南</t>
    <phoneticPr fontId="45" type="noConversion"/>
  </si>
  <si>
    <t>黑龙江</t>
    <phoneticPr fontId="45" type="noConversion"/>
  </si>
  <si>
    <t>湖北</t>
    <phoneticPr fontId="45" type="noConversion"/>
  </si>
  <si>
    <t>湖南</t>
    <phoneticPr fontId="45" type="noConversion"/>
  </si>
  <si>
    <t>吉林</t>
    <phoneticPr fontId="45" type="noConversion"/>
  </si>
  <si>
    <t>江苏</t>
    <phoneticPr fontId="45" type="noConversion"/>
  </si>
  <si>
    <t>江西</t>
    <phoneticPr fontId="45" type="noConversion"/>
  </si>
  <si>
    <t>辽宁</t>
    <phoneticPr fontId="45" type="noConversion"/>
  </si>
  <si>
    <t>内蒙古</t>
    <phoneticPr fontId="45" type="noConversion"/>
  </si>
  <si>
    <t>宁夏</t>
    <phoneticPr fontId="45" type="noConversion"/>
  </si>
  <si>
    <t>青海</t>
    <phoneticPr fontId="45" type="noConversion"/>
  </si>
  <si>
    <t>山东</t>
    <phoneticPr fontId="45" type="noConversion"/>
  </si>
  <si>
    <t>山西</t>
    <phoneticPr fontId="45" type="noConversion"/>
  </si>
  <si>
    <t>陕西</t>
    <phoneticPr fontId="45" type="noConversion"/>
  </si>
  <si>
    <t>上海</t>
    <phoneticPr fontId="45" type="noConversion"/>
  </si>
  <si>
    <t>四川</t>
    <phoneticPr fontId="45" type="noConversion"/>
  </si>
  <si>
    <t>天津</t>
    <phoneticPr fontId="45" type="noConversion"/>
  </si>
  <si>
    <t>西藏</t>
    <phoneticPr fontId="45" type="noConversion"/>
  </si>
  <si>
    <t>新疆</t>
    <phoneticPr fontId="45" type="noConversion"/>
  </si>
  <si>
    <t>云南</t>
    <phoneticPr fontId="45" type="noConversion"/>
  </si>
  <si>
    <t>浙江</t>
    <phoneticPr fontId="45" type="noConversion"/>
  </si>
  <si>
    <t>重庆</t>
    <phoneticPr fontId="45" type="noConversion"/>
  </si>
  <si>
    <t>CP</t>
    <phoneticPr fontId="45" type="noConversion"/>
  </si>
  <si>
    <t>魔逗</t>
  </si>
  <si>
    <t>前游</t>
  </si>
  <si>
    <t>中力为</t>
  </si>
  <si>
    <t>安徽</t>
    <phoneticPr fontId="45" type="noConversion"/>
  </si>
  <si>
    <t>僵尸敢死队HD</t>
  </si>
  <si>
    <t>消消泡泡乐</t>
  </si>
  <si>
    <t>疯狂的私家车</t>
  </si>
  <si>
    <t>斗争的魔气</t>
  </si>
  <si>
    <t>漂游的乌龟</t>
  </si>
  <si>
    <t>雪域仙踪</t>
  </si>
  <si>
    <t>欢乐丢沙包</t>
  </si>
  <si>
    <t>乌龟躲避</t>
  </si>
  <si>
    <t>魔谷</t>
    <phoneticPr fontId="45" type="noConversion"/>
  </si>
  <si>
    <t>欧朋</t>
    <phoneticPr fontId="45" type="noConversion"/>
  </si>
  <si>
    <t>鹰击长空2015</t>
  </si>
  <si>
    <t>小猪大冒险</t>
  </si>
  <si>
    <t>-</t>
  </si>
  <si>
    <t>总计</t>
    <phoneticPr fontId="45" type="noConversion"/>
  </si>
  <si>
    <t>兰桂馥</t>
    <phoneticPr fontId="1" type="noConversion"/>
  </si>
  <si>
    <t>掌娱纵横</t>
    <phoneticPr fontId="1" type="noConversion"/>
  </si>
  <si>
    <t>兰桂馥</t>
    <phoneticPr fontId="1" type="noConversion"/>
  </si>
  <si>
    <t>掌娱纵横</t>
    <phoneticPr fontId="1" type="noConversion"/>
  </si>
  <si>
    <t>兰桂馥</t>
    <phoneticPr fontId="1" type="noConversion"/>
  </si>
  <si>
    <t>掌娱纵横</t>
    <phoneticPr fontId="1" type="noConversion"/>
  </si>
  <si>
    <t>兰桂馥</t>
    <phoneticPr fontId="1" type="noConversion"/>
  </si>
  <si>
    <t>掌娱纵横</t>
    <phoneticPr fontId="1" type="noConversion"/>
  </si>
  <si>
    <t>兰桂馥</t>
    <phoneticPr fontId="1" type="noConversion"/>
  </si>
  <si>
    <t>掌娱纵横</t>
    <phoneticPr fontId="1" type="noConversion"/>
  </si>
  <si>
    <t>掌娱纵横</t>
    <phoneticPr fontId="1" type="noConversion"/>
  </si>
  <si>
    <t>前游</t>
    <phoneticPr fontId="1" type="noConversion"/>
  </si>
  <si>
    <t>不知情投诉用户数</t>
  </si>
  <si>
    <t>万投比</t>
  </si>
  <si>
    <t>不知情投诉次数</t>
  </si>
  <si>
    <t>付费金额</t>
  </si>
  <si>
    <t>万元投诉比</t>
  </si>
  <si>
    <t>日期</t>
    <phoneticPr fontId="1" type="noConversion"/>
  </si>
  <si>
    <t>cp</t>
    <phoneticPr fontId="1" type="noConversion"/>
  </si>
  <si>
    <t>宝石粉碎传奇</t>
  </si>
  <si>
    <t>掌娱纵横</t>
    <phoneticPr fontId="1" type="noConversion"/>
  </si>
  <si>
    <t>掌娱纵横</t>
    <phoneticPr fontId="1" type="noConversion"/>
  </si>
  <si>
    <t>黑猫警长2新年版</t>
  </si>
  <si>
    <t>兰桂馥</t>
    <phoneticPr fontId="1" type="noConversion"/>
  </si>
  <si>
    <t>中力为</t>
    <phoneticPr fontId="1" type="noConversion"/>
  </si>
  <si>
    <t>魔逗</t>
    <phoneticPr fontId="1" type="noConversion"/>
  </si>
  <si>
    <t>趣游</t>
    <phoneticPr fontId="1" type="noConversion"/>
  </si>
  <si>
    <t>深圳玉璟</t>
    <phoneticPr fontId="1" type="noConversion"/>
  </si>
  <si>
    <t>雷神战机</t>
  </si>
  <si>
    <t>CP</t>
    <phoneticPr fontId="1" type="noConversion"/>
  </si>
  <si>
    <t>广州骏伯</t>
    <phoneticPr fontId="1" type="noConversion"/>
  </si>
  <si>
    <t>PopStar!消灭星星中文版</t>
  </si>
  <si>
    <t>消灭星星3最新版</t>
  </si>
  <si>
    <t>消灭糖果星星</t>
  </si>
  <si>
    <t>开心酷跑2-超时空保卫战</t>
  </si>
  <si>
    <t>开心战机</t>
  </si>
  <si>
    <t>糖果萌萌消</t>
  </si>
  <si>
    <t>最后防线</t>
  </si>
  <si>
    <t>天天斗地主（真人版）</t>
  </si>
  <si>
    <t>单机斗地主</t>
  </si>
  <si>
    <t>欧朋</t>
    <phoneticPr fontId="1" type="noConversion"/>
  </si>
  <si>
    <t>魔谷</t>
    <phoneticPr fontId="1" type="noConversion"/>
  </si>
  <si>
    <t>广州骏伯</t>
    <phoneticPr fontId="45" type="noConversion"/>
  </si>
  <si>
    <t>总计：</t>
    <phoneticPr fontId="1" type="noConversion"/>
  </si>
  <si>
    <t>趣游</t>
    <phoneticPr fontId="1" type="noConversion"/>
  </si>
  <si>
    <t>前游</t>
    <phoneticPr fontId="1" type="noConversion"/>
  </si>
  <si>
    <t>魔逗</t>
    <phoneticPr fontId="1" type="noConversion"/>
  </si>
  <si>
    <t>中力为</t>
    <phoneticPr fontId="1" type="noConversion"/>
  </si>
  <si>
    <t>玉璟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</si>
  <si>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</si>
  <si>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</si>
  <si>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</si>
  <si>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趣游</t>
    <phoneticPr fontId="1" type="noConversion"/>
  </si>
  <si>
    <t>深圳玉璟</t>
    <phoneticPr fontId="1" type="noConversion"/>
  </si>
  <si>
    <t>掌娱纵横</t>
    <phoneticPr fontId="1" type="noConversion"/>
  </si>
  <si>
    <t>前游</t>
    <phoneticPr fontId="1" type="noConversion"/>
  </si>
  <si>
    <t>中力为</t>
    <phoneticPr fontId="1" type="noConversion"/>
  </si>
  <si>
    <t>魔逗</t>
    <phoneticPr fontId="1" type="noConversion"/>
  </si>
  <si>
    <t>深圳玉璟</t>
    <phoneticPr fontId="1" type="noConversion"/>
  </si>
  <si>
    <t>趣游</t>
    <phoneticPr fontId="1" type="noConversion"/>
  </si>
  <si>
    <t>中力为</t>
    <phoneticPr fontId="1" type="noConversion"/>
  </si>
  <si>
    <t>兰桂馥</t>
    <phoneticPr fontId="1" type="noConversion"/>
  </si>
  <si>
    <t>前游</t>
    <phoneticPr fontId="1" type="noConversion"/>
  </si>
  <si>
    <t>掌娱纵横</t>
    <phoneticPr fontId="1" type="noConversion"/>
  </si>
  <si>
    <t>魔逗</t>
    <phoneticPr fontId="1" type="noConversion"/>
  </si>
  <si>
    <t>趣游</t>
    <phoneticPr fontId="1" type="noConversion"/>
  </si>
  <si>
    <t>魔逗</t>
    <phoneticPr fontId="1" type="noConversion"/>
  </si>
  <si>
    <t>中力为</t>
    <phoneticPr fontId="1" type="noConversion"/>
  </si>
  <si>
    <t>兰桂馥</t>
    <phoneticPr fontId="1" type="noConversion"/>
  </si>
  <si>
    <t>前游</t>
    <phoneticPr fontId="1" type="noConversion"/>
  </si>
  <si>
    <t>趣游</t>
    <phoneticPr fontId="1" type="noConversion"/>
  </si>
  <si>
    <t>掌娱纵横</t>
    <phoneticPr fontId="1" type="noConversion"/>
  </si>
  <si>
    <t>深圳玉璟</t>
    <phoneticPr fontId="1" type="noConversion"/>
  </si>
  <si>
    <t>魔逗</t>
    <phoneticPr fontId="1" type="noConversion"/>
  </si>
  <si>
    <t>中力为</t>
    <phoneticPr fontId="1" type="noConversion"/>
  </si>
  <si>
    <t>兰桂馥</t>
    <phoneticPr fontId="1" type="noConversion"/>
  </si>
  <si>
    <t>前游</t>
    <phoneticPr fontId="1" type="noConversion"/>
  </si>
  <si>
    <t>掌娱纵横</t>
    <phoneticPr fontId="1" type="noConversion"/>
  </si>
  <si>
    <t>深圳玉璟</t>
    <phoneticPr fontId="1" type="noConversion"/>
  </si>
  <si>
    <t>趣游</t>
    <phoneticPr fontId="1" type="noConversion"/>
  </si>
  <si>
    <t>前游</t>
    <phoneticPr fontId="1" type="noConversion"/>
  </si>
  <si>
    <t>掌娱纵横</t>
    <phoneticPr fontId="1" type="noConversion"/>
  </si>
  <si>
    <t>魔逗</t>
    <phoneticPr fontId="1" type="noConversion"/>
  </si>
  <si>
    <t>深圳玉璟</t>
    <phoneticPr fontId="1" type="noConversion"/>
  </si>
  <si>
    <t>趣游</t>
    <phoneticPr fontId="1" type="noConversion"/>
  </si>
  <si>
    <t>掌娱纵横</t>
    <phoneticPr fontId="1" type="noConversion"/>
  </si>
  <si>
    <t>趣游</t>
    <phoneticPr fontId="1" type="noConversion"/>
  </si>
  <si>
    <t>前游</t>
    <phoneticPr fontId="1" type="noConversion"/>
  </si>
  <si>
    <t>魔逗</t>
    <phoneticPr fontId="1" type="noConversion"/>
  </si>
  <si>
    <t>深圳玉璟</t>
    <phoneticPr fontId="1" type="noConversion"/>
  </si>
  <si>
    <t>趣游</t>
    <phoneticPr fontId="1" type="noConversion"/>
  </si>
  <si>
    <t>趣游</t>
    <phoneticPr fontId="45" type="noConversion"/>
  </si>
  <si>
    <t>前游</t>
    <phoneticPr fontId="1" type="noConversion"/>
  </si>
  <si>
    <t>魔逗</t>
    <phoneticPr fontId="1" type="noConversion"/>
  </si>
  <si>
    <t>前游</t>
    <phoneticPr fontId="1" type="noConversion"/>
  </si>
  <si>
    <t>魔逗</t>
    <phoneticPr fontId="1" type="noConversion"/>
  </si>
  <si>
    <t>中力为</t>
    <phoneticPr fontId="1" type="noConversion"/>
  </si>
  <si>
    <t>趣游</t>
    <phoneticPr fontId="1" type="noConversion"/>
  </si>
  <si>
    <t>深圳玉璟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</si>
  <si>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</si>
  <si>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</si>
  <si>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</si>
  <si>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掌娱纵横</t>
    <phoneticPr fontId="1" type="noConversion"/>
  </si>
  <si>
    <t>昨日投诉次数</t>
    <phoneticPr fontId="1" type="noConversion"/>
  </si>
  <si>
    <t>时间</t>
    <phoneticPr fontId="1" type="noConversion"/>
  </si>
  <si>
    <t>当日不知情投诉次数</t>
    <phoneticPr fontId="1" type="noConversion"/>
  </si>
  <si>
    <t>当日不知情有理投诉次数</t>
    <phoneticPr fontId="1" type="noConversion"/>
  </si>
  <si>
    <t>当月累计不知情有理投诉量</t>
    <phoneticPr fontId="1" type="noConversion"/>
  </si>
  <si>
    <t>当月累计付费用户数（大于10000）</t>
    <phoneticPr fontId="1" type="noConversion"/>
  </si>
  <si>
    <t>当月不知情有理万投比</t>
    <phoneticPr fontId="1" type="noConversion"/>
  </si>
  <si>
    <t>当日投诉次数总计</t>
    <phoneticPr fontId="1" type="noConversion"/>
  </si>
  <si>
    <t>当日有理投诉次数</t>
    <phoneticPr fontId="1" type="noConversion"/>
  </si>
  <si>
    <t>当月累计有理投诉总量</t>
    <phoneticPr fontId="1" type="noConversion"/>
  </si>
  <si>
    <t>当月累计付费金额(&gt;10000)</t>
    <phoneticPr fontId="1" type="noConversion"/>
  </si>
  <si>
    <t>当月有理万元投诉率</t>
    <phoneticPr fontId="1" type="noConversion"/>
  </si>
  <si>
    <t>增加的付费用户数</t>
    <phoneticPr fontId="1" type="noConversion"/>
  </si>
  <si>
    <t>备注</t>
    <phoneticPr fontId="1" type="noConversion"/>
  </si>
  <si>
    <t>兰桂馥</t>
    <phoneticPr fontId="45" type="noConversion"/>
  </si>
  <si>
    <t>掌娱纵横</t>
    <phoneticPr fontId="45" type="noConversion"/>
  </si>
  <si>
    <t>趣游</t>
    <phoneticPr fontId="45" type="noConversion"/>
  </si>
  <si>
    <t>前游</t>
    <phoneticPr fontId="45" type="noConversion"/>
  </si>
  <si>
    <t>魔逗</t>
    <phoneticPr fontId="45" type="noConversion"/>
  </si>
  <si>
    <t>中力为</t>
    <phoneticPr fontId="45" type="noConversion"/>
  </si>
  <si>
    <t>深圳玉璟</t>
    <phoneticPr fontId="45" type="noConversion"/>
  </si>
  <si>
    <t>魔谷</t>
    <phoneticPr fontId="45" type="noConversion"/>
  </si>
  <si>
    <t>欧朋</t>
    <phoneticPr fontId="45" type="noConversion"/>
  </si>
  <si>
    <t>广州骏伯</t>
    <phoneticPr fontId="45" type="noConversion"/>
  </si>
  <si>
    <t>指尖互通</t>
    <phoneticPr fontId="45" type="noConversion"/>
  </si>
  <si>
    <t>趣游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</si>
  <si>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</si>
  <si>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</si>
  <si>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</si>
  <si>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掌娱纵横</t>
    <phoneticPr fontId="1" type="noConversion"/>
  </si>
  <si>
    <t>魔逗</t>
    <phoneticPr fontId="1" type="noConversion"/>
  </si>
  <si>
    <t>兰桂馥</t>
    <phoneticPr fontId="1" type="noConversion"/>
  </si>
  <si>
    <t>掌娱纵横</t>
    <phoneticPr fontId="1" type="noConversion"/>
  </si>
  <si>
    <t>趣游</t>
    <phoneticPr fontId="1" type="noConversion"/>
  </si>
  <si>
    <t>前游</t>
    <phoneticPr fontId="1" type="noConversion"/>
  </si>
  <si>
    <t>魔逗</t>
    <phoneticPr fontId="1" type="noConversion"/>
  </si>
  <si>
    <t>中力为</t>
    <phoneticPr fontId="1" type="noConversion"/>
  </si>
  <si>
    <t>深圳玉璟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</si>
  <si>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</si>
  <si>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</si>
  <si>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</si>
  <si>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魔逗</t>
    <phoneticPr fontId="1" type="noConversion"/>
  </si>
  <si>
    <t>趣游</t>
    <phoneticPr fontId="45" type="noConversion"/>
  </si>
  <si>
    <t>深圳玉璟</t>
    <phoneticPr fontId="1" type="noConversion"/>
  </si>
  <si>
    <t>前游</t>
    <phoneticPr fontId="1" type="noConversion"/>
  </si>
  <si>
    <t>中力为</t>
    <phoneticPr fontId="1" type="noConversion"/>
  </si>
  <si>
    <t>魔逗</t>
    <phoneticPr fontId="1" type="noConversion"/>
  </si>
  <si>
    <t>趣游</t>
    <phoneticPr fontId="1" type="noConversion"/>
  </si>
  <si>
    <t>深圳玉璟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</si>
  <si>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</si>
  <si>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</si>
  <si>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</si>
  <si>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掌娱纵横</t>
    <phoneticPr fontId="1" type="noConversion"/>
  </si>
  <si>
    <t>魔逗</t>
    <phoneticPr fontId="1" type="noConversion"/>
  </si>
  <si>
    <t>趣游</t>
    <phoneticPr fontId="1" type="noConversion"/>
  </si>
  <si>
    <t>深圳玉璟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</si>
  <si>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</si>
  <si>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</si>
  <si>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</si>
  <si>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掌娱纵横</t>
    <phoneticPr fontId="1" type="noConversion"/>
  </si>
  <si>
    <t>魔逗</t>
    <phoneticPr fontId="1" type="noConversion"/>
  </si>
  <si>
    <t>深圳玉璟</t>
    <phoneticPr fontId="1" type="noConversion"/>
  </si>
  <si>
    <t>兰桂馥</t>
    <phoneticPr fontId="1" type="noConversion"/>
  </si>
  <si>
    <t>掌娱纵横</t>
    <phoneticPr fontId="1" type="noConversion"/>
  </si>
  <si>
    <t>趣游</t>
    <phoneticPr fontId="1" type="noConversion"/>
  </si>
  <si>
    <t>前游</t>
    <phoneticPr fontId="1" type="noConversion"/>
  </si>
  <si>
    <t>魔逗</t>
    <phoneticPr fontId="1" type="noConversion"/>
  </si>
  <si>
    <t>中力为</t>
    <phoneticPr fontId="1" type="noConversion"/>
  </si>
  <si>
    <t>深圳玉璟</t>
    <phoneticPr fontId="1" type="noConversion"/>
  </si>
  <si>
    <t>指尖互通</t>
    <phoneticPr fontId="1" type="noConversion"/>
  </si>
  <si>
    <t>兰桂馥</t>
    <phoneticPr fontId="1" type="noConversion"/>
  </si>
  <si>
    <t>前游</t>
    <phoneticPr fontId="1" type="noConversion"/>
  </si>
  <si>
    <t>中力为</t>
    <phoneticPr fontId="1" type="noConversion"/>
  </si>
  <si>
    <t>掌娱纵横</t>
    <phoneticPr fontId="1" type="noConversion"/>
  </si>
  <si>
    <t>魔逗</t>
    <phoneticPr fontId="1" type="noConversion"/>
  </si>
  <si>
    <t>趣游</t>
    <phoneticPr fontId="1" type="noConversion"/>
  </si>
  <si>
    <t>深圳玉璟</t>
    <phoneticPr fontId="1" type="noConversion"/>
  </si>
  <si>
    <t>掌娱纵横</t>
    <phoneticPr fontId="1" type="noConversion"/>
  </si>
  <si>
    <r>
      <t>1942</t>
    </r>
    <r>
      <rPr>
        <sz val="9"/>
        <color theme="1"/>
        <rFont val="宋体"/>
        <family val="3"/>
        <charset val="134"/>
      </rPr>
      <t>之怒吼太平洋</t>
    </r>
  </si>
  <si>
    <r>
      <t>坦克大作战</t>
    </r>
    <r>
      <rPr>
        <sz val="9"/>
        <color theme="1"/>
        <rFont val="Arial"/>
        <family val="2"/>
      </rPr>
      <t>2015</t>
    </r>
  </si>
  <si>
    <r>
      <t>鹰击长空</t>
    </r>
    <r>
      <rPr>
        <sz val="9"/>
        <color theme="1"/>
        <rFont val="Arial"/>
        <family val="2"/>
      </rPr>
      <t>2015</t>
    </r>
  </si>
  <si>
    <t>趣游</t>
    <phoneticPr fontId="1" type="noConversion"/>
  </si>
  <si>
    <r>
      <t>黑猫警长</t>
    </r>
    <r>
      <rPr>
        <sz val="9"/>
        <color theme="1"/>
        <rFont val="Arial"/>
        <family val="2"/>
      </rPr>
      <t>2</t>
    </r>
    <r>
      <rPr>
        <sz val="9"/>
        <color theme="1"/>
        <rFont val="宋体"/>
        <family val="3"/>
        <charset val="134"/>
      </rPr>
      <t>新年版</t>
    </r>
  </si>
  <si>
    <r>
      <t>僵尸敢死队</t>
    </r>
    <r>
      <rPr>
        <sz val="9"/>
        <color theme="1"/>
        <rFont val="Arial"/>
        <family val="2"/>
      </rPr>
      <t>HD</t>
    </r>
  </si>
  <si>
    <t>魔逗</t>
    <phoneticPr fontId="1" type="noConversion"/>
  </si>
  <si>
    <t>兰桂馥</t>
    <phoneticPr fontId="1" type="noConversion"/>
  </si>
  <si>
    <t>前游</t>
    <phoneticPr fontId="1" type="noConversion"/>
  </si>
  <si>
    <t>趣游</t>
    <phoneticPr fontId="1" type="noConversion"/>
  </si>
  <si>
    <t>深圳玉璟</t>
    <phoneticPr fontId="1" type="noConversion"/>
  </si>
  <si>
    <t>魔逗</t>
    <phoneticPr fontId="1" type="noConversion"/>
  </si>
  <si>
    <t>兰桂馥</t>
    <phoneticPr fontId="1" type="noConversion"/>
  </si>
  <si>
    <t>前游</t>
    <phoneticPr fontId="1" type="noConversion"/>
  </si>
  <si>
    <t>趣游</t>
    <phoneticPr fontId="1" type="noConversion"/>
  </si>
  <si>
    <t>魔逗</t>
    <phoneticPr fontId="1" type="noConversion"/>
  </si>
  <si>
    <t>掌娱纵横</t>
    <phoneticPr fontId="1" type="noConversion"/>
  </si>
  <si>
    <t>兰桂馥</t>
    <phoneticPr fontId="1" type="noConversion"/>
  </si>
  <si>
    <t>前游</t>
    <phoneticPr fontId="1" type="noConversion"/>
  </si>
  <si>
    <t>掌娱纵横</t>
    <phoneticPr fontId="1" type="noConversion"/>
  </si>
  <si>
    <t>兰桂馥</t>
    <phoneticPr fontId="1" type="noConversion"/>
  </si>
  <si>
    <t>前游</t>
    <phoneticPr fontId="1" type="noConversion"/>
  </si>
  <si>
    <t>趣游</t>
    <phoneticPr fontId="1" type="noConversion"/>
  </si>
  <si>
    <t>深圳玉璟</t>
    <phoneticPr fontId="1" type="noConversion"/>
  </si>
  <si>
    <t>趣游</t>
    <phoneticPr fontId="1" type="noConversion"/>
  </si>
  <si>
    <t>兰桂馥</t>
    <phoneticPr fontId="1" type="noConversion"/>
  </si>
  <si>
    <t>掌娱纵横</t>
    <phoneticPr fontId="1" type="noConversion"/>
  </si>
  <si>
    <t>前游</t>
    <phoneticPr fontId="1" type="noConversion"/>
  </si>
  <si>
    <t>魔逗</t>
    <phoneticPr fontId="1" type="noConversion"/>
  </si>
  <si>
    <t>魔逗</t>
    <phoneticPr fontId="1" type="noConversion"/>
  </si>
  <si>
    <t>掌娱纵横</t>
    <phoneticPr fontId="1" type="noConversion"/>
  </si>
  <si>
    <t>兰桂馥</t>
    <phoneticPr fontId="1" type="noConversion"/>
  </si>
  <si>
    <t>前游</t>
    <phoneticPr fontId="1" type="noConversion"/>
  </si>
  <si>
    <r>
      <t>黑猫警长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新年版</t>
    </r>
  </si>
  <si>
    <t>兰桂馥</t>
  </si>
  <si>
    <t>广东</t>
  </si>
  <si>
    <t>云南</t>
  </si>
  <si>
    <t>北京</t>
  </si>
  <si>
    <t>四川</t>
  </si>
  <si>
    <t>天津</t>
  </si>
  <si>
    <t>广西</t>
  </si>
  <si>
    <t>河南</t>
  </si>
  <si>
    <t>浙江</t>
  </si>
  <si>
    <t>西藏</t>
  </si>
  <si>
    <t>辽宁</t>
  </si>
  <si>
    <t>重庆</t>
  </si>
  <si>
    <t>青海</t>
  </si>
  <si>
    <t>海南</t>
  </si>
  <si>
    <t>兰桂馥</t>
    <phoneticPr fontId="1" type="noConversion"/>
  </si>
  <si>
    <t>掌娱纵横</t>
  </si>
  <si>
    <t>日期</t>
    <phoneticPr fontId="1" type="noConversion"/>
  </si>
  <si>
    <t>日期</t>
    <phoneticPr fontId="1" type="noConversion"/>
  </si>
  <si>
    <t>cp</t>
    <phoneticPr fontId="1" type="noConversion"/>
  </si>
  <si>
    <t>省份名称</t>
  </si>
  <si>
    <t>湖南</t>
  </si>
  <si>
    <t>甘肃</t>
  </si>
  <si>
    <t>青海</t>
    <phoneticPr fontId="1" type="noConversion"/>
  </si>
  <si>
    <r>
      <t>坦克大作战</t>
    </r>
    <r>
      <rPr>
        <sz val="10"/>
        <rFont val="Arial"/>
        <family val="2"/>
      </rPr>
      <t>2015</t>
    </r>
  </si>
  <si>
    <r>
      <t>1942</t>
    </r>
    <r>
      <rPr>
        <sz val="10"/>
        <rFont val="宋体"/>
        <family val="3"/>
        <charset val="134"/>
      </rPr>
      <t>之怒吼太平洋</t>
    </r>
  </si>
  <si>
    <t>上海</t>
  </si>
  <si>
    <t>前游</t>
    <phoneticPr fontId="1" type="noConversion"/>
  </si>
  <si>
    <r>
      <t>僵尸敢死队</t>
    </r>
    <r>
      <rPr>
        <sz val="10"/>
        <rFont val="Arial"/>
        <family val="2"/>
      </rPr>
      <t>HD</t>
    </r>
  </si>
  <si>
    <t>内蒙古</t>
  </si>
  <si>
    <t>魔逗</t>
    <phoneticPr fontId="1" type="noConversion"/>
  </si>
  <si>
    <t>贵州</t>
  </si>
  <si>
    <t>山西</t>
  </si>
  <si>
    <t>广州骏伯</t>
  </si>
  <si>
    <r>
      <t>PopStar!</t>
    </r>
    <r>
      <rPr>
        <sz val="9"/>
        <rFont val="宋体"/>
        <family val="3"/>
        <charset val="134"/>
      </rPr>
      <t>消灭星星官方正版</t>
    </r>
  </si>
  <si>
    <t>开心消消乐</t>
  </si>
  <si>
    <r>
      <t>疯狂捕鱼</t>
    </r>
    <r>
      <rPr>
        <sz val="9"/>
        <rFont val="Arial"/>
        <family val="2"/>
      </rPr>
      <t>3</t>
    </r>
  </si>
  <si>
    <r>
      <t>消灭星星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（最新版）</t>
    </r>
  </si>
  <si>
    <r>
      <t>3D</t>
    </r>
    <r>
      <rPr>
        <sz val="9"/>
        <rFont val="宋体"/>
        <family val="3"/>
        <charset val="134"/>
      </rPr>
      <t>车神计划</t>
    </r>
  </si>
  <si>
    <t>欢乐斗地主</t>
  </si>
  <si>
    <t>飓风战魂之战斗陀螺</t>
  </si>
  <si>
    <t>单机斗地主（欢乐版）</t>
  </si>
  <si>
    <r>
      <t>黑猫警长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新年版</t>
    </r>
  </si>
  <si>
    <r>
      <t>PopStar!</t>
    </r>
    <r>
      <rPr>
        <sz val="9"/>
        <rFont val="宋体"/>
        <family val="3"/>
        <charset val="134"/>
      </rPr>
      <t>消灭星星中文版</t>
    </r>
  </si>
  <si>
    <r>
      <t>开心酷跑</t>
    </r>
    <r>
      <rPr>
        <sz val="9"/>
        <rFont val="Arial"/>
        <family val="2"/>
      </rPr>
      <t>2</t>
    </r>
  </si>
  <si>
    <t>地铁跑酷</t>
  </si>
  <si>
    <t>安徽</t>
  </si>
  <si>
    <t>江苏</t>
  </si>
  <si>
    <t>江西</t>
  </si>
  <si>
    <t>湖北</t>
  </si>
  <si>
    <t>福建</t>
  </si>
  <si>
    <t>陕西</t>
  </si>
  <si>
    <t>黑龙江</t>
  </si>
  <si>
    <t>魔谷</t>
  </si>
  <si>
    <t>博雅斗地主</t>
  </si>
  <si>
    <r>
      <t>坦克大作战</t>
    </r>
    <r>
      <rPr>
        <sz val="9"/>
        <rFont val="Arial"/>
        <family val="2"/>
      </rPr>
      <t>2015</t>
    </r>
  </si>
  <si>
    <r>
      <t>僵尸敢死队</t>
    </r>
    <r>
      <rPr>
        <sz val="9"/>
        <rFont val="Arial"/>
        <family val="2"/>
      </rPr>
      <t>HD</t>
    </r>
  </si>
  <si>
    <t>城市飞车</t>
  </si>
  <si>
    <r>
      <t>疯狂捕鱼</t>
    </r>
    <r>
      <rPr>
        <sz val="9"/>
        <rFont val="Arial"/>
        <family val="2"/>
      </rPr>
      <t>4</t>
    </r>
    <r>
      <rPr>
        <sz val="9"/>
        <rFont val="宋体"/>
        <family val="3"/>
        <charset val="134"/>
      </rPr>
      <t>赢话费</t>
    </r>
  </si>
  <si>
    <t>博雅四川麻将</t>
  </si>
  <si>
    <t>熊出没之疯狂弹射</t>
  </si>
  <si>
    <t>欧朋</t>
  </si>
  <si>
    <t>水底历险（普通版）</t>
  </si>
  <si>
    <t>水底历险（高清版）</t>
  </si>
  <si>
    <r>
      <t>神庙逃亡</t>
    </r>
    <r>
      <rPr>
        <sz val="9"/>
        <rFont val="Arial"/>
        <family val="2"/>
      </rPr>
      <t>2</t>
    </r>
  </si>
  <si>
    <r>
      <t>3D</t>
    </r>
    <r>
      <rPr>
        <sz val="9"/>
        <rFont val="宋体"/>
        <family val="3"/>
        <charset val="134"/>
      </rPr>
      <t>英雄</t>
    </r>
  </si>
  <si>
    <r>
      <t>钢琴大师</t>
    </r>
    <r>
      <rPr>
        <sz val="9"/>
        <rFont val="Arial"/>
        <family val="2"/>
      </rPr>
      <t>2</t>
    </r>
  </si>
  <si>
    <t>火箭飞车</t>
  </si>
  <si>
    <t>进军的忍士</t>
  </si>
  <si>
    <r>
      <t>1942</t>
    </r>
    <r>
      <rPr>
        <sz val="9"/>
        <rFont val="宋体"/>
        <family val="3"/>
        <charset val="134"/>
      </rPr>
      <t>之怒吼太平洋</t>
    </r>
  </si>
  <si>
    <t>幽灵来袭</t>
  </si>
  <si>
    <t>指尖互通</t>
  </si>
  <si>
    <t>刀锋酷跑</t>
  </si>
  <si>
    <t>幽灵战争</t>
  </si>
  <si>
    <t>洞穴大逃亡</t>
  </si>
  <si>
    <t>数字的进化</t>
  </si>
  <si>
    <t>神将大乱斗</t>
  </si>
  <si>
    <t>甜筒大作战</t>
  </si>
  <si>
    <t>超级回收站</t>
  </si>
  <si>
    <t>烈焰仙尊假日版</t>
  </si>
  <si>
    <t>外太空的智慧</t>
  </si>
  <si>
    <t>幽灵战争普通版</t>
  </si>
  <si>
    <t>时空战机</t>
  </si>
  <si>
    <t>一直奔向月</t>
  </si>
  <si>
    <t>烈焰仙尊高清版</t>
  </si>
  <si>
    <t>神将大乱斗（普通版）</t>
  </si>
  <si>
    <t>心跳对对碰</t>
  </si>
  <si>
    <t>小龙魔法消</t>
  </si>
  <si>
    <r>
      <t>鹰击长空</t>
    </r>
    <r>
      <rPr>
        <sz val="9"/>
        <rFont val="Arial"/>
        <family val="2"/>
      </rPr>
      <t>2015</t>
    </r>
  </si>
  <si>
    <t>勇往直前</t>
  </si>
  <si>
    <t>坦克突击</t>
  </si>
  <si>
    <t>吉林</t>
  </si>
  <si>
    <t>CP</t>
    <phoneticPr fontId="1" type="noConversion"/>
  </si>
  <si>
    <t>序号</t>
    <phoneticPr fontId="1" type="noConversion"/>
  </si>
  <si>
    <t>全民骑士</t>
  </si>
  <si>
    <t>梦幻火锅店</t>
  </si>
  <si>
    <t>鱼智</t>
  </si>
  <si>
    <t>黑暗制裁</t>
  </si>
  <si>
    <t>暗黑决斗战</t>
  </si>
  <si>
    <t>不要掉下来</t>
  </si>
  <si>
    <t>鱼智</t>
    <phoneticPr fontId="1" type="noConversion"/>
  </si>
  <si>
    <t>鱼智</t>
    <phoneticPr fontId="1" type="noConversion"/>
  </si>
  <si>
    <t>鱼智</t>
    <phoneticPr fontId="45" type="noConversion"/>
  </si>
  <si>
    <t>鱼智</t>
    <phoneticPr fontId="1" type="noConversion"/>
  </si>
  <si>
    <t>极限挑战男神萌萌消</t>
  </si>
  <si>
    <t>兰桂馥</t>
    <phoneticPr fontId="1" type="noConversion"/>
  </si>
  <si>
    <r>
      <rPr>
        <sz val="10"/>
        <rFont val="Arial"/>
        <family val="2"/>
      </rPr>
      <t>兰桂馥</t>
    </r>
  </si>
  <si>
    <t>暗黑无尽之剑</t>
  </si>
  <si>
    <t>英雄集结号</t>
  </si>
  <si>
    <t>坦克之争</t>
  </si>
  <si>
    <t>致命跨越</t>
  </si>
  <si>
    <t>公司</t>
    <phoneticPr fontId="4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</si>
</sst>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 "/>
    <numFmt numFmtId="177" formatCode="0_ "/>
    <numFmt numFmtId="178" formatCode="0.00_);[Red]\(0.00\)"/>
    <numFmt numFmtId="179" formatCode="0_);[Red]\(0\)"/>
    <numFmt numFmtId="180" formatCode="0_ ;[Red]\-0\ "/>
    <numFmt numFmtId="181" formatCode="yyyy/mm/dd"/>
    <numFmt numFmtId="182" formatCode="0;[Red]0"/>
    <numFmt numFmtId="183" formatCode="m&quot;月&quot;d&quot;日&quot;;@"/>
  </numFmts>
  <fonts count="67">
    <font>
      <sz val="10"/>
      <name val="Arial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1"/>
      <color rgb="FF000000"/>
      <name val="Microsoft Yahei"/>
      <family val="2"/>
      <charset val="134"/>
    </font>
    <font>
      <b/>
      <sz val="11"/>
      <color rgb="FF000000"/>
      <name val="Microsoft Yahei"/>
      <family val="2"/>
      <charset val="134"/>
    </font>
    <font>
      <sz val="11"/>
      <color rgb="FF000000"/>
      <name val="仿宋"/>
      <family val="3"/>
      <charset val="134"/>
    </font>
    <font>
      <sz val="10.5"/>
      <color rgb="FF1F497D"/>
      <name val="宋体"/>
      <family val="3"/>
      <charset val="134"/>
    </font>
    <font>
      <sz val="10.5"/>
      <color rgb="FF1F497D"/>
      <name val="Calibri"/>
      <family val="2"/>
    </font>
    <font>
      <sz val="10"/>
      <color rgb="FFFF0000"/>
      <name val="宋体"/>
      <family val="3"/>
      <charset val="134"/>
    </font>
    <font>
      <sz val="11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52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60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.5"/>
      <color rgb="FF1F497D"/>
      <name val="微软雅黑"/>
      <family val="2"/>
      <charset val="134"/>
    </font>
    <font>
      <sz val="10"/>
      <name val="Times New Roman"/>
      <family val="1"/>
    </font>
    <font>
      <sz val="12"/>
      <name val="微软雅黑"/>
      <family val="2"/>
      <charset val="134"/>
    </font>
    <font>
      <sz val="10.5"/>
      <name val="微软雅黑"/>
      <family val="2"/>
      <charset val="134"/>
    </font>
    <font>
      <sz val="9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0"/>
      <name val="Arial"/>
      <family val="2"/>
    </font>
    <font>
      <b/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9"/>
      <color theme="1"/>
      <name val="Microsoft Yahei"/>
      <family val="2"/>
      <charset val="134"/>
    </font>
    <font>
      <sz val="10"/>
      <color theme="1"/>
      <name val="Arial"/>
      <family val="2"/>
    </font>
    <font>
      <sz val="9"/>
      <color theme="1"/>
      <name val="Microsoft Yahei"/>
      <family val="2"/>
      <charset val="134"/>
    </font>
    <font>
      <sz val="9"/>
      <color rgb="FF333333"/>
      <name val="Microsoft Yahei"/>
      <family val="2"/>
      <charset val="134"/>
    </font>
    <font>
      <b/>
      <sz val="9"/>
      <name val="Arial"/>
      <family val="2"/>
    </font>
    <font>
      <sz val="9"/>
      <color theme="1"/>
      <name val="Arial"/>
      <family val="2"/>
    </font>
    <font>
      <sz val="9"/>
      <color rgb="FF444444"/>
      <name val="Trebuchet MS"/>
      <family val="2"/>
    </font>
    <font>
      <sz val="9"/>
      <name val="Arial"/>
      <family val="2"/>
    </font>
    <font>
      <b/>
      <sz val="9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444444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9"/>
      <name val="Microsoft Yahei"/>
      <family val="2"/>
      <charset val="134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theme="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8F3ED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9">
    <xf numFmtId="0" fontId="0" fillId="0" borderId="0"/>
    <xf numFmtId="0" fontId="3" fillId="0" borderId="0"/>
    <xf numFmtId="0" fontId="4" fillId="0" borderId="0"/>
    <xf numFmtId="0" fontId="5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3" fillId="0" borderId="0">
      <alignment vertical="center"/>
    </xf>
    <xf numFmtId="0" fontId="28" fillId="10" borderId="0" applyNumberFormat="0" applyBorder="0" applyAlignment="0" applyProtection="0">
      <alignment vertical="center"/>
    </xf>
    <xf numFmtId="0" fontId="29" fillId="0" borderId="17" applyNumberFormat="0" applyFill="0" applyAlignment="0" applyProtection="0">
      <alignment vertical="center"/>
    </xf>
    <xf numFmtId="0" fontId="26" fillId="22" borderId="18" applyNumberFormat="0" applyAlignment="0" applyProtection="0">
      <alignment vertical="center"/>
    </xf>
    <xf numFmtId="0" fontId="30" fillId="23" borderId="19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21" fillId="22" borderId="21" applyNumberFormat="0" applyAlignment="0" applyProtection="0">
      <alignment vertical="center"/>
    </xf>
    <xf numFmtId="0" fontId="20" fillId="13" borderId="18" applyNumberFormat="0" applyAlignment="0" applyProtection="0">
      <alignment vertical="center"/>
    </xf>
    <xf numFmtId="0" fontId="3" fillId="29" borderId="22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322">
    <xf numFmtId="0" fontId="0" fillId="0" borderId="0" xfId="0"/>
    <xf numFmtId="0" fontId="0" fillId="0" borderId="0" xfId="0" applyAlignment="1">
      <alignment horizontal="center"/>
    </xf>
    <xf numFmtId="0" fontId="9" fillId="0" borderId="0" xfId="0" applyFont="1" applyAlignment="1">
      <alignment vertical="center" wrapText="1"/>
    </xf>
    <xf numFmtId="0" fontId="10" fillId="2" borderId="1" xfId="0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14" fillId="3" borderId="1" xfId="0" applyFont="1" applyFill="1" applyBorder="1" applyAlignment="1">
      <alignment horizontal="center" wrapText="1"/>
    </xf>
    <xf numFmtId="0" fontId="0" fillId="0" borderId="0" xfId="0"/>
    <xf numFmtId="3" fontId="14" fillId="3" borderId="1" xfId="0" applyNumberFormat="1" applyFont="1" applyFill="1" applyBorder="1" applyAlignment="1">
      <alignment horizontal="center" wrapText="1"/>
    </xf>
    <xf numFmtId="0" fontId="10" fillId="2" borderId="7" xfId="0" applyFont="1" applyFill="1" applyBorder="1" applyAlignment="1">
      <alignment vertical="center" wrapText="1"/>
    </xf>
    <xf numFmtId="0" fontId="10" fillId="2" borderId="3" xfId="0" applyFont="1" applyFill="1" applyBorder="1" applyAlignment="1">
      <alignment vertical="center" wrapText="1"/>
    </xf>
    <xf numFmtId="0" fontId="10" fillId="2" borderId="6" xfId="0" applyFont="1" applyFill="1" applyBorder="1" applyAlignment="1">
      <alignment vertical="center" wrapText="1"/>
    </xf>
    <xf numFmtId="0" fontId="14" fillId="5" borderId="1" xfId="0" applyFont="1" applyFill="1" applyBorder="1" applyAlignment="1">
      <alignment horizontal="center" wrapText="1"/>
    </xf>
    <xf numFmtId="0" fontId="14" fillId="4" borderId="1" xfId="0" applyFont="1" applyFill="1" applyBorder="1" applyAlignment="1">
      <alignment horizontal="center" wrapText="1"/>
    </xf>
    <xf numFmtId="4" fontId="0" fillId="0" borderId="0" xfId="0" applyNumberFormat="1"/>
    <xf numFmtId="4" fontId="14" fillId="5" borderId="1" xfId="0" applyNumberFormat="1" applyFont="1" applyFill="1" applyBorder="1" applyAlignment="1">
      <alignment horizontal="center" wrapText="1"/>
    </xf>
    <xf numFmtId="0" fontId="0" fillId="0" borderId="0" xfId="0"/>
    <xf numFmtId="0" fontId="11" fillId="0" borderId="0" xfId="0" applyFont="1"/>
    <xf numFmtId="0" fontId="13" fillId="0" borderId="0" xfId="0" applyFont="1"/>
    <xf numFmtId="58" fontId="0" fillId="0" borderId="0" xfId="0" applyNumberFormat="1" applyAlignment="1">
      <alignment horizontal="center"/>
    </xf>
    <xf numFmtId="0" fontId="0" fillId="0" borderId="0" xfId="0" applyBorder="1"/>
    <xf numFmtId="177" fontId="14" fillId="4" borderId="1" xfId="0" applyNumberFormat="1" applyFont="1" applyFill="1" applyBorder="1" applyAlignment="1">
      <alignment horizontal="center" wrapText="1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3" fillId="0" borderId="0" xfId="2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58" fontId="0" fillId="3" borderId="0" xfId="0" applyNumberFormat="1" applyFill="1" applyAlignment="1">
      <alignment horizontal="center"/>
    </xf>
    <xf numFmtId="0" fontId="0" fillId="3" borderId="2" xfId="0" applyFill="1" applyBorder="1" applyAlignment="1">
      <alignment horizontal="center"/>
    </xf>
    <xf numFmtId="3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177" fontId="0" fillId="3" borderId="2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177" fontId="0" fillId="3" borderId="6" xfId="0" applyNumberFormat="1" applyFill="1" applyBorder="1" applyAlignment="1">
      <alignment horizontal="center"/>
    </xf>
    <xf numFmtId="0" fontId="3" fillId="3" borderId="2" xfId="20" applyFill="1" applyBorder="1" applyAlignment="1">
      <alignment horizontal="center"/>
    </xf>
    <xf numFmtId="0" fontId="3" fillId="3" borderId="6" xfId="20" applyFill="1" applyBorder="1" applyAlignment="1">
      <alignment horizontal="center"/>
    </xf>
    <xf numFmtId="0" fontId="3" fillId="5" borderId="6" xfId="20" applyFill="1" applyBorder="1" applyAlignment="1">
      <alignment horizontal="center"/>
    </xf>
    <xf numFmtId="4" fontId="3" fillId="5" borderId="6" xfId="20" applyNumberFormat="1" applyFill="1" applyBorder="1" applyAlignment="1">
      <alignment horizontal="center"/>
    </xf>
    <xf numFmtId="2" fontId="3" fillId="4" borderId="6" xfId="20" applyNumberForma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3" borderId="5" xfId="0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177" fontId="0" fillId="3" borderId="5" xfId="0" applyNumberFormat="1" applyFill="1" applyBorder="1" applyAlignment="1">
      <alignment horizontal="center"/>
    </xf>
    <xf numFmtId="58" fontId="0" fillId="3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58" fontId="0" fillId="3" borderId="12" xfId="0" applyNumberFormat="1" applyFill="1" applyBorder="1" applyAlignment="1">
      <alignment horizontal="center"/>
    </xf>
    <xf numFmtId="0" fontId="3" fillId="3" borderId="5" xfId="20" applyFill="1" applyBorder="1" applyAlignment="1">
      <alignment horizontal="center"/>
    </xf>
    <xf numFmtId="2" fontId="3" fillId="4" borderId="5" xfId="20" applyNumberFormat="1" applyFill="1" applyBorder="1" applyAlignment="1">
      <alignment horizontal="center"/>
    </xf>
    <xf numFmtId="0" fontId="3" fillId="5" borderId="5" xfId="20" applyFill="1" applyBorder="1" applyAlignment="1">
      <alignment horizontal="center"/>
    </xf>
    <xf numFmtId="4" fontId="3" fillId="5" borderId="5" xfId="20" applyNumberFormat="1" applyFill="1" applyBorder="1" applyAlignment="1">
      <alignment horizontal="center"/>
    </xf>
    <xf numFmtId="0" fontId="3" fillId="0" borderId="0" xfId="102" applyAlignment="1"/>
    <xf numFmtId="0" fontId="3" fillId="0" borderId="0" xfId="102" applyAlignment="1">
      <alignment horizontal="center"/>
    </xf>
    <xf numFmtId="2" fontId="3" fillId="0" borderId="0" xfId="102" applyNumberFormat="1" applyAlignment="1">
      <alignment horizontal="center"/>
    </xf>
    <xf numFmtId="4" fontId="3" fillId="0" borderId="0" xfId="102" applyNumberFormat="1" applyAlignment="1">
      <alignment horizontal="center"/>
    </xf>
    <xf numFmtId="58" fontId="3" fillId="0" borderId="0" xfId="102" applyNumberFormat="1" applyAlignment="1">
      <alignment horizontal="center"/>
    </xf>
    <xf numFmtId="0" fontId="32" fillId="0" borderId="0" xfId="0" applyFont="1" applyAlignment="1">
      <alignment horizontal="right" vertical="center"/>
    </xf>
    <xf numFmtId="0" fontId="32" fillId="0" borderId="0" xfId="0" applyFont="1" applyBorder="1" applyAlignment="1">
      <alignment horizontal="right" vertical="center"/>
    </xf>
    <xf numFmtId="179" fontId="32" fillId="0" borderId="0" xfId="0" applyNumberFormat="1" applyFont="1" applyAlignment="1">
      <alignment horizontal="right" vertical="center"/>
    </xf>
    <xf numFmtId="4" fontId="32" fillId="0" borderId="0" xfId="0" applyNumberFormat="1" applyFont="1" applyAlignment="1">
      <alignment horizontal="right" vertical="center"/>
    </xf>
    <xf numFmtId="177" fontId="32" fillId="0" borderId="0" xfId="0" applyNumberFormat="1" applyFont="1" applyAlignment="1">
      <alignment horizontal="right" vertical="center"/>
    </xf>
    <xf numFmtId="178" fontId="32" fillId="0" borderId="0" xfId="0" applyNumberFormat="1" applyFont="1" applyAlignment="1">
      <alignment horizontal="right" vertical="center"/>
    </xf>
    <xf numFmtId="0" fontId="32" fillId="0" borderId="11" xfId="0" applyFont="1" applyBorder="1" applyAlignment="1">
      <alignment horizontal="right" vertical="center"/>
    </xf>
    <xf numFmtId="179" fontId="32" fillId="0" borderId="0" xfId="0" applyNumberFormat="1" applyFont="1" applyFill="1" applyAlignment="1">
      <alignment horizontal="right" vertical="center"/>
    </xf>
    <xf numFmtId="58" fontId="32" fillId="3" borderId="1" xfId="0" applyNumberFormat="1" applyFont="1" applyFill="1" applyBorder="1" applyAlignment="1">
      <alignment horizontal="right" vertical="center"/>
    </xf>
    <xf numFmtId="179" fontId="32" fillId="3" borderId="1" xfId="0" applyNumberFormat="1" applyFont="1" applyFill="1" applyBorder="1" applyAlignment="1">
      <alignment horizontal="right" vertical="center"/>
    </xf>
    <xf numFmtId="178" fontId="32" fillId="30" borderId="1" xfId="0" applyNumberFormat="1" applyFont="1" applyFill="1" applyBorder="1" applyAlignment="1">
      <alignment horizontal="right" vertical="center"/>
    </xf>
    <xf numFmtId="179" fontId="32" fillId="5" borderId="1" xfId="0" applyNumberFormat="1" applyFont="1" applyFill="1" applyBorder="1" applyAlignment="1">
      <alignment horizontal="right" vertical="center"/>
    </xf>
    <xf numFmtId="4" fontId="32" fillId="5" borderId="1" xfId="0" applyNumberFormat="1" applyFont="1" applyFill="1" applyBorder="1" applyAlignment="1">
      <alignment horizontal="right" vertical="center"/>
    </xf>
    <xf numFmtId="177" fontId="32" fillId="3" borderId="1" xfId="0" applyNumberFormat="1" applyFont="1" applyFill="1" applyBorder="1" applyAlignment="1">
      <alignment horizontal="right" vertical="center"/>
    </xf>
    <xf numFmtId="0" fontId="32" fillId="3" borderId="1" xfId="0" applyFont="1" applyFill="1" applyBorder="1" applyAlignment="1">
      <alignment horizontal="right" vertical="center"/>
    </xf>
    <xf numFmtId="58" fontId="32" fillId="0" borderId="1" xfId="0" applyNumberFormat="1" applyFont="1" applyBorder="1" applyAlignment="1">
      <alignment horizontal="right" vertical="center"/>
    </xf>
    <xf numFmtId="179" fontId="32" fillId="0" borderId="1" xfId="0" applyNumberFormat="1" applyFont="1" applyBorder="1" applyAlignment="1">
      <alignment horizontal="right" vertical="center"/>
    </xf>
    <xf numFmtId="4" fontId="32" fillId="0" borderId="1" xfId="0" applyNumberFormat="1" applyFont="1" applyBorder="1" applyAlignment="1">
      <alignment horizontal="right" vertical="center"/>
    </xf>
    <xf numFmtId="177" fontId="32" fillId="0" borderId="1" xfId="0" applyNumberFormat="1" applyFont="1" applyBorder="1" applyAlignment="1">
      <alignment horizontal="right" vertical="center"/>
    </xf>
    <xf numFmtId="0" fontId="32" fillId="0" borderId="1" xfId="0" applyFont="1" applyBorder="1" applyAlignment="1">
      <alignment horizontal="right" vertical="center"/>
    </xf>
    <xf numFmtId="0" fontId="32" fillId="5" borderId="1" xfId="0" applyFont="1" applyFill="1" applyBorder="1" applyAlignment="1">
      <alignment horizontal="right" vertical="center"/>
    </xf>
    <xf numFmtId="0" fontId="33" fillId="3" borderId="1" xfId="0" applyFont="1" applyFill="1" applyBorder="1" applyAlignment="1">
      <alignment horizontal="center" vertical="top" wrapText="1"/>
    </xf>
    <xf numFmtId="179" fontId="33" fillId="3" borderId="1" xfId="0" applyNumberFormat="1" applyFont="1" applyFill="1" applyBorder="1" applyAlignment="1">
      <alignment horizontal="center" vertical="top" wrapText="1"/>
    </xf>
    <xf numFmtId="178" fontId="33" fillId="30" borderId="1" xfId="0" applyNumberFormat="1" applyFont="1" applyFill="1" applyBorder="1" applyAlignment="1">
      <alignment horizontal="center" vertical="top" wrapText="1"/>
    </xf>
    <xf numFmtId="179" fontId="33" fillId="5" borderId="1" xfId="0" applyNumberFormat="1" applyFont="1" applyFill="1" applyBorder="1" applyAlignment="1">
      <alignment horizontal="center" vertical="top" wrapText="1"/>
    </xf>
    <xf numFmtId="4" fontId="33" fillId="5" borderId="1" xfId="0" applyNumberFormat="1" applyFont="1" applyFill="1" applyBorder="1" applyAlignment="1">
      <alignment horizontal="center" vertical="top" wrapText="1"/>
    </xf>
    <xf numFmtId="177" fontId="33" fillId="4" borderId="1" xfId="0" applyNumberFormat="1" applyFont="1" applyFill="1" applyBorder="1" applyAlignment="1">
      <alignment horizontal="center" vertical="top" wrapText="1"/>
    </xf>
    <xf numFmtId="0" fontId="33" fillId="0" borderId="0" xfId="0" applyFont="1" applyAlignment="1">
      <alignment horizontal="center" vertical="top"/>
    </xf>
    <xf numFmtId="176" fontId="32" fillId="6" borderId="1" xfId="0" applyNumberFormat="1" applyFont="1" applyFill="1" applyBorder="1" applyAlignment="1">
      <alignment horizontal="center" vertical="center"/>
    </xf>
    <xf numFmtId="177" fontId="32" fillId="0" borderId="1" xfId="0" applyNumberFormat="1" applyFont="1" applyBorder="1" applyAlignment="1">
      <alignment horizontal="center" vertical="center"/>
    </xf>
    <xf numFmtId="176" fontId="32" fillId="6" borderId="1" xfId="0" applyNumberFormat="1" applyFont="1" applyFill="1" applyBorder="1" applyAlignment="1">
      <alignment horizontal="right" vertical="center"/>
    </xf>
    <xf numFmtId="176" fontId="32" fillId="0" borderId="1" xfId="0" applyNumberFormat="1" applyFont="1" applyBorder="1" applyAlignment="1">
      <alignment horizontal="right" vertical="center"/>
    </xf>
    <xf numFmtId="176" fontId="33" fillId="6" borderId="1" xfId="0" applyNumberFormat="1" applyFont="1" applyFill="1" applyBorder="1" applyAlignment="1">
      <alignment horizontal="right" vertical="center" wrapText="1"/>
    </xf>
    <xf numFmtId="176" fontId="33" fillId="0" borderId="0" xfId="0" applyNumberFormat="1" applyFont="1" applyFill="1" applyBorder="1" applyAlignment="1">
      <alignment horizontal="right" vertical="center" wrapText="1"/>
    </xf>
    <xf numFmtId="0" fontId="32" fillId="7" borderId="1" xfId="0" applyFont="1" applyFill="1" applyBorder="1" applyAlignment="1">
      <alignment horizontal="right" vertical="center"/>
    </xf>
    <xf numFmtId="176" fontId="32" fillId="7" borderId="1" xfId="0" applyNumberFormat="1" applyFont="1" applyFill="1" applyBorder="1" applyAlignment="1">
      <alignment horizontal="right" vertical="center"/>
    </xf>
    <xf numFmtId="176" fontId="33" fillId="7" borderId="1" xfId="0" applyNumberFormat="1" applyFont="1" applyFill="1" applyBorder="1" applyAlignment="1">
      <alignment horizontal="right" vertical="center" wrapText="1"/>
    </xf>
    <xf numFmtId="178" fontId="32" fillId="6" borderId="1" xfId="0" applyNumberFormat="1" applyFont="1" applyFill="1" applyBorder="1" applyAlignment="1">
      <alignment horizontal="right" vertical="center"/>
    </xf>
    <xf numFmtId="178" fontId="32" fillId="0" borderId="1" xfId="0" applyNumberFormat="1" applyFont="1" applyBorder="1" applyAlignment="1">
      <alignment horizontal="right" vertical="center"/>
    </xf>
    <xf numFmtId="178" fontId="33" fillId="0" borderId="1" xfId="0" applyNumberFormat="1" applyFont="1" applyBorder="1" applyAlignment="1">
      <alignment horizontal="right" vertical="center"/>
    </xf>
    <xf numFmtId="178" fontId="35" fillId="0" borderId="1" xfId="0" applyNumberFormat="1" applyFont="1" applyFill="1" applyBorder="1" applyAlignment="1">
      <alignment horizontal="right" vertical="center"/>
    </xf>
    <xf numFmtId="178" fontId="32" fillId="0" borderId="1" xfId="0" applyNumberFormat="1" applyFont="1" applyBorder="1" applyAlignment="1">
      <alignment horizontal="right" vertical="center" wrapText="1"/>
    </xf>
    <xf numFmtId="178" fontId="32" fillId="0" borderId="0" xfId="0" applyNumberFormat="1" applyFont="1" applyBorder="1" applyAlignment="1">
      <alignment horizontal="right" vertical="center" wrapText="1"/>
    </xf>
    <xf numFmtId="178" fontId="32" fillId="7" borderId="1" xfId="0" applyNumberFormat="1" applyFont="1" applyFill="1" applyBorder="1" applyAlignment="1">
      <alignment horizontal="right" vertical="center"/>
    </xf>
    <xf numFmtId="180" fontId="32" fillId="0" borderId="1" xfId="0" applyNumberFormat="1" applyFont="1" applyFill="1" applyBorder="1" applyAlignment="1">
      <alignment horizontal="right" vertical="center"/>
    </xf>
    <xf numFmtId="0" fontId="34" fillId="0" borderId="7" xfId="0" applyFont="1" applyBorder="1" applyAlignment="1">
      <alignment horizontal="left" vertical="center" wrapText="1"/>
    </xf>
    <xf numFmtId="0" fontId="34" fillId="0" borderId="1" xfId="0" applyFont="1" applyFill="1" applyBorder="1" applyAlignment="1">
      <alignment horizontal="left" vertical="center" wrapText="1"/>
    </xf>
    <xf numFmtId="58" fontId="34" fillId="0" borderId="1" xfId="0" applyNumberFormat="1" applyFont="1" applyFill="1" applyBorder="1" applyAlignment="1">
      <alignment horizontal="left" vertical="center" wrapText="1"/>
    </xf>
    <xf numFmtId="0" fontId="34" fillId="7" borderId="1" xfId="0" applyFont="1" applyFill="1" applyBorder="1" applyAlignment="1">
      <alignment horizontal="left" vertical="center" wrapText="1"/>
    </xf>
    <xf numFmtId="0" fontId="34" fillId="7" borderId="3" xfId="0" applyFont="1" applyFill="1" applyBorder="1" applyAlignment="1">
      <alignment horizontal="left" vertical="center" wrapText="1"/>
    </xf>
    <xf numFmtId="0" fontId="34" fillId="0" borderId="6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176" fontId="32" fillId="6" borderId="1" xfId="0" applyNumberFormat="1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left" vertical="center"/>
    </xf>
    <xf numFmtId="0" fontId="32" fillId="6" borderId="0" xfId="0" applyFont="1" applyFill="1" applyBorder="1" applyAlignment="1">
      <alignment horizontal="right" vertical="center"/>
    </xf>
    <xf numFmtId="178" fontId="32" fillId="6" borderId="0" xfId="0" applyNumberFormat="1" applyFont="1" applyFill="1" applyAlignment="1">
      <alignment horizontal="right" vertical="center"/>
    </xf>
    <xf numFmtId="0" fontId="32" fillId="6" borderId="0" xfId="0" applyFont="1" applyFill="1" applyAlignment="1">
      <alignment horizontal="right" vertical="center"/>
    </xf>
    <xf numFmtId="58" fontId="32" fillId="6" borderId="1" xfId="0" applyNumberFormat="1" applyFont="1" applyFill="1" applyBorder="1" applyAlignment="1">
      <alignment horizontal="right" vertical="center"/>
    </xf>
    <xf numFmtId="178" fontId="32" fillId="0" borderId="0" xfId="0" applyNumberFormat="1" applyFont="1" applyBorder="1" applyAlignment="1">
      <alignment horizontal="right" vertical="center"/>
    </xf>
    <xf numFmtId="0" fontId="33" fillId="7" borderId="0" xfId="0" applyFont="1" applyFill="1" applyAlignment="1">
      <alignment horizontal="right" vertical="center"/>
    </xf>
    <xf numFmtId="178" fontId="33" fillId="7" borderId="0" xfId="0" applyNumberFormat="1" applyFont="1" applyFill="1" applyAlignment="1">
      <alignment horizontal="right" vertical="center"/>
    </xf>
    <xf numFmtId="177" fontId="32" fillId="7" borderId="1" xfId="0" applyNumberFormat="1" applyFont="1" applyFill="1" applyBorder="1" applyAlignment="1">
      <alignment horizontal="right" vertical="center"/>
    </xf>
    <xf numFmtId="58" fontId="32" fillId="7" borderId="1" xfId="0" applyNumberFormat="1" applyFont="1" applyFill="1" applyBorder="1" applyAlignment="1">
      <alignment horizontal="right" vertical="center"/>
    </xf>
    <xf numFmtId="58" fontId="32" fillId="6" borderId="1" xfId="0" applyNumberFormat="1" applyFont="1" applyFill="1" applyBorder="1" applyAlignment="1">
      <alignment horizontal="right" vertical="center" wrapText="1"/>
    </xf>
    <xf numFmtId="58" fontId="32" fillId="6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6" borderId="0" xfId="0" applyFont="1" applyFill="1" applyBorder="1" applyAlignment="1">
      <alignment horizontal="right" vertical="center"/>
    </xf>
    <xf numFmtId="178" fontId="32" fillId="6" borderId="0" xfId="0" applyNumberFormat="1" applyFont="1" applyFill="1" applyBorder="1" applyAlignment="1">
      <alignment horizontal="right" vertical="center"/>
    </xf>
    <xf numFmtId="178" fontId="34" fillId="6" borderId="0" xfId="0" applyNumberFormat="1" applyFont="1" applyFill="1" applyBorder="1" applyAlignment="1">
      <alignment horizontal="right" vertical="center"/>
    </xf>
    <xf numFmtId="176" fontId="35" fillId="6" borderId="1" xfId="0" applyNumberFormat="1" applyFont="1" applyFill="1" applyBorder="1" applyAlignment="1">
      <alignment horizontal="right" vertical="center"/>
    </xf>
    <xf numFmtId="176" fontId="35" fillId="7" borderId="1" xfId="0" applyNumberFormat="1" applyFont="1" applyFill="1" applyBorder="1" applyAlignment="1">
      <alignment horizontal="right" vertical="center"/>
    </xf>
    <xf numFmtId="0" fontId="37" fillId="0" borderId="0" xfId="0" applyFont="1" applyAlignment="1">
      <alignment horizontal="justify" vertical="center"/>
    </xf>
    <xf numFmtId="0" fontId="32" fillId="0" borderId="0" xfId="0" applyFont="1" applyAlignment="1">
      <alignment horizontal="justify" vertical="center"/>
    </xf>
    <xf numFmtId="0" fontId="12" fillId="0" borderId="0" xfId="0" applyFont="1" applyAlignment="1">
      <alignment horizontal="justify" vertical="center"/>
    </xf>
    <xf numFmtId="0" fontId="40" fillId="0" borderId="0" xfId="0" applyFont="1" applyAlignment="1">
      <alignment horizontal="justify" vertical="center" wrapText="1"/>
    </xf>
    <xf numFmtId="0" fontId="41" fillId="32" borderId="25" xfId="0" applyFont="1" applyFill="1" applyBorder="1" applyAlignment="1">
      <alignment horizontal="center" vertical="center"/>
    </xf>
    <xf numFmtId="0" fontId="42" fillId="0" borderId="25" xfId="0" applyFont="1" applyBorder="1" applyAlignment="1">
      <alignment horizontal="right" vertical="center" wrapText="1"/>
    </xf>
    <xf numFmtId="0" fontId="38" fillId="0" borderId="0" xfId="0" applyFont="1" applyAlignment="1">
      <alignment vertical="center" wrapText="1"/>
    </xf>
    <xf numFmtId="0" fontId="34" fillId="33" borderId="29" xfId="0" applyFont="1" applyFill="1" applyBorder="1" applyAlignment="1">
      <alignment horizontal="left" vertical="center" wrapText="1"/>
    </xf>
    <xf numFmtId="0" fontId="34" fillId="33" borderId="28" xfId="0" applyFont="1" applyFill="1" applyBorder="1" applyAlignment="1">
      <alignment horizontal="left" vertical="center" wrapText="1"/>
    </xf>
    <xf numFmtId="0" fontId="34" fillId="0" borderId="25" xfId="0" applyFont="1" applyBorder="1" applyAlignment="1">
      <alignment horizontal="left" vertical="center" wrapText="1"/>
    </xf>
    <xf numFmtId="0" fontId="34" fillId="0" borderId="26" xfId="0" applyFont="1" applyBorder="1" applyAlignment="1">
      <alignment horizontal="left" vertical="center" wrapText="1"/>
    </xf>
    <xf numFmtId="58" fontId="32" fillId="31" borderId="1" xfId="0" applyNumberFormat="1" applyFont="1" applyFill="1" applyBorder="1" applyAlignment="1">
      <alignment horizontal="right" vertical="center"/>
    </xf>
    <xf numFmtId="179" fontId="32" fillId="31" borderId="1" xfId="0" applyNumberFormat="1" applyFont="1" applyFill="1" applyBorder="1" applyAlignment="1">
      <alignment horizontal="right" vertical="center"/>
    </xf>
    <xf numFmtId="178" fontId="32" fillId="31" borderId="1" xfId="0" applyNumberFormat="1" applyFont="1" applyFill="1" applyBorder="1" applyAlignment="1">
      <alignment horizontal="right" vertical="center"/>
    </xf>
    <xf numFmtId="4" fontId="32" fillId="31" borderId="1" xfId="0" applyNumberFormat="1" applyFont="1" applyFill="1" applyBorder="1" applyAlignment="1">
      <alignment horizontal="right" vertical="center"/>
    </xf>
    <xf numFmtId="177" fontId="32" fillId="31" borderId="1" xfId="0" applyNumberFormat="1" applyFont="1" applyFill="1" applyBorder="1" applyAlignment="1">
      <alignment horizontal="right" vertical="center"/>
    </xf>
    <xf numFmtId="0" fontId="32" fillId="31" borderId="1" xfId="0" applyFont="1" applyFill="1" applyBorder="1" applyAlignment="1">
      <alignment horizontal="right" vertical="center"/>
    </xf>
    <xf numFmtId="0" fontId="32" fillId="31" borderId="0" xfId="0" applyFont="1" applyFill="1" applyAlignment="1">
      <alignment horizontal="right" vertical="center"/>
    </xf>
    <xf numFmtId="0" fontId="0" fillId="31" borderId="0" xfId="0" applyFill="1"/>
    <xf numFmtId="178" fontId="32" fillId="7" borderId="1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4" fillId="34" borderId="1" xfId="0" applyFont="1" applyFill="1" applyBorder="1" applyAlignment="1">
      <alignment horizontal="center" vertical="center"/>
    </xf>
    <xf numFmtId="181" fontId="33" fillId="34" borderId="1" xfId="0" applyNumberFormat="1" applyFont="1" applyFill="1" applyBorder="1" applyAlignment="1">
      <alignment horizontal="center" vertical="center"/>
    </xf>
    <xf numFmtId="0" fontId="0" fillId="0" borderId="0" xfId="0" applyFill="1"/>
    <xf numFmtId="4" fontId="32" fillId="0" borderId="1" xfId="0" applyNumberFormat="1" applyFont="1" applyBorder="1" applyAlignment="1">
      <alignment horizontal="right"/>
    </xf>
    <xf numFmtId="58" fontId="32" fillId="31" borderId="0" xfId="0" applyNumberFormat="1" applyFont="1" applyFill="1"/>
    <xf numFmtId="177" fontId="32" fillId="0" borderId="1" xfId="0" quotePrefix="1" applyNumberFormat="1" applyFont="1" applyBorder="1" applyAlignment="1">
      <alignment horizontal="center" vertical="center"/>
    </xf>
    <xf numFmtId="58" fontId="32" fillId="0" borderId="0" xfId="0" applyNumberFormat="1" applyFont="1" applyAlignment="1">
      <alignment horizontal="left" vertical="center"/>
    </xf>
    <xf numFmtId="22" fontId="32" fillId="0" borderId="0" xfId="0" applyNumberFormat="1" applyFont="1" applyAlignment="1">
      <alignment horizontal="right" vertical="center"/>
    </xf>
    <xf numFmtId="14" fontId="32" fillId="0" borderId="0" xfId="0" applyNumberFormat="1" applyFont="1" applyAlignment="1">
      <alignment horizontal="right" vertical="center"/>
    </xf>
    <xf numFmtId="0" fontId="0" fillId="0" borderId="1" xfId="0" applyBorder="1"/>
    <xf numFmtId="176" fontId="35" fillId="7" borderId="0" xfId="0" applyNumberFormat="1" applyFont="1" applyFill="1" applyBorder="1" applyAlignment="1">
      <alignment horizontal="right" vertical="center"/>
    </xf>
    <xf numFmtId="176" fontId="46" fillId="6" borderId="1" xfId="0" applyNumberFormat="1" applyFont="1" applyFill="1" applyBorder="1" applyAlignment="1">
      <alignment horizontal="center" vertical="center"/>
    </xf>
    <xf numFmtId="0" fontId="33" fillId="35" borderId="0" xfId="0" applyFont="1" applyFill="1" applyAlignment="1">
      <alignment horizontal="right" vertical="center"/>
    </xf>
    <xf numFmtId="176" fontId="35" fillId="35" borderId="0" xfId="0" applyNumberFormat="1" applyFont="1" applyFill="1" applyBorder="1" applyAlignment="1">
      <alignment horizontal="right" vertical="center"/>
    </xf>
    <xf numFmtId="177" fontId="32" fillId="0" borderId="13" xfId="0" applyNumberFormat="1" applyFont="1" applyBorder="1" applyAlignment="1">
      <alignment horizontal="right" vertical="center"/>
    </xf>
    <xf numFmtId="177" fontId="32" fillId="6" borderId="0" xfId="0" applyNumberFormat="1" applyFont="1" applyFill="1" applyBorder="1" applyAlignment="1">
      <alignment horizontal="right" vertical="center"/>
    </xf>
    <xf numFmtId="177" fontId="32" fillId="6" borderId="1" xfId="0" applyNumberFormat="1" applyFont="1" applyFill="1" applyBorder="1" applyAlignment="1">
      <alignment horizontal="right" vertical="center"/>
    </xf>
    <xf numFmtId="177" fontId="32" fillId="7" borderId="13" xfId="0" applyNumberFormat="1" applyFont="1" applyFill="1" applyBorder="1" applyAlignment="1">
      <alignment horizontal="right" vertical="center"/>
    </xf>
    <xf numFmtId="176" fontId="32" fillId="7" borderId="13" xfId="0" applyNumberFormat="1" applyFont="1" applyFill="1" applyBorder="1" applyAlignment="1">
      <alignment horizontal="right" vertical="center"/>
    </xf>
    <xf numFmtId="178" fontId="32" fillId="7" borderId="13" xfId="0" applyNumberFormat="1" applyFont="1" applyFill="1" applyBorder="1" applyAlignment="1">
      <alignment horizontal="right" vertical="center"/>
    </xf>
    <xf numFmtId="176" fontId="32" fillId="0" borderId="13" xfId="0" applyNumberFormat="1" applyFont="1" applyBorder="1" applyAlignment="1">
      <alignment horizontal="right" vertical="center"/>
    </xf>
    <xf numFmtId="0" fontId="32" fillId="35" borderId="0" xfId="0" applyFont="1" applyFill="1" applyAlignment="1">
      <alignment horizontal="right" vertical="center"/>
    </xf>
    <xf numFmtId="182" fontId="32" fillId="0" borderId="0" xfId="0" applyNumberFormat="1" applyFont="1" applyAlignment="1">
      <alignment horizontal="right" vertical="center"/>
    </xf>
    <xf numFmtId="0" fontId="43" fillId="0" borderId="0" xfId="0" applyFont="1" applyAlignment="1">
      <alignment horizontal="center" vertical="center"/>
    </xf>
    <xf numFmtId="0" fontId="49" fillId="36" borderId="1" xfId="0" applyFont="1" applyFill="1" applyBorder="1" applyAlignment="1">
      <alignment horizontal="center" vertical="center" wrapText="1"/>
    </xf>
    <xf numFmtId="0" fontId="49" fillId="2" borderId="1" xfId="0" applyFont="1" applyFill="1" applyBorder="1" applyAlignment="1">
      <alignment horizontal="center" vertical="center" wrapText="1"/>
    </xf>
    <xf numFmtId="182" fontId="49" fillId="35" borderId="1" xfId="0" applyNumberFormat="1" applyFont="1" applyFill="1" applyBorder="1" applyAlignment="1">
      <alignment horizontal="center" vertical="center" wrapText="1"/>
    </xf>
    <xf numFmtId="0" fontId="48" fillId="35" borderId="1" xfId="0" applyFont="1" applyFill="1" applyBorder="1" applyAlignment="1">
      <alignment horizontal="center" vertical="center"/>
    </xf>
    <xf numFmtId="0" fontId="0" fillId="35" borderId="0" xfId="0" applyFill="1"/>
    <xf numFmtId="14" fontId="48" fillId="35" borderId="1" xfId="0" applyNumberFormat="1" applyFont="1" applyFill="1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top" wrapText="1"/>
    </xf>
    <xf numFmtId="0" fontId="50" fillId="36" borderId="1" xfId="0" applyFont="1" applyFill="1" applyBorder="1" applyAlignment="1">
      <alignment horizontal="center" vertical="top" wrapText="1"/>
    </xf>
    <xf numFmtId="0" fontId="43" fillId="0" borderId="0" xfId="0" applyFont="1" applyFill="1" applyAlignment="1">
      <alignment horizontal="center" vertical="center" wrapText="1"/>
    </xf>
    <xf numFmtId="182" fontId="52" fillId="35" borderId="1" xfId="0" applyNumberFormat="1" applyFont="1" applyFill="1" applyBorder="1" applyAlignment="1">
      <alignment horizontal="center" vertical="center"/>
    </xf>
    <xf numFmtId="182" fontId="51" fillId="0" borderId="1" xfId="0" applyNumberFormat="1" applyFont="1" applyBorder="1" applyAlignment="1">
      <alignment horizontal="center" vertical="center" wrapText="1"/>
    </xf>
    <xf numFmtId="182" fontId="53" fillId="2" borderId="1" xfId="0" applyNumberFormat="1" applyFont="1" applyFill="1" applyBorder="1" applyAlignment="1">
      <alignment horizontal="center" vertical="center" wrapText="1"/>
    </xf>
    <xf numFmtId="182" fontId="53" fillId="38" borderId="1" xfId="0" applyNumberFormat="1" applyFont="1" applyFill="1" applyBorder="1" applyAlignment="1">
      <alignment horizontal="center" vertical="center" wrapText="1"/>
    </xf>
    <xf numFmtId="182" fontId="53" fillId="37" borderId="1" xfId="0" applyNumberFormat="1" applyFont="1" applyFill="1" applyBorder="1" applyAlignment="1">
      <alignment horizontal="center" vertical="center" wrapText="1"/>
    </xf>
    <xf numFmtId="182" fontId="54" fillId="0" borderId="1" xfId="0" applyNumberFormat="1" applyFont="1" applyBorder="1" applyAlignment="1">
      <alignment horizontal="center"/>
    </xf>
    <xf numFmtId="182" fontId="56" fillId="35" borderId="1" xfId="0" applyNumberFormat="1" applyFont="1" applyFill="1" applyBorder="1" applyAlignment="1">
      <alignment horizontal="center" vertical="center"/>
    </xf>
    <xf numFmtId="182" fontId="1" fillId="0" borderId="1" xfId="0" applyNumberFormat="1" applyFont="1" applyBorder="1" applyAlignment="1">
      <alignment horizontal="center"/>
    </xf>
    <xf numFmtId="182" fontId="57" fillId="0" borderId="1" xfId="0" applyNumberFormat="1" applyFont="1" applyBorder="1" applyAlignment="1">
      <alignment horizontal="center" vertical="center" wrapText="1"/>
    </xf>
    <xf numFmtId="182" fontId="58" fillId="35" borderId="1" xfId="0" applyNumberFormat="1" applyFont="1" applyFill="1" applyBorder="1" applyAlignment="1">
      <alignment horizontal="center" vertical="center" wrapText="1"/>
    </xf>
    <xf numFmtId="182" fontId="58" fillId="35" borderId="1" xfId="0" applyNumberFormat="1" applyFont="1" applyFill="1" applyBorder="1" applyAlignment="1">
      <alignment horizontal="center" vertical="center"/>
    </xf>
    <xf numFmtId="182" fontId="59" fillId="2" borderId="1" xfId="0" applyNumberFormat="1" applyFont="1" applyFill="1" applyBorder="1" applyAlignment="1">
      <alignment horizontal="center" vertical="center" wrapText="1"/>
    </xf>
    <xf numFmtId="182" fontId="59" fillId="38" borderId="1" xfId="0" applyNumberFormat="1" applyFont="1" applyFill="1" applyBorder="1" applyAlignment="1">
      <alignment horizontal="center" vertical="center" wrapText="1"/>
    </xf>
    <xf numFmtId="182" fontId="59" fillId="37" borderId="1" xfId="0" applyNumberFormat="1" applyFont="1" applyFill="1" applyBorder="1" applyAlignment="1">
      <alignment horizontal="center" vertical="center" wrapText="1"/>
    </xf>
    <xf numFmtId="182" fontId="41" fillId="0" borderId="1" xfId="0" applyNumberFormat="1" applyFont="1" applyBorder="1" applyAlignment="1">
      <alignment horizontal="center"/>
    </xf>
    <xf numFmtId="182" fontId="1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horizontal="center" vertical="center" wrapText="1"/>
    </xf>
    <xf numFmtId="58" fontId="52" fillId="0" borderId="1" xfId="0" applyNumberFormat="1" applyFont="1" applyBorder="1" applyAlignment="1">
      <alignment horizontal="center" vertical="center"/>
    </xf>
    <xf numFmtId="58" fontId="56" fillId="0" borderId="1" xfId="0" applyNumberFormat="1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49" fillId="36" borderId="1" xfId="0" applyFont="1" applyFill="1" applyBorder="1" applyAlignment="1">
      <alignment horizontal="center" vertical="top" wrapText="1"/>
    </xf>
    <xf numFmtId="179" fontId="47" fillId="3" borderId="1" xfId="0" applyNumberFormat="1" applyFont="1" applyFill="1" applyBorder="1" applyAlignment="1">
      <alignment horizontal="center" vertical="center" wrapText="1"/>
    </xf>
    <xf numFmtId="179" fontId="49" fillId="36" borderId="1" xfId="0" applyNumberFormat="1" applyFont="1" applyFill="1" applyBorder="1" applyAlignment="1">
      <alignment horizontal="center" vertical="center" wrapText="1"/>
    </xf>
    <xf numFmtId="179" fontId="49" fillId="2" borderId="1" xfId="0" applyNumberFormat="1" applyFont="1" applyFill="1" applyBorder="1" applyAlignment="1">
      <alignment horizontal="center" vertical="center" wrapText="1"/>
    </xf>
    <xf numFmtId="179" fontId="50" fillId="2" borderId="1" xfId="0" applyNumberFormat="1" applyFont="1" applyFill="1" applyBorder="1" applyAlignment="1">
      <alignment horizontal="center" vertical="top" wrapText="1"/>
    </xf>
    <xf numFmtId="179" fontId="50" fillId="36" borderId="1" xfId="0" applyNumberFormat="1" applyFont="1" applyFill="1" applyBorder="1" applyAlignment="1">
      <alignment horizontal="center" vertical="top" wrapText="1"/>
    </xf>
    <xf numFmtId="179" fontId="49" fillId="36" borderId="1" xfId="0" applyNumberFormat="1" applyFont="1" applyFill="1" applyBorder="1" applyAlignment="1">
      <alignment horizontal="center" vertical="top" wrapText="1"/>
    </xf>
    <xf numFmtId="179" fontId="52" fillId="0" borderId="1" xfId="0" applyNumberFormat="1" applyFont="1" applyBorder="1" applyAlignment="1">
      <alignment horizontal="center" vertical="center"/>
    </xf>
    <xf numFmtId="0" fontId="48" fillId="0" borderId="0" xfId="0" applyFont="1"/>
    <xf numFmtId="179" fontId="54" fillId="0" borderId="1" xfId="0" applyNumberFormat="1" applyFont="1" applyBorder="1" applyAlignment="1">
      <alignment horizontal="center" vertical="center"/>
    </xf>
    <xf numFmtId="14" fontId="52" fillId="0" borderId="1" xfId="0" applyNumberFormat="1" applyFont="1" applyBorder="1" applyAlignment="1">
      <alignment horizontal="center" vertical="center"/>
    </xf>
    <xf numFmtId="0" fontId="61" fillId="36" borderId="1" xfId="0" applyFont="1" applyFill="1" applyBorder="1" applyAlignment="1">
      <alignment horizontal="center" vertical="top" wrapText="1"/>
    </xf>
    <xf numFmtId="179" fontId="61" fillId="36" borderId="1" xfId="0" applyNumberFormat="1" applyFont="1" applyFill="1" applyBorder="1" applyAlignment="1">
      <alignment horizontal="center" vertical="top" wrapText="1"/>
    </xf>
    <xf numFmtId="0" fontId="56" fillId="0" borderId="13" xfId="0" applyFont="1" applyBorder="1" applyAlignment="1">
      <alignment horizontal="center" vertical="center"/>
    </xf>
    <xf numFmtId="179" fontId="50" fillId="36" borderId="2" xfId="0" applyNumberFormat="1" applyFont="1" applyFill="1" applyBorder="1" applyAlignment="1">
      <alignment horizontal="center" vertical="top" wrapText="1"/>
    </xf>
    <xf numFmtId="0" fontId="50" fillId="36" borderId="2" xfId="0" applyFont="1" applyFill="1" applyBorder="1" applyAlignment="1">
      <alignment horizontal="center" vertical="top" wrapText="1"/>
    </xf>
    <xf numFmtId="179" fontId="52" fillId="0" borderId="6" xfId="0" applyNumberFormat="1" applyFont="1" applyBorder="1" applyAlignment="1">
      <alignment horizontal="center" vertical="center"/>
    </xf>
    <xf numFmtId="0" fontId="52" fillId="0" borderId="6" xfId="0" applyFont="1" applyBorder="1" applyAlignment="1">
      <alignment horizontal="center" vertical="center"/>
    </xf>
    <xf numFmtId="182" fontId="50" fillId="2" borderId="1" xfId="0" applyNumberFormat="1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179" fontId="0" fillId="0" borderId="1" xfId="0" applyNumberFormat="1" applyBorder="1" applyAlignment="1" applyProtection="1">
      <alignment horizontal="center"/>
      <protection locked="0"/>
    </xf>
    <xf numFmtId="0" fontId="52" fillId="35" borderId="1" xfId="0" applyFont="1" applyFill="1" applyBorder="1" applyAlignment="1">
      <alignment horizontal="center" vertical="center"/>
    </xf>
    <xf numFmtId="0" fontId="56" fillId="35" borderId="1" xfId="0" applyFont="1" applyFill="1" applyBorder="1" applyAlignment="1">
      <alignment horizontal="center" vertical="center"/>
    </xf>
    <xf numFmtId="14" fontId="52" fillId="35" borderId="1" xfId="0" applyNumberFormat="1" applyFont="1" applyFill="1" applyBorder="1" applyAlignment="1">
      <alignment horizontal="center" vertical="center"/>
    </xf>
    <xf numFmtId="0" fontId="52" fillId="35" borderId="1" xfId="0" applyNumberFormat="1" applyFont="1" applyFill="1" applyBorder="1" applyAlignment="1">
      <alignment horizontal="center" vertical="center"/>
    </xf>
    <xf numFmtId="178" fontId="32" fillId="35" borderId="1" xfId="0" applyNumberFormat="1" applyFont="1" applyFill="1" applyBorder="1" applyAlignment="1">
      <alignment horizontal="right" vertical="center"/>
    </xf>
    <xf numFmtId="179" fontId="32" fillId="35" borderId="1" xfId="0" applyNumberFormat="1" applyFont="1" applyFill="1" applyBorder="1" applyAlignment="1">
      <alignment horizontal="right" vertical="center"/>
    </xf>
    <xf numFmtId="0" fontId="56" fillId="35" borderId="1" xfId="0" applyNumberFormat="1" applyFont="1" applyFill="1" applyBorder="1" applyAlignment="1">
      <alignment horizontal="center" vertical="center"/>
    </xf>
    <xf numFmtId="179" fontId="52" fillId="35" borderId="1" xfId="0" applyNumberFormat="1" applyFont="1" applyFill="1" applyBorder="1" applyAlignment="1">
      <alignment horizontal="center" vertical="center"/>
    </xf>
    <xf numFmtId="179" fontId="56" fillId="35" borderId="1" xfId="0" applyNumberFormat="1" applyFont="1" applyFill="1" applyBorder="1" applyAlignment="1">
      <alignment horizontal="center" vertical="center"/>
    </xf>
    <xf numFmtId="0" fontId="33" fillId="3" borderId="0" xfId="0" applyFont="1" applyFill="1" applyAlignment="1">
      <alignment horizontal="center" vertical="top"/>
    </xf>
    <xf numFmtId="183" fontId="33" fillId="3" borderId="1" xfId="0" applyNumberFormat="1" applyFont="1" applyFill="1" applyBorder="1" applyAlignment="1">
      <alignment horizontal="center" vertical="top" wrapText="1"/>
    </xf>
    <xf numFmtId="178" fontId="33" fillId="3" borderId="1" xfId="0" applyNumberFormat="1" applyFont="1" applyFill="1" applyBorder="1" applyAlignment="1">
      <alignment horizontal="center" vertical="top" wrapText="1"/>
    </xf>
    <xf numFmtId="177" fontId="33" fillId="3" borderId="1" xfId="0" applyNumberFormat="1" applyFont="1" applyFill="1" applyBorder="1" applyAlignment="1">
      <alignment horizontal="center" vertical="top" wrapText="1"/>
    </xf>
    <xf numFmtId="183" fontId="52" fillId="0" borderId="1" xfId="0" applyNumberFormat="1" applyFont="1" applyBorder="1" applyAlignment="1">
      <alignment horizontal="center" vertical="center"/>
    </xf>
    <xf numFmtId="14" fontId="52" fillId="35" borderId="3" xfId="0" applyNumberFormat="1" applyFont="1" applyFill="1" applyBorder="1" applyAlignment="1">
      <alignment horizontal="center" vertical="center"/>
    </xf>
    <xf numFmtId="0" fontId="52" fillId="35" borderId="3" xfId="0" applyNumberFormat="1" applyFont="1" applyFill="1" applyBorder="1" applyAlignment="1">
      <alignment horizontal="center" vertical="center"/>
    </xf>
    <xf numFmtId="178" fontId="33" fillId="5" borderId="1" xfId="0" applyNumberFormat="1" applyFont="1" applyFill="1" applyBorder="1" applyAlignment="1">
      <alignment horizontal="center" vertical="top" wrapText="1"/>
    </xf>
    <xf numFmtId="178" fontId="33" fillId="39" borderId="1" xfId="0" applyNumberFormat="1" applyFont="1" applyFill="1" applyBorder="1" applyAlignment="1">
      <alignment horizontal="center" vertical="top" wrapText="1"/>
    </xf>
    <xf numFmtId="178" fontId="52" fillId="0" borderId="1" xfId="0" applyNumberFormat="1" applyFont="1" applyBorder="1" applyAlignment="1">
      <alignment horizontal="center" vertical="center"/>
    </xf>
    <xf numFmtId="178" fontId="0" fillId="0" borderId="0" xfId="0" applyNumberFormat="1"/>
    <xf numFmtId="179" fontId="48" fillId="35" borderId="1" xfId="0" applyNumberFormat="1" applyFont="1" applyFill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4" fillId="35" borderId="1" xfId="0" applyFont="1" applyFill="1" applyBorder="1" applyAlignment="1">
      <alignment horizontal="center" vertical="center"/>
    </xf>
    <xf numFmtId="14" fontId="56" fillId="0" borderId="1" xfId="0" applyNumberFormat="1" applyFont="1" applyBorder="1" applyAlignment="1">
      <alignment horizontal="center" vertical="center"/>
    </xf>
    <xf numFmtId="0" fontId="65" fillId="35" borderId="1" xfId="0" applyFont="1" applyFill="1" applyBorder="1" applyAlignment="1">
      <alignment horizontal="center" vertical="center"/>
    </xf>
    <xf numFmtId="0" fontId="66" fillId="35" borderId="1" xfId="0" applyFont="1" applyFill="1" applyBorder="1" applyAlignment="1">
      <alignment horizontal="center" vertical="center" wrapText="1"/>
    </xf>
    <xf numFmtId="179" fontId="47" fillId="35" borderId="1" xfId="0" applyNumberFormat="1" applyFont="1" applyFill="1" applyBorder="1" applyAlignment="1">
      <alignment horizontal="center" vertical="center" wrapText="1"/>
    </xf>
    <xf numFmtId="0" fontId="47" fillId="35" borderId="1" xfId="0" applyFont="1" applyFill="1" applyBorder="1" applyAlignment="1">
      <alignment horizontal="center" vertical="center" wrapText="1"/>
    </xf>
    <xf numFmtId="14" fontId="65" fillId="35" borderId="1" xfId="0" applyNumberFormat="1" applyFont="1" applyFill="1" applyBorder="1" applyAlignment="1">
      <alignment horizontal="center" vertical="center"/>
    </xf>
    <xf numFmtId="0" fontId="66" fillId="35" borderId="1" xfId="0" applyFont="1" applyFill="1" applyBorder="1" applyAlignment="1">
      <alignment horizontal="center" vertical="center"/>
    </xf>
    <xf numFmtId="0" fontId="43" fillId="0" borderId="0" xfId="0" applyFont="1"/>
    <xf numFmtId="179" fontId="0" fillId="0" borderId="0" xfId="0" applyNumberFormat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179" fontId="51" fillId="0" borderId="1" xfId="0" applyNumberFormat="1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178" fontId="54" fillId="0" borderId="1" xfId="0" applyNumberFormat="1" applyFont="1" applyBorder="1" applyAlignment="1">
      <alignment horizontal="center" vertical="center"/>
    </xf>
    <xf numFmtId="0" fontId="63" fillId="0" borderId="0" xfId="0" applyFont="1"/>
    <xf numFmtId="0" fontId="33" fillId="6" borderId="0" xfId="0" quotePrefix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center"/>
    </xf>
    <xf numFmtId="0" fontId="10" fillId="2" borderId="8" xfId="0" applyFont="1" applyFill="1" applyBorder="1" applyAlignment="1">
      <alignment vertical="center" wrapText="1"/>
    </xf>
    <xf numFmtId="0" fontId="10" fillId="2" borderId="9" xfId="0" applyFont="1" applyFill="1" applyBorder="1" applyAlignment="1">
      <alignment vertical="center" wrapText="1"/>
    </xf>
    <xf numFmtId="0" fontId="10" fillId="2" borderId="12" xfId="0" applyFont="1" applyFill="1" applyBorder="1" applyAlignment="1">
      <alignment vertical="center" wrapText="1"/>
    </xf>
    <xf numFmtId="0" fontId="10" fillId="2" borderId="7" xfId="0" applyFont="1" applyFill="1" applyBorder="1" applyAlignment="1">
      <alignment vertical="center" wrapText="1"/>
    </xf>
    <xf numFmtId="0" fontId="10" fillId="2" borderId="2" xfId="0" applyFont="1" applyFill="1" applyBorder="1" applyAlignment="1">
      <alignment vertical="center" wrapText="1"/>
    </xf>
    <xf numFmtId="0" fontId="10" fillId="2" borderId="6" xfId="0" applyFont="1" applyFill="1" applyBorder="1" applyAlignment="1">
      <alignment vertical="center" wrapText="1"/>
    </xf>
    <xf numFmtId="0" fontId="10" fillId="2" borderId="5" xfId="0" applyFont="1" applyFill="1" applyBorder="1" applyAlignment="1">
      <alignment vertical="center" wrapText="1"/>
    </xf>
    <xf numFmtId="0" fontId="10" fillId="2" borderId="13" xfId="0" applyFont="1" applyFill="1" applyBorder="1" applyAlignment="1">
      <alignment vertical="center" wrapText="1"/>
    </xf>
    <xf numFmtId="0" fontId="10" fillId="2" borderId="4" xfId="0" applyFont="1" applyFill="1" applyBorder="1" applyAlignment="1">
      <alignment vertical="center" wrapText="1"/>
    </xf>
    <xf numFmtId="0" fontId="10" fillId="2" borderId="3" xfId="0" applyFont="1" applyFill="1" applyBorder="1" applyAlignment="1">
      <alignment vertical="center" wrapText="1"/>
    </xf>
    <xf numFmtId="0" fontId="10" fillId="2" borderId="10" xfId="0" applyFont="1" applyFill="1" applyBorder="1" applyAlignment="1">
      <alignment vertical="center" wrapText="1"/>
    </xf>
    <xf numFmtId="0" fontId="10" fillId="2" borderId="11" xfId="0" applyFont="1" applyFill="1" applyBorder="1" applyAlignment="1">
      <alignment vertical="center" wrapText="1"/>
    </xf>
    <xf numFmtId="0" fontId="34" fillId="7" borderId="13" xfId="0" applyFont="1" applyFill="1" applyBorder="1" applyAlignment="1">
      <alignment horizontal="left" vertical="center" wrapText="1"/>
    </xf>
    <xf numFmtId="0" fontId="34" fillId="7" borderId="4" xfId="0" applyFont="1" applyFill="1" applyBorder="1" applyAlignment="1">
      <alignment horizontal="left" vertical="center" wrapText="1"/>
    </xf>
    <xf numFmtId="0" fontId="34" fillId="7" borderId="3" xfId="0" applyFont="1" applyFill="1" applyBorder="1" applyAlignment="1">
      <alignment horizontal="left" vertical="center" wrapText="1"/>
    </xf>
    <xf numFmtId="0" fontId="34" fillId="0" borderId="13" xfId="0" applyFont="1" applyBorder="1" applyAlignment="1">
      <alignment horizontal="left" vertical="center" wrapText="1"/>
    </xf>
    <xf numFmtId="0" fontId="34" fillId="0" borderId="3" xfId="0" applyFont="1" applyBorder="1" applyAlignment="1">
      <alignment horizontal="left" vertical="center" wrapText="1"/>
    </xf>
    <xf numFmtId="0" fontId="33" fillId="6" borderId="1" xfId="0" applyFont="1" applyFill="1" applyBorder="1" applyAlignment="1">
      <alignment horizontal="left" vertical="center"/>
    </xf>
    <xf numFmtId="0" fontId="33" fillId="6" borderId="13" xfId="0" applyFont="1" applyFill="1" applyBorder="1" applyAlignment="1">
      <alignment horizontal="left" vertical="center"/>
    </xf>
    <xf numFmtId="0" fontId="33" fillId="6" borderId="4" xfId="0" applyFont="1" applyFill="1" applyBorder="1" applyAlignment="1">
      <alignment horizontal="left" vertical="center"/>
    </xf>
    <xf numFmtId="0" fontId="33" fillId="6" borderId="3" xfId="0" applyFont="1" applyFill="1" applyBorder="1" applyAlignment="1">
      <alignment horizontal="left" vertical="center"/>
    </xf>
    <xf numFmtId="14" fontId="32" fillId="6" borderId="23" xfId="0" applyNumberFormat="1" applyFont="1" applyFill="1" applyBorder="1" applyAlignment="1">
      <alignment horizontal="center" vertical="center"/>
    </xf>
    <xf numFmtId="182" fontId="55" fillId="0" borderId="13" xfId="0" applyNumberFormat="1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3" xfId="0" applyBorder="1" applyAlignment="1">
      <alignment horizontal="right"/>
    </xf>
    <xf numFmtId="0" fontId="34" fillId="33" borderId="27" xfId="0" applyFont="1" applyFill="1" applyBorder="1" applyAlignment="1">
      <alignment horizontal="left" vertical="center" wrapText="1"/>
    </xf>
    <xf numFmtId="0" fontId="34" fillId="33" borderId="31" xfId="0" applyFont="1" applyFill="1" applyBorder="1" applyAlignment="1">
      <alignment horizontal="left" vertical="center" wrapText="1"/>
    </xf>
    <xf numFmtId="0" fontId="34" fillId="33" borderId="30" xfId="0" applyFont="1" applyFill="1" applyBorder="1" applyAlignment="1">
      <alignment horizontal="left" vertical="center" wrapText="1"/>
    </xf>
    <xf numFmtId="0" fontId="34" fillId="0" borderId="27" xfId="0" applyFont="1" applyBorder="1" applyAlignment="1">
      <alignment horizontal="left" vertical="center" wrapText="1"/>
    </xf>
    <xf numFmtId="0" fontId="34" fillId="0" borderId="30" xfId="0" applyFont="1" applyBorder="1" applyAlignment="1">
      <alignment horizontal="left" vertical="center" wrapText="1"/>
    </xf>
    <xf numFmtId="0" fontId="42" fillId="0" borderId="27" xfId="0" applyFont="1" applyBorder="1" applyAlignment="1">
      <alignment horizontal="right" vertical="center" wrapText="1"/>
    </xf>
    <xf numFmtId="0" fontId="42" fillId="0" borderId="28" xfId="0" applyFont="1" applyBorder="1" applyAlignment="1">
      <alignment horizontal="right" vertical="center" wrapText="1"/>
    </xf>
    <xf numFmtId="0" fontId="42" fillId="0" borderId="27" xfId="0" applyFont="1" applyBorder="1" applyAlignment="1">
      <alignment horizontal="left" vertical="center" wrapText="1"/>
    </xf>
    <xf numFmtId="0" fontId="42" fillId="0" borderId="28" xfId="0" applyFont="1" applyBorder="1" applyAlignment="1">
      <alignment horizontal="left" vertical="center" wrapText="1"/>
    </xf>
    <xf numFmtId="0" fontId="41" fillId="0" borderId="27" xfId="0" applyFont="1" applyBorder="1" applyAlignment="1">
      <alignment horizontal="left" vertical="center"/>
    </xf>
    <xf numFmtId="0" fontId="41" fillId="0" borderId="28" xfId="0" applyFont="1" applyBorder="1" applyAlignment="1">
      <alignment horizontal="left" vertical="center"/>
    </xf>
    <xf numFmtId="0" fontId="14" fillId="31" borderId="24" xfId="0" applyFont="1" applyFill="1" applyBorder="1" applyAlignment="1">
      <alignment horizontal="center" vertical="center"/>
    </xf>
    <xf numFmtId="0" fontId="41" fillId="32" borderId="27" xfId="0" applyFont="1" applyFill="1" applyBorder="1" applyAlignment="1">
      <alignment horizontal="center" vertical="center"/>
    </xf>
    <xf numFmtId="0" fontId="41" fillId="32" borderId="28" xfId="0" applyFont="1" applyFill="1" applyBorder="1" applyAlignment="1">
      <alignment horizontal="center" vertical="center"/>
    </xf>
    <xf numFmtId="0" fontId="39" fillId="31" borderId="24" xfId="0" applyFont="1" applyFill="1" applyBorder="1" applyAlignment="1">
      <alignment horizontal="center" vertical="center"/>
    </xf>
  </cellXfs>
  <cellStyles count="109">
    <cellStyle name="20% - 强调文字颜色 1 2" xfId="58"/>
    <cellStyle name="20% - 强调文字颜色 2 2" xfId="59"/>
    <cellStyle name="20% - 强调文字颜色 3 2" xfId="60"/>
    <cellStyle name="20% - 强调文字颜色 4 2" xfId="61"/>
    <cellStyle name="20% - 强调文字颜色 5 2" xfId="62"/>
    <cellStyle name="20% - 强调文字颜色 6 2" xfId="63"/>
    <cellStyle name="40% - 强调文字颜色 1 2" xfId="64"/>
    <cellStyle name="40% - 强调文字颜色 2 2" xfId="65"/>
    <cellStyle name="40% - 强调文字颜色 3 2" xfId="66"/>
    <cellStyle name="40% - 强调文字颜色 4 2" xfId="67"/>
    <cellStyle name="40% - 强调文字颜色 5 2" xfId="68"/>
    <cellStyle name="40% - 强调文字颜色 6 2" xfId="69"/>
    <cellStyle name="60% - 强调文字颜色 1 2" xfId="70"/>
    <cellStyle name="60% - 强调文字颜色 2 2" xfId="71"/>
    <cellStyle name="60% - 强调文字颜色 3 2" xfId="72"/>
    <cellStyle name="60% - 强调文字颜色 4 2" xfId="73"/>
    <cellStyle name="60% - 强调文字颜色 5 2" xfId="74"/>
    <cellStyle name="60% - 强调文字颜色 6 2" xfId="75"/>
    <cellStyle name="标题 1 2" xfId="77"/>
    <cellStyle name="标题 2 2" xfId="78"/>
    <cellStyle name="标题 3 2" xfId="79"/>
    <cellStyle name="标题 4 2" xfId="80"/>
    <cellStyle name="标题 5" xfId="76"/>
    <cellStyle name="差 2" xfId="81"/>
    <cellStyle name="常规" xfId="0" builtinId="0"/>
    <cellStyle name="常规 10" xfId="18"/>
    <cellStyle name="常规 11" xfId="19"/>
    <cellStyle name="常规 12" xfId="20"/>
    <cellStyle name="常规 13" xfId="22"/>
    <cellStyle name="常规 14" xfId="23"/>
    <cellStyle name="常规 15" xfId="24"/>
    <cellStyle name="常规 16" xfId="25"/>
    <cellStyle name="常规 17" xfId="26"/>
    <cellStyle name="常规 18" xfId="27"/>
    <cellStyle name="常规 19" xfId="28"/>
    <cellStyle name="常规 2" xfId="1"/>
    <cellStyle name="常规 2 2" xfId="11"/>
    <cellStyle name="常规 20" xfId="29"/>
    <cellStyle name="常规 21" xfId="30"/>
    <cellStyle name="常规 22" xfId="31"/>
    <cellStyle name="常规 23" xfId="32"/>
    <cellStyle name="常规 24" xfId="33"/>
    <cellStyle name="常规 25" xfId="34"/>
    <cellStyle name="常规 26" xfId="35"/>
    <cellStyle name="常规 27" xfId="36"/>
    <cellStyle name="常规 28" xfId="37"/>
    <cellStyle name="常规 29" xfId="38"/>
    <cellStyle name="常规 3" xfId="2"/>
    <cellStyle name="常规 3 2" xfId="5"/>
    <cellStyle name="常规 3 2 2" xfId="10"/>
    <cellStyle name="常规 3 3" xfId="9"/>
    <cellStyle name="常规 30" xfId="39"/>
    <cellStyle name="常规 31" xfId="40"/>
    <cellStyle name="常规 32" xfId="41"/>
    <cellStyle name="常规 33" xfId="43"/>
    <cellStyle name="常规 34" xfId="42"/>
    <cellStyle name="常规 35" xfId="44"/>
    <cellStyle name="常规 36" xfId="45"/>
    <cellStyle name="常规 37" xfId="46"/>
    <cellStyle name="常规 38" xfId="47"/>
    <cellStyle name="常规 39" xfId="48"/>
    <cellStyle name="常规 4" xfId="3"/>
    <cellStyle name="常规 4 2" xfId="6"/>
    <cellStyle name="常规 4 2 2" xfId="13"/>
    <cellStyle name="常规 4 3" xfId="12"/>
    <cellStyle name="常规 40" xfId="49"/>
    <cellStyle name="常规 41" xfId="50"/>
    <cellStyle name="常规 42" xfId="51"/>
    <cellStyle name="常规 43" xfId="52"/>
    <cellStyle name="常规 44" xfId="53"/>
    <cellStyle name="常规 45" xfId="54"/>
    <cellStyle name="常规 46" xfId="55"/>
    <cellStyle name="常规 47" xfId="56"/>
    <cellStyle name="常规 48" xfId="57"/>
    <cellStyle name="常规 49" xfId="82"/>
    <cellStyle name="常规 5" xfId="4"/>
    <cellStyle name="常规 5 2" xfId="7"/>
    <cellStyle name="常规 5 2 2" xfId="21"/>
    <cellStyle name="常规 5 3" xfId="14"/>
    <cellStyle name="常规 50" xfId="100"/>
    <cellStyle name="常规 51" xfId="101"/>
    <cellStyle name="常规 52" xfId="102"/>
    <cellStyle name="常规 53" xfId="103"/>
    <cellStyle name="常规 54" xfId="104"/>
    <cellStyle name="常规 55" xfId="105"/>
    <cellStyle name="常规 56" xfId="106"/>
    <cellStyle name="常规 57" xfId="107"/>
    <cellStyle name="常规 58" xfId="108"/>
    <cellStyle name="常规 6" xfId="8"/>
    <cellStyle name="常规 7" xfId="15"/>
    <cellStyle name="常规 8" xfId="16"/>
    <cellStyle name="常规 9" xfId="17"/>
    <cellStyle name="好 2" xfId="83"/>
    <cellStyle name="汇总 2" xfId="84"/>
    <cellStyle name="计算 2" xfId="85"/>
    <cellStyle name="检查单元格 2" xfId="86"/>
    <cellStyle name="解释性文本 2" xfId="87"/>
    <cellStyle name="警告文本 2" xfId="88"/>
    <cellStyle name="链接单元格 2" xfId="89"/>
    <cellStyle name="强调文字颜色 1 2" xfId="90"/>
    <cellStyle name="强调文字颜色 2 2" xfId="91"/>
    <cellStyle name="强调文字颜色 3 2" xfId="92"/>
    <cellStyle name="强调文字颜色 4 2" xfId="93"/>
    <cellStyle name="强调文字颜色 5 2" xfId="94"/>
    <cellStyle name="强调文字颜色 6 2" xfId="95"/>
    <cellStyle name="适中 2" xfId="96"/>
    <cellStyle name="输出 2" xfId="97"/>
    <cellStyle name="输入 2" xfId="98"/>
    <cellStyle name="注释 2" xfId="99"/>
  </cellStyles>
  <dxfs count="5">
    <dxf>
      <numFmt numFmtId="182" formatCode="0;[Red]0"/>
    </dxf>
    <dxf>
      <fill>
        <patternFill>
          <bgColor rgb="FFC00000"/>
        </patternFill>
      </fill>
    </dxf>
    <dxf>
      <font>
        <color rgb="FFFF0000"/>
      </font>
    </dxf>
    <dxf>
      <font>
        <color auto="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兰桂馥当月不知情有理万投比</a:t>
            </a:r>
          </a:p>
        </c:rich>
      </c:tx>
      <c:layout>
        <c:manualLayout>
          <c:xMode val="edge"/>
          <c:yMode val="edge"/>
          <c:x val="0.35429136148311857"/>
          <c:y val="1.9393941861950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635064259659533E-2"/>
          <c:y val="9.115152675116861E-2"/>
          <c:w val="0.90340485903706613"/>
          <c:h val="0.7378990201732627"/>
        </c:manualLayout>
      </c:layout>
      <c:lineChart>
        <c:grouping val="standard"/>
        <c:varyColors val="0"/>
        <c:ser>
          <c:idx val="1"/>
          <c:order val="0"/>
          <c:tx>
            <c:strRef>
              <c:f>兰桂馥!$F$1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[0]!兰桂馥日期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[0]!兰桂馥万投比</c:f>
              <c:numCache>
                <c:formatCode>0.00_);[Red]\(0.00\)</c:formatCode>
                <c:ptCount val="31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8.861756597085467</c:v>
                </c:pt>
                <c:pt idx="8">
                  <c:v>9.2404361485862125</c:v>
                </c:pt>
                <c:pt idx="9">
                  <c:v>9.7207493814068577</c:v>
                </c:pt>
                <c:pt idx="10">
                  <c:v>11.00389368545793</c:v>
                </c:pt>
                <c:pt idx="11">
                  <c:v>12.203058900097624</c:v>
                </c:pt>
                <c:pt idx="12">
                  <c:v>11.851149561507466</c:v>
                </c:pt>
                <c:pt idx="13">
                  <c:v>12.305799107829566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D6-45FB-8287-94384E2DE14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631607664"/>
        <c:axId val="631606832"/>
      </c:lineChart>
      <c:dateAx>
        <c:axId val="6316076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1606832"/>
        <c:crosses val="autoZero"/>
        <c:auto val="1"/>
        <c:lblOffset val="100"/>
        <c:baseTimeUnit val="days"/>
      </c:dateAx>
      <c:valAx>
        <c:axId val="631606832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16076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趣游当月不知情有理万投比</a:t>
            </a:r>
          </a:p>
        </c:rich>
      </c:tx>
      <c:layout>
        <c:manualLayout>
          <c:xMode val="edge"/>
          <c:yMode val="edge"/>
          <c:x val="0.36174237029611517"/>
          <c:y val="3.28205234227412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趣游!$F$1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[0]!趣游日期</c:f>
              <c:numCache>
                <c:formatCode>m"月"d"日"</c:formatCode>
                <c:ptCount val="14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</c:numCache>
            </c:numRef>
          </c:cat>
          <c:val>
            <c:numRef>
              <c:f>[0]!趣游万投比</c:f>
              <c:numCache>
                <c:formatCode>0.00_);[Red]\(0.00\)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A-49C6-9A9A-507F8FC61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93216384"/>
        <c:axId val="593216800"/>
      </c:lineChart>
      <c:dateAx>
        <c:axId val="593216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3216800"/>
        <c:crosses val="autoZero"/>
        <c:auto val="1"/>
        <c:lblOffset val="100"/>
        <c:baseTimeUnit val="days"/>
      </c:dateAx>
      <c:valAx>
        <c:axId val="593216800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321638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魔逗!$F$1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[0]!魔逗日期</c:f>
              <c:numCache>
                <c:formatCode>m"月"d"日"</c:formatCode>
                <c:ptCount val="14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</c:numCache>
            </c:numRef>
          </c:cat>
          <c:val>
            <c:numRef>
              <c:f>[0]!魔逗万投比</c:f>
              <c:numCache>
                <c:formatCode>0.00_);[Red]\(0.00\)</c:formatCode>
                <c:ptCount val="3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9B-424D-B6E0-F37A85E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24060304"/>
        <c:axId val="724058640"/>
      </c:lineChart>
      <c:dateAx>
        <c:axId val="7240603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058640"/>
        <c:crosses val="autoZero"/>
        <c:auto val="1"/>
        <c:lblOffset val="100"/>
        <c:baseTimeUnit val="days"/>
      </c:dateAx>
      <c:valAx>
        <c:axId val="724058640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0603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鱼智当月不知情有理万投比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鱼智!$F$1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[0]!兰桂馥日期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[0]!鱼智万投比</c:f>
              <c:numCache>
                <c:formatCode>0.00_);[Red]\(0.00\)</c:formatCode>
                <c:ptCount val="1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0DB-4157-BFB3-65C81599B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30559312"/>
        <c:axId val="520140704"/>
      </c:lineChart>
      <c:dateAx>
        <c:axId val="330559312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0140704"/>
        <c:crosses val="autoZero"/>
        <c:auto val="1"/>
        <c:lblOffset val="100"/>
        <c:baseTimeUnit val="days"/>
      </c:dateAx>
      <c:valAx>
        <c:axId val="520140704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05593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鱼智当月有理万元投诉率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鱼智!$K$1</c:f>
              <c:strCache>
                <c:ptCount val="1"/>
                <c:pt idx="0">
                  <c:v>当月有理万元投诉率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[0]!兰桂馥日期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[0]!鱼智有理万元投诉率</c:f>
              <c:numCache>
                <c:formatCode>0.00_);[Red]\(0.00\)</c:formatCode>
                <c:ptCount val="14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10.162159023271345</c:v>
                </c:pt>
                <c:pt idx="10">
                  <c:v>7.3646426707396344</c:v>
                </c:pt>
                <c:pt idx="11">
                  <c:v>6.3167203587897172</c:v>
                </c:pt>
                <c:pt idx="12">
                  <c:v>6.2697749822542983</c:v>
                </c:pt>
                <c:pt idx="13">
                  <c:v>6.4887989904323771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3-4AEB-B498-5D81F580633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03137968"/>
        <c:axId val="203135888"/>
      </c:lineChart>
      <c:dateAx>
        <c:axId val="203137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135888"/>
        <c:crosses val="autoZero"/>
        <c:auto val="1"/>
        <c:lblOffset val="100"/>
        <c:baseTimeUnit val="days"/>
      </c:dateAx>
      <c:valAx>
        <c:axId val="203135888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1379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魔谷当月不知情有理万投比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魔谷!$F$1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魔谷!魔谷日期</c:f>
              <c:numCache>
                <c:formatCode>m"月"d"日"</c:formatCode>
                <c:ptCount val="14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</c:numCache>
            </c:numRef>
          </c:cat>
          <c:val>
            <c:numRef>
              <c:f>[0]!魔谷不知情有理万投比</c:f>
              <c:numCache>
                <c:formatCode>0.00_);[Red]\(0.00\)</c:formatCode>
                <c:ptCount val="32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13</c:v>
                </c:pt>
                <c:pt idx="4">
                  <c:v>18.905472636815919</c:v>
                </c:pt>
                <c:pt idx="5">
                  <c:v>20.73971655720705</c:v>
                </c:pt>
                <c:pt idx="6">
                  <c:v>21.492170709241634</c:v>
                </c:pt>
                <c:pt idx="7">
                  <c:v>20.221741859005647</c:v>
                </c:pt>
                <c:pt idx="8">
                  <c:v>22.145509021038237</c:v>
                </c:pt>
                <c:pt idx="9">
                  <c:v>23.583441941289642</c:v>
                </c:pt>
                <c:pt idx="10">
                  <c:v>23.117960877296976</c:v>
                </c:pt>
                <c:pt idx="11">
                  <c:v>23.863636363636367</c:v>
                </c:pt>
                <c:pt idx="12">
                  <c:v>25.076319232446576</c:v>
                </c:pt>
                <c:pt idx="13">
                  <c:v>25.08230130114438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2F-4F2F-BF71-13FE5A5B4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70489984"/>
        <c:axId val="370504064"/>
      </c:lineChart>
      <c:dateAx>
        <c:axId val="370489984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504064"/>
        <c:crosses val="autoZero"/>
        <c:auto val="1"/>
        <c:lblOffset val="100"/>
        <c:baseTimeUnit val="days"/>
      </c:dateAx>
      <c:valAx>
        <c:axId val="370504064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48998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欧朋当月不知情有理万投比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4573005780135226E-2"/>
          <c:y val="0.13407411317413626"/>
          <c:w val="0.93497139217430458"/>
          <c:h val="0.7699509390349778"/>
        </c:manualLayout>
      </c:layout>
      <c:lineChart>
        <c:grouping val="standard"/>
        <c:varyColors val="0"/>
        <c:ser>
          <c:idx val="0"/>
          <c:order val="0"/>
          <c:tx>
            <c:strRef>
              <c:f>欧朋!$F$1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[0]!欧朋日期</c:f>
              <c:numCache>
                <c:formatCode>m"月"d"日"</c:formatCode>
                <c:ptCount val="14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</c:numCache>
            </c:numRef>
          </c:cat>
          <c:val>
            <c:numRef>
              <c:f>[0]!欧朋万投比</c:f>
              <c:numCache>
                <c:formatCode>0.00_);[Red]\(0.00\)</c:formatCode>
                <c:ptCount val="38"/>
                <c:pt idx="0">
                  <c:v>2</c:v>
                </c:pt>
                <c:pt idx="1">
                  <c:v>5</c:v>
                </c:pt>
                <c:pt idx="2">
                  <c:v>13</c:v>
                </c:pt>
                <c:pt idx="3">
                  <c:v>24</c:v>
                </c:pt>
                <c:pt idx="4">
                  <c:v>28.782500239854166</c:v>
                </c:pt>
                <c:pt idx="5">
                  <c:v>27.583968846341065</c:v>
                </c:pt>
                <c:pt idx="6">
                  <c:v>28.492057838877411</c:v>
                </c:pt>
                <c:pt idx="7">
                  <c:v>28.907303912121797</c:v>
                </c:pt>
                <c:pt idx="8">
                  <c:v>29.353621278380157</c:v>
                </c:pt>
                <c:pt idx="9">
                  <c:v>30.036837631056958</c:v>
                </c:pt>
                <c:pt idx="10">
                  <c:v>32.0112853344908</c:v>
                </c:pt>
                <c:pt idx="11">
                  <c:v>31.349573440230238</c:v>
                </c:pt>
                <c:pt idx="12">
                  <c:v>31.210377450502293</c:v>
                </c:pt>
                <c:pt idx="13">
                  <c:v>30.779275287972766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F-4082-B738-97C4696AA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05280432"/>
        <c:axId val="705280848"/>
      </c:lineChart>
      <c:dateAx>
        <c:axId val="7052804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5280848"/>
        <c:crosses val="autoZero"/>
        <c:auto val="1"/>
        <c:lblOffset val="100"/>
        <c:baseTimeUnit val="days"/>
      </c:dateAx>
      <c:valAx>
        <c:axId val="705280848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52804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骏伯当月不知情有理万投比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广州骏伯!$F$1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[0]!骏伯日期</c:f>
              <c:numCache>
                <c:formatCode>m"月"d"日"</c:formatCode>
                <c:ptCount val="14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</c:numCache>
            </c:numRef>
          </c:cat>
          <c:val>
            <c:numRef>
              <c:f>[0]!骏伯万投比</c:f>
              <c:numCache>
                <c:formatCode>0.00_);[Red]\(0.00\)</c:formatCode>
                <c:ptCount val="38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9</c:v>
                </c:pt>
                <c:pt idx="5">
                  <c:v>14</c:v>
                </c:pt>
                <c:pt idx="6">
                  <c:v>14</c:v>
                </c:pt>
                <c:pt idx="7">
                  <c:v>15.641802717763222</c:v>
                </c:pt>
                <c:pt idx="8">
                  <c:v>15.523696466076158</c:v>
                </c:pt>
                <c:pt idx="9">
                  <c:v>15.630427231677665</c:v>
                </c:pt>
                <c:pt idx="10">
                  <c:v>18.585790318492862</c:v>
                </c:pt>
                <c:pt idx="11">
                  <c:v>19.064986737400531</c:v>
                </c:pt>
                <c:pt idx="12">
                  <c:v>21.133056977972849</c:v>
                </c:pt>
                <c:pt idx="13">
                  <c:v>20.60548422887938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6-46BD-B7D3-7755F2297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663190352"/>
        <c:axId val="663189104"/>
      </c:lineChart>
      <c:dateAx>
        <c:axId val="6631903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3189104"/>
        <c:crosses val="autoZero"/>
        <c:auto val="1"/>
        <c:lblOffset val="100"/>
        <c:baseTimeUnit val="days"/>
      </c:dateAx>
      <c:valAx>
        <c:axId val="663189104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31903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指尖互通当月不知情有理万投比</a:t>
            </a:r>
          </a:p>
        </c:rich>
      </c:tx>
      <c:layout>
        <c:manualLayout>
          <c:xMode val="edge"/>
          <c:yMode val="edge"/>
          <c:x val="0.39548381062612165"/>
          <c:y val="3.7630037624607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指尖互通!$F$1</c:f>
              <c:strCache>
                <c:ptCount val="1"/>
                <c:pt idx="0">
                  <c:v>当月不知情有理万投比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[0]!兰桂馥日期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指尖互通!指尖互通万投比</c:f>
              <c:numCache>
                <c:formatCode>0.00_);[Red]\(0.00\)</c:formatCode>
                <c:ptCount val="14"/>
                <c:pt idx="0">
                  <c:v>8</c:v>
                </c:pt>
                <c:pt idx="1">
                  <c:v>10</c:v>
                </c:pt>
                <c:pt idx="2">
                  <c:v>16</c:v>
                </c:pt>
                <c:pt idx="3">
                  <c:v>13.971071663379355</c:v>
                </c:pt>
                <c:pt idx="4">
                  <c:v>16.205266711681297</c:v>
                </c:pt>
                <c:pt idx="5">
                  <c:v>17.730496453900709</c:v>
                </c:pt>
                <c:pt idx="6">
                  <c:v>17.373175816539263</c:v>
                </c:pt>
                <c:pt idx="7">
                  <c:v>16.937820369957656</c:v>
                </c:pt>
                <c:pt idx="8">
                  <c:v>17.548155403199477</c:v>
                </c:pt>
                <c:pt idx="9">
                  <c:v>18.310826276035705</c:v>
                </c:pt>
                <c:pt idx="10">
                  <c:v>18.141073524703874</c:v>
                </c:pt>
                <c:pt idx="11">
                  <c:v>18.139675501360475</c:v>
                </c:pt>
                <c:pt idx="12">
                  <c:v>17.673978223133975</c:v>
                </c:pt>
                <c:pt idx="13">
                  <c:v>16.78049929345266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21-484F-A022-151B545562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21848576"/>
        <c:axId val="221847744"/>
      </c:lineChart>
      <c:dateAx>
        <c:axId val="221848576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1847744"/>
        <c:crosses val="autoZero"/>
        <c:auto val="1"/>
        <c:lblOffset val="100"/>
        <c:baseTimeUnit val="days"/>
      </c:dateAx>
      <c:valAx>
        <c:axId val="221847744"/>
        <c:scaling>
          <c:orientation val="minMax"/>
        </c:scaling>
        <c:delete val="0"/>
        <c:axPos val="l"/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18485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504823</xdr:colOff>
      <xdr:row>10</xdr:row>
      <xdr:rowOff>95251</xdr:rowOff>
    </xdr:from>
    <xdr:to>
      <xdr:col>24</xdr:col>
      <xdr:colOff>85724</xdr:colOff>
      <xdr:row>30</xdr:row>
      <xdr:rowOff>23813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200024</xdr:colOff>
      <xdr:row>13</xdr:row>
      <xdr:rowOff>47624</xdr:rowOff>
    </xdr:from>
    <xdr:to>
      <xdr:col>25</xdr:col>
      <xdr:colOff>66675</xdr:colOff>
      <xdr:row>30</xdr:row>
      <xdr:rowOff>28574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561974</xdr:colOff>
      <xdr:row>9</xdr:row>
      <xdr:rowOff>95250</xdr:rowOff>
    </xdr:from>
    <xdr:to>
      <xdr:col>25</xdr:col>
      <xdr:colOff>19050</xdr:colOff>
      <xdr:row>26</xdr:row>
      <xdr:rowOff>142874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828674</xdr:rowOff>
    </xdr:from>
    <xdr:to>
      <xdr:col>21</xdr:col>
      <xdr:colOff>495300</xdr:colOff>
      <xdr:row>17</xdr:row>
      <xdr:rowOff>57150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19051</xdr:colOff>
      <xdr:row>17</xdr:row>
      <xdr:rowOff>85726</xdr:rowOff>
    </xdr:from>
    <xdr:to>
      <xdr:col>21</xdr:col>
      <xdr:colOff>523875</xdr:colOff>
      <xdr:row>32</xdr:row>
      <xdr:rowOff>114300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590548</xdr:colOff>
      <xdr:row>14</xdr:row>
      <xdr:rowOff>1</xdr:rowOff>
    </xdr:from>
    <xdr:to>
      <xdr:col>23</xdr:col>
      <xdr:colOff>600075</xdr:colOff>
      <xdr:row>33</xdr:row>
      <xdr:rowOff>133350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11</xdr:row>
      <xdr:rowOff>19050</xdr:rowOff>
    </xdr:from>
    <xdr:to>
      <xdr:col>23</xdr:col>
      <xdr:colOff>600075</xdr:colOff>
      <xdr:row>28</xdr:row>
      <xdr:rowOff>38099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</xdr:row>
      <xdr:rowOff>52386</xdr:rowOff>
    </xdr:from>
    <xdr:to>
      <xdr:col>24</xdr:col>
      <xdr:colOff>9526</xdr:colOff>
      <xdr:row>27</xdr:row>
      <xdr:rowOff>161924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609599</xdr:colOff>
      <xdr:row>5</xdr:row>
      <xdr:rowOff>85725</xdr:rowOff>
    </xdr:from>
    <xdr:to>
      <xdr:col>24</xdr:col>
      <xdr:colOff>409574</xdr:colOff>
      <xdr:row>24</xdr:row>
      <xdr:rowOff>123825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7:M88"/>
  <sheetViews>
    <sheetView topLeftCell="A64" workbookViewId="0">
      <selection activeCell="A88" sqref="A88"/>
    </sheetView>
  </sheetViews>
  <sheetFormatPr defaultColWidth="16" defaultRowHeight="12.75"/>
  <cols>
    <col min="6" max="6" width="14" customWidth="1"/>
    <col min="7" max="7" width="15.85546875" customWidth="1"/>
    <col min="8" max="8" width="13.85546875" customWidth="1"/>
    <col min="9" max="9" width="15.28515625" customWidth="1"/>
    <col min="10" max="10" width="15.140625" style="13" customWidth="1"/>
    <col min="11" max="11" width="15.85546875" customWidth="1"/>
    <col min="12" max="12" width="14.85546875" customWidth="1"/>
  </cols>
  <sheetData>
    <row r="7" spans="1:13" ht="30">
      <c r="A7" s="2" t="s">
        <v>1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</row>
    <row r="8" spans="1:13" ht="27">
      <c r="A8" s="3" t="s">
        <v>2</v>
      </c>
      <c r="B8" s="9" t="s">
        <v>3</v>
      </c>
      <c r="C8" s="289" t="s">
        <v>74</v>
      </c>
      <c r="D8" s="291"/>
      <c r="E8" s="286" t="s">
        <v>5</v>
      </c>
      <c r="F8" s="15"/>
      <c r="G8" s="15"/>
      <c r="H8" s="15"/>
      <c r="I8" s="15"/>
      <c r="J8" s="15"/>
      <c r="K8" s="15"/>
      <c r="L8" s="15"/>
      <c r="M8" s="15"/>
    </row>
    <row r="9" spans="1:13" ht="13.5">
      <c r="A9" s="10" t="s">
        <v>6</v>
      </c>
      <c r="B9" s="8" t="s">
        <v>73</v>
      </c>
      <c r="C9" s="8" t="s">
        <v>8</v>
      </c>
      <c r="D9" s="8" t="s">
        <v>9</v>
      </c>
      <c r="E9" s="288"/>
      <c r="F9" s="15"/>
      <c r="G9" s="15"/>
      <c r="H9" s="15"/>
      <c r="I9" s="15"/>
      <c r="J9" s="15"/>
      <c r="K9" s="15"/>
      <c r="L9" s="15"/>
      <c r="M9" s="15"/>
    </row>
    <row r="10" spans="1:13" ht="27">
      <c r="A10" s="10" t="s">
        <v>10</v>
      </c>
      <c r="B10" s="8" t="s">
        <v>11</v>
      </c>
      <c r="C10" s="8" t="s">
        <v>8</v>
      </c>
      <c r="D10" s="8" t="s">
        <v>9</v>
      </c>
      <c r="E10" s="287"/>
      <c r="F10" s="15"/>
      <c r="G10" s="15"/>
      <c r="H10" s="15"/>
      <c r="I10" s="15"/>
      <c r="J10" s="15"/>
      <c r="K10" s="15"/>
      <c r="L10" s="15"/>
      <c r="M10" s="15"/>
    </row>
    <row r="11" spans="1:13" ht="40.5">
      <c r="A11" s="282" t="s">
        <v>12</v>
      </c>
      <c r="B11" s="283"/>
      <c r="C11" s="8" t="s">
        <v>13</v>
      </c>
      <c r="D11" s="286" t="s">
        <v>14</v>
      </c>
      <c r="E11" s="286" t="s">
        <v>15</v>
      </c>
      <c r="F11" s="15"/>
      <c r="G11" s="15"/>
      <c r="H11" s="15"/>
      <c r="I11" s="15"/>
      <c r="J11" s="15"/>
      <c r="K11" s="15"/>
      <c r="L11" s="15"/>
      <c r="M11" s="15"/>
    </row>
    <row r="12" spans="1:13" ht="40.5">
      <c r="A12" s="292"/>
      <c r="B12" s="293"/>
      <c r="C12" s="8" t="s">
        <v>16</v>
      </c>
      <c r="D12" s="287"/>
      <c r="E12" s="287"/>
      <c r="F12" s="15"/>
      <c r="G12" s="15"/>
      <c r="H12" s="15"/>
      <c r="I12" s="15"/>
      <c r="J12" s="15"/>
      <c r="K12" s="15"/>
      <c r="L12" s="15"/>
      <c r="M12" s="15"/>
    </row>
    <row r="13" spans="1:13" ht="40.5">
      <c r="A13" s="292"/>
      <c r="B13" s="293"/>
      <c r="C13" s="8" t="s">
        <v>17</v>
      </c>
      <c r="D13" s="286" t="s">
        <v>14</v>
      </c>
      <c r="E13" s="286" t="s">
        <v>15</v>
      </c>
      <c r="F13" s="15"/>
      <c r="G13" s="15"/>
      <c r="H13" s="15"/>
      <c r="I13" s="15"/>
      <c r="J13" s="15"/>
      <c r="K13" s="15"/>
      <c r="L13" s="15"/>
      <c r="M13" s="15"/>
    </row>
    <row r="14" spans="1:13" ht="54">
      <c r="A14" s="284"/>
      <c r="B14" s="285"/>
      <c r="C14" s="8" t="s">
        <v>18</v>
      </c>
      <c r="D14" s="287"/>
      <c r="E14" s="287"/>
      <c r="F14" s="15"/>
      <c r="G14" s="15"/>
      <c r="H14" s="15"/>
      <c r="I14" s="15"/>
      <c r="J14" s="15"/>
      <c r="K14" s="15"/>
      <c r="L14" s="15"/>
      <c r="M14" s="15"/>
    </row>
    <row r="15" spans="1:13" ht="30">
      <c r="A15" s="2" t="s">
        <v>19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3" ht="27">
      <c r="A16" s="3" t="s">
        <v>2</v>
      </c>
      <c r="B16" s="9" t="s">
        <v>3</v>
      </c>
      <c r="C16" s="289" t="s">
        <v>4</v>
      </c>
      <c r="D16" s="291"/>
      <c r="E16" s="286" t="s">
        <v>5</v>
      </c>
      <c r="F16" s="15"/>
      <c r="G16" s="15"/>
      <c r="H16" s="15"/>
      <c r="I16" s="15"/>
      <c r="J16" s="15"/>
      <c r="K16" s="15"/>
      <c r="L16" s="15"/>
      <c r="M16" s="15"/>
    </row>
    <row r="17" spans="1:13" ht="13.5">
      <c r="A17" s="10" t="s">
        <v>6</v>
      </c>
      <c r="B17" s="8" t="s">
        <v>7</v>
      </c>
      <c r="C17" s="8" t="s">
        <v>8</v>
      </c>
      <c r="D17" s="8" t="s">
        <v>9</v>
      </c>
      <c r="E17" s="288"/>
      <c r="F17" s="15"/>
      <c r="G17" s="15"/>
      <c r="H17" s="15"/>
      <c r="I17" s="15"/>
      <c r="J17" s="15"/>
      <c r="K17" s="15"/>
      <c r="L17" s="15"/>
      <c r="M17" s="15"/>
    </row>
    <row r="18" spans="1:13" ht="27">
      <c r="A18" s="10" t="s">
        <v>10</v>
      </c>
      <c r="B18" s="8" t="s">
        <v>11</v>
      </c>
      <c r="C18" s="8" t="s">
        <v>8</v>
      </c>
      <c r="D18" s="8" t="s">
        <v>9</v>
      </c>
      <c r="E18" s="287"/>
      <c r="F18" s="15"/>
      <c r="G18" s="15"/>
      <c r="H18" s="15"/>
      <c r="I18" s="15"/>
      <c r="J18" s="15"/>
      <c r="K18" s="15"/>
      <c r="L18" s="15"/>
      <c r="M18" s="15"/>
    </row>
    <row r="19" spans="1:13" ht="40.5">
      <c r="A19" s="282" t="s">
        <v>12</v>
      </c>
      <c r="B19" s="283"/>
      <c r="C19" s="8" t="s">
        <v>20</v>
      </c>
      <c r="D19" s="8" t="s">
        <v>21</v>
      </c>
      <c r="E19" s="8" t="s">
        <v>15</v>
      </c>
      <c r="F19" s="15"/>
      <c r="G19" s="15"/>
      <c r="H19" s="15"/>
      <c r="I19" s="15"/>
      <c r="J19" s="15"/>
      <c r="K19" s="15"/>
      <c r="L19" s="15"/>
      <c r="M19" s="15"/>
    </row>
    <row r="20" spans="1:13" ht="54">
      <c r="A20" s="284"/>
      <c r="B20" s="285"/>
      <c r="C20" s="8" t="s">
        <v>22</v>
      </c>
      <c r="D20" s="8" t="s">
        <v>23</v>
      </c>
      <c r="E20" s="8" t="s">
        <v>15</v>
      </c>
      <c r="F20" s="15"/>
      <c r="G20" s="15"/>
      <c r="H20" s="15"/>
      <c r="I20" s="15"/>
      <c r="J20" s="15"/>
      <c r="K20" s="15"/>
      <c r="L20" s="15"/>
      <c r="M20" s="15"/>
    </row>
    <row r="21" spans="1:13" ht="15">
      <c r="A21" s="4"/>
      <c r="B21" s="19"/>
      <c r="C21" s="19"/>
      <c r="D21" s="19"/>
      <c r="E21" s="19"/>
      <c r="F21" s="19"/>
      <c r="G21" s="15"/>
      <c r="H21" s="15"/>
      <c r="I21" s="15"/>
      <c r="J21" s="15"/>
      <c r="K21" s="15"/>
      <c r="L21" s="15"/>
      <c r="M21" s="15"/>
    </row>
    <row r="22" spans="1:13" ht="16.5">
      <c r="A22" s="15" t="s">
        <v>24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</row>
    <row r="23" spans="1:13" ht="31.5">
      <c r="A23" s="2" t="s">
        <v>25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</row>
    <row r="24" spans="1:13" ht="15">
      <c r="A24" s="2" t="s">
        <v>26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</row>
    <row r="25" spans="1:13" ht="30">
      <c r="A25" s="2" t="s">
        <v>1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</row>
    <row r="26" spans="1:13" ht="27">
      <c r="A26" s="3" t="s">
        <v>27</v>
      </c>
      <c r="B26" s="9" t="s">
        <v>28</v>
      </c>
      <c r="C26" s="289" t="s">
        <v>29</v>
      </c>
      <c r="D26" s="290"/>
      <c r="E26" s="291"/>
      <c r="F26" s="286" t="s">
        <v>5</v>
      </c>
      <c r="G26" s="15"/>
      <c r="H26" s="15"/>
      <c r="I26" s="15"/>
      <c r="J26" s="15"/>
      <c r="K26" s="15"/>
      <c r="L26" s="15"/>
      <c r="M26" s="15"/>
    </row>
    <row r="27" spans="1:13" ht="13.5">
      <c r="A27" s="10" t="s">
        <v>6</v>
      </c>
      <c r="B27" s="8" t="s">
        <v>30</v>
      </c>
      <c r="C27" s="8" t="s">
        <v>31</v>
      </c>
      <c r="D27" s="8" t="s">
        <v>32</v>
      </c>
      <c r="E27" s="8" t="s">
        <v>33</v>
      </c>
      <c r="F27" s="288"/>
      <c r="G27" s="15"/>
      <c r="H27" s="15"/>
      <c r="I27" s="15"/>
      <c r="J27" s="15"/>
      <c r="K27" s="15"/>
      <c r="L27" s="15"/>
      <c r="M27" s="15"/>
    </row>
    <row r="28" spans="1:13" ht="27">
      <c r="A28" s="10" t="s">
        <v>10</v>
      </c>
      <c r="B28" s="8" t="s">
        <v>34</v>
      </c>
      <c r="C28" s="8" t="s">
        <v>31</v>
      </c>
      <c r="D28" s="8" t="s">
        <v>32</v>
      </c>
      <c r="E28" s="8" t="s">
        <v>33</v>
      </c>
      <c r="F28" s="287"/>
      <c r="G28" s="15"/>
      <c r="H28" s="15"/>
      <c r="I28" s="15"/>
      <c r="J28" s="15"/>
      <c r="K28" s="15"/>
      <c r="L28" s="15"/>
      <c r="M28" s="15"/>
    </row>
    <row r="29" spans="1:13" ht="40.5">
      <c r="A29" s="282" t="s">
        <v>12</v>
      </c>
      <c r="B29" s="283"/>
      <c r="C29" s="8" t="s">
        <v>35</v>
      </c>
      <c r="D29" s="8" t="s">
        <v>13</v>
      </c>
      <c r="E29" s="286" t="s">
        <v>14</v>
      </c>
      <c r="F29" s="286" t="s">
        <v>15</v>
      </c>
      <c r="G29" s="15"/>
      <c r="H29" s="15"/>
      <c r="I29" s="15"/>
      <c r="J29" s="15"/>
      <c r="K29" s="15"/>
      <c r="L29" s="15"/>
      <c r="M29" s="15"/>
    </row>
    <row r="30" spans="1:13" ht="40.5">
      <c r="A30" s="292"/>
      <c r="B30" s="293"/>
      <c r="C30" s="8" t="s">
        <v>36</v>
      </c>
      <c r="D30" s="8" t="s">
        <v>16</v>
      </c>
      <c r="E30" s="287"/>
      <c r="F30" s="287"/>
      <c r="G30" s="15"/>
      <c r="H30" s="15"/>
      <c r="I30" s="15"/>
      <c r="J30" s="15"/>
      <c r="K30" s="15"/>
      <c r="L30" s="15"/>
      <c r="M30" s="15"/>
    </row>
    <row r="31" spans="1:13" ht="40.5">
      <c r="A31" s="292"/>
      <c r="B31" s="293"/>
      <c r="C31" s="8" t="s">
        <v>37</v>
      </c>
      <c r="D31" s="8" t="s">
        <v>17</v>
      </c>
      <c r="E31" s="286" t="s">
        <v>14</v>
      </c>
      <c r="F31" s="286" t="s">
        <v>15</v>
      </c>
      <c r="G31" s="15"/>
      <c r="H31" s="15"/>
      <c r="I31" s="15"/>
      <c r="J31" s="15"/>
      <c r="K31" s="15"/>
      <c r="L31" s="15"/>
      <c r="M31" s="15"/>
    </row>
    <row r="32" spans="1:13" ht="54">
      <c r="A32" s="284"/>
      <c r="B32" s="285"/>
      <c r="C32" s="8" t="s">
        <v>38</v>
      </c>
      <c r="D32" s="8" t="s">
        <v>18</v>
      </c>
      <c r="E32" s="287"/>
      <c r="F32" s="287"/>
      <c r="G32" s="15"/>
      <c r="H32" s="15"/>
      <c r="I32" s="15"/>
      <c r="J32" s="15"/>
      <c r="K32" s="15"/>
      <c r="L32" s="15"/>
      <c r="M32" s="15"/>
    </row>
    <row r="33" spans="1:13" ht="30">
      <c r="A33" s="2" t="s">
        <v>19</v>
      </c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</row>
    <row r="34" spans="1:13" ht="27">
      <c r="A34" s="3" t="s">
        <v>27</v>
      </c>
      <c r="B34" s="9" t="s">
        <v>28</v>
      </c>
      <c r="C34" s="289" t="s">
        <v>29</v>
      </c>
      <c r="D34" s="291"/>
      <c r="E34" s="286" t="s">
        <v>5</v>
      </c>
      <c r="F34" s="15"/>
      <c r="G34" s="15"/>
      <c r="H34" s="15"/>
      <c r="I34" s="15"/>
      <c r="J34" s="15"/>
      <c r="K34" s="15"/>
      <c r="L34" s="15"/>
      <c r="M34" s="15"/>
    </row>
    <row r="35" spans="1:13" ht="13.5">
      <c r="A35" s="10" t="s">
        <v>6</v>
      </c>
      <c r="B35" s="8" t="s">
        <v>30</v>
      </c>
      <c r="C35" s="8" t="s">
        <v>32</v>
      </c>
      <c r="D35" s="8" t="s">
        <v>33</v>
      </c>
      <c r="E35" s="288"/>
      <c r="F35" s="15"/>
      <c r="G35" s="15"/>
      <c r="H35" s="15"/>
      <c r="I35" s="15"/>
      <c r="J35" s="15"/>
      <c r="K35" s="15"/>
      <c r="L35" s="15"/>
      <c r="M35" s="15"/>
    </row>
    <row r="36" spans="1:13" ht="27">
      <c r="A36" s="10" t="s">
        <v>10</v>
      </c>
      <c r="B36" s="8" t="s">
        <v>34</v>
      </c>
      <c r="C36" s="8" t="s">
        <v>32</v>
      </c>
      <c r="D36" s="8" t="s">
        <v>33</v>
      </c>
      <c r="E36" s="287"/>
      <c r="F36" s="15"/>
      <c r="G36" s="15"/>
      <c r="H36" s="15"/>
      <c r="I36" s="15"/>
      <c r="J36" s="15"/>
      <c r="K36" s="15"/>
      <c r="L36" s="15"/>
      <c r="M36" s="15"/>
    </row>
    <row r="37" spans="1:13" ht="40.5">
      <c r="A37" s="282" t="s">
        <v>12</v>
      </c>
      <c r="B37" s="283"/>
      <c r="C37" s="8" t="s">
        <v>20</v>
      </c>
      <c r="D37" s="8" t="s">
        <v>21</v>
      </c>
      <c r="E37" s="8" t="s">
        <v>15</v>
      </c>
      <c r="F37" s="15"/>
      <c r="G37" s="15"/>
      <c r="H37" s="15"/>
      <c r="I37" s="15"/>
      <c r="J37" s="15"/>
      <c r="K37" s="15"/>
      <c r="L37" s="15"/>
      <c r="M37" s="15"/>
    </row>
    <row r="38" spans="1:13" ht="54">
      <c r="A38" s="284"/>
      <c r="B38" s="285"/>
      <c r="C38" s="8" t="s">
        <v>22</v>
      </c>
      <c r="D38" s="8" t="s">
        <v>23</v>
      </c>
      <c r="E38" s="8" t="s">
        <v>15</v>
      </c>
      <c r="F38" s="15"/>
      <c r="G38" s="15"/>
      <c r="H38" s="15"/>
      <c r="I38" s="15"/>
      <c r="J38" s="15"/>
      <c r="K38" s="15"/>
      <c r="L38" s="15"/>
      <c r="M38" s="15"/>
    </row>
    <row r="39" spans="1:1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</row>
    <row r="40" spans="1:13">
      <c r="A40" s="15" t="s">
        <v>39</v>
      </c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</row>
    <row r="41" spans="1:13">
      <c r="A41" s="15" t="s">
        <v>40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</row>
    <row r="42" spans="1:13">
      <c r="A42" s="15" t="s">
        <v>41</v>
      </c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</row>
    <row r="43" spans="1:13">
      <c r="A43" s="15" t="s">
        <v>42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</row>
    <row r="44" spans="1:13">
      <c r="A44" s="15" t="s">
        <v>44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</row>
    <row r="45" spans="1:13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</row>
    <row r="46" spans="1:13">
      <c r="A46" s="15">
        <v>20150112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</row>
    <row r="47" spans="1:13" ht="14.25">
      <c r="A47" s="16" t="s">
        <v>43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</row>
    <row r="48" spans="1:13">
      <c r="A48" s="15">
        <v>20150121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</row>
    <row r="49" spans="1:13" ht="13.5">
      <c r="A49" s="16" t="s">
        <v>70</v>
      </c>
      <c r="B49" s="17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</row>
    <row r="50" spans="1:13">
      <c r="A50" s="15">
        <v>20150303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1:13" ht="13.5">
      <c r="A51" s="16" t="s">
        <v>71</v>
      </c>
      <c r="B51" s="17"/>
      <c r="C51" s="16"/>
      <c r="D51" s="17"/>
      <c r="E51" s="16"/>
      <c r="F51" s="17"/>
      <c r="G51" s="16"/>
      <c r="H51" s="17"/>
      <c r="I51" s="16"/>
      <c r="J51" s="15"/>
      <c r="K51" s="15"/>
      <c r="L51" s="15"/>
      <c r="M51" s="15"/>
    </row>
    <row r="52" spans="1:13">
      <c r="A52" s="15">
        <v>20150408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</row>
    <row r="53" spans="1:13" ht="13.5">
      <c r="A53" s="16" t="s">
        <v>72</v>
      </c>
      <c r="B53" s="17"/>
      <c r="C53" s="16"/>
      <c r="D53" s="17"/>
      <c r="E53" s="16"/>
      <c r="F53" s="17"/>
      <c r="G53" s="16"/>
      <c r="H53" s="17"/>
      <c r="I53" s="16"/>
      <c r="J53" s="15"/>
      <c r="K53" s="15"/>
      <c r="L53" s="15"/>
      <c r="M53" s="15"/>
    </row>
    <row r="54" spans="1:13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</row>
    <row r="55" spans="1:13">
      <c r="A55" s="15" t="s">
        <v>46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</row>
    <row r="56" spans="1:13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</row>
    <row r="57" spans="1:13">
      <c r="A57" s="15" t="s">
        <v>47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</row>
    <row r="58" spans="1:13">
      <c r="A58" s="15" t="s">
        <v>48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</row>
    <row r="59" spans="1:13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</row>
    <row r="60" spans="1:13">
      <c r="A60" s="15" t="s">
        <v>49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</row>
    <row r="61" spans="1:13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</row>
    <row r="62" spans="1:13">
      <c r="A62" s="15" t="s">
        <v>50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</row>
    <row r="63" spans="1:13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</row>
    <row r="64" spans="1:13">
      <c r="A64" s="15" t="s">
        <v>51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</row>
    <row r="65" spans="1:13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</row>
    <row r="66" spans="1:13">
      <c r="A66" s="15" t="s">
        <v>52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</row>
    <row r="67" spans="1:13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</row>
    <row r="68" spans="1:13">
      <c r="A68" s="15" t="s">
        <v>53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</row>
    <row r="69" spans="1:13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</row>
    <row r="70" spans="1:13">
      <c r="A70" s="15" t="s">
        <v>54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</row>
    <row r="71" spans="1:13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</row>
    <row r="72" spans="1:13">
      <c r="A72" s="15" t="s">
        <v>55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</row>
    <row r="73" spans="1:13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</row>
    <row r="74" spans="1:13">
      <c r="A74" s="15" t="s">
        <v>56</v>
      </c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</row>
    <row r="75" spans="1:13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</row>
    <row r="76" spans="1:13">
      <c r="A76" s="15" t="s">
        <v>57</v>
      </c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</row>
    <row r="77" spans="1:13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</row>
    <row r="78" spans="1:13">
      <c r="A78" s="15" t="s">
        <v>58</v>
      </c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</row>
    <row r="88" spans="1:1">
      <c r="A88" t="s">
        <v>110</v>
      </c>
    </row>
  </sheetData>
  <mergeCells count="20">
    <mergeCell ref="C8:D8"/>
    <mergeCell ref="E8:E10"/>
    <mergeCell ref="A11:B14"/>
    <mergeCell ref="D11:D12"/>
    <mergeCell ref="E11:E12"/>
    <mergeCell ref="D13:D14"/>
    <mergeCell ref="E13:E14"/>
    <mergeCell ref="A37:B38"/>
    <mergeCell ref="E31:E32"/>
    <mergeCell ref="F31:F32"/>
    <mergeCell ref="E16:E18"/>
    <mergeCell ref="A19:B20"/>
    <mergeCell ref="C26:E26"/>
    <mergeCell ref="C16:D16"/>
    <mergeCell ref="F26:F28"/>
    <mergeCell ref="A29:B32"/>
    <mergeCell ref="E29:E30"/>
    <mergeCell ref="F29:F30"/>
    <mergeCell ref="C34:D34"/>
    <mergeCell ref="E34:E36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2:M112"/>
  <sheetViews>
    <sheetView showGridLines="0" topLeftCell="A112" workbookViewId="0">
      <selection activeCell="O12" sqref="O12"/>
    </sheetView>
  </sheetViews>
  <sheetFormatPr defaultRowHeight="15.95" customHeight="1"/>
  <cols>
    <col min="1" max="1" width="10" style="131" bestFit="1" customWidth="1"/>
    <col min="2" max="12" width="9.140625" style="131"/>
    <col min="13" max="13" width="10.28515625" style="131" bestFit="1" customWidth="1"/>
    <col min="14" max="16384" width="9.140625" style="131"/>
  </cols>
  <sheetData>
    <row r="2" spans="1:13" ht="15.95" customHeight="1">
      <c r="A2" s="132" t="s">
        <v>131</v>
      </c>
    </row>
    <row r="3" spans="1:13" ht="15.95" customHeight="1">
      <c r="A3" s="94" t="s">
        <v>75</v>
      </c>
      <c r="B3" s="94" t="s">
        <v>163</v>
      </c>
      <c r="C3" s="94" t="s">
        <v>166</v>
      </c>
      <c r="D3" s="94" t="s">
        <v>167</v>
      </c>
      <c r="E3" s="94" t="s">
        <v>168</v>
      </c>
      <c r="F3" s="94" t="s">
        <v>561</v>
      </c>
      <c r="G3" s="94" t="s">
        <v>169</v>
      </c>
      <c r="H3" s="94" t="s">
        <v>164</v>
      </c>
      <c r="I3" s="94" t="s">
        <v>165</v>
      </c>
      <c r="J3" s="94" t="s">
        <v>170</v>
      </c>
      <c r="K3" s="94" t="s">
        <v>244</v>
      </c>
      <c r="L3" s="94" t="s">
        <v>245</v>
      </c>
      <c r="M3" s="94" t="s">
        <v>126</v>
      </c>
    </row>
    <row r="4" spans="1:13" ht="15.95" customHeight="1">
      <c r="A4" s="94" t="s">
        <v>76</v>
      </c>
      <c r="B4" s="94" t="s">
        <v>111</v>
      </c>
      <c r="C4" s="94" t="s">
        <v>112</v>
      </c>
      <c r="D4" s="94" t="s">
        <v>119</v>
      </c>
      <c r="E4" s="94" t="s">
        <v>112</v>
      </c>
      <c r="F4" s="94" t="s">
        <v>119</v>
      </c>
      <c r="G4" s="94" t="s">
        <v>112</v>
      </c>
      <c r="H4" s="94" t="s">
        <v>119</v>
      </c>
      <c r="I4" s="94" t="s">
        <v>112</v>
      </c>
      <c r="J4" s="94" t="s">
        <v>112</v>
      </c>
      <c r="K4" s="94" t="s">
        <v>112</v>
      </c>
      <c r="L4" s="94" t="s">
        <v>112</v>
      </c>
      <c r="M4" s="94"/>
    </row>
    <row r="5" spans="1:13" ht="15.95" customHeight="1">
      <c r="A5" s="130">
        <v>42644</v>
      </c>
      <c r="B5" s="95">
        <f ca="1">SUMIF(INDIRECT(B$3&amp;"!$A:$A"),$A5,INDIRECT(B$3&amp;"!$G:$G"))</f>
        <v>1</v>
      </c>
      <c r="C5" s="95">
        <f t="shared" ref="B5:L20" ca="1" si="0">SUMIF(INDIRECT(C$3&amp;"!$A:$A"),$A5,INDIRECT(C$3&amp;"!$G:$G"))</f>
        <v>0</v>
      </c>
      <c r="D5" s="95">
        <f t="shared" ca="1" si="0"/>
        <v>2</v>
      </c>
      <c r="E5" s="95">
        <f t="shared" ca="1" si="0"/>
        <v>0</v>
      </c>
      <c r="F5" s="95">
        <f t="shared" ca="1" si="0"/>
        <v>9</v>
      </c>
      <c r="G5" s="95">
        <f t="shared" ca="1" si="0"/>
        <v>0</v>
      </c>
      <c r="H5" s="95">
        <f t="shared" ca="1" si="0"/>
        <v>6</v>
      </c>
      <c r="I5" s="95">
        <f t="shared" ca="1" si="0"/>
        <v>6</v>
      </c>
      <c r="J5" s="95">
        <f t="shared" ca="1" si="0"/>
        <v>1</v>
      </c>
      <c r="K5" s="164">
        <f ca="1">SUMIF(INDIRECT(K$3&amp;"!$A:$A"),$A5,INDIRECT(K$3&amp;"!$G:$G"))</f>
        <v>8</v>
      </c>
      <c r="L5" s="164">
        <f ca="1">SUMIF(INDIRECT(L$3&amp;"!$A:$A"),$A5,INDIRECT(L$3&amp;"!$G:$G"))</f>
        <v>0</v>
      </c>
      <c r="M5" s="95">
        <f t="shared" ref="M5:M35" ca="1" si="1">SUM(B5:J5)</f>
        <v>25</v>
      </c>
    </row>
    <row r="6" spans="1:13" ht="15.95" customHeight="1">
      <c r="A6" s="130">
        <f>A5+1</f>
        <v>42645</v>
      </c>
      <c r="B6" s="95">
        <f t="shared" ca="1" si="0"/>
        <v>1</v>
      </c>
      <c r="C6" s="95">
        <f t="shared" ca="1" si="0"/>
        <v>0</v>
      </c>
      <c r="D6" s="95">
        <f t="shared" ca="1" si="0"/>
        <v>5</v>
      </c>
      <c r="E6" s="95">
        <f t="shared" ca="1" si="0"/>
        <v>0</v>
      </c>
      <c r="F6" s="95">
        <f t="shared" ca="1" si="0"/>
        <v>3</v>
      </c>
      <c r="G6" s="95">
        <f t="shared" ca="1" si="0"/>
        <v>0</v>
      </c>
      <c r="H6" s="95">
        <f t="shared" ca="1" si="0"/>
        <v>11</v>
      </c>
      <c r="I6" s="95">
        <f t="shared" ca="1" si="0"/>
        <v>19</v>
      </c>
      <c r="J6" s="95">
        <f t="shared" ca="1" si="0"/>
        <v>4</v>
      </c>
      <c r="K6" s="164">
        <f t="shared" ca="1" si="0"/>
        <v>11</v>
      </c>
      <c r="L6" s="164">
        <f t="shared" ca="1" si="0"/>
        <v>0</v>
      </c>
      <c r="M6" s="95">
        <f t="shared" ca="1" si="1"/>
        <v>43</v>
      </c>
    </row>
    <row r="7" spans="1:13" ht="15.95" customHeight="1">
      <c r="A7" s="130">
        <f t="shared" ref="A7:A35" si="2">A6+1</f>
        <v>42646</v>
      </c>
      <c r="B7" s="95">
        <f t="shared" ca="1" si="0"/>
        <v>0</v>
      </c>
      <c r="C7" s="95">
        <f t="shared" ca="1" si="0"/>
        <v>0</v>
      </c>
      <c r="D7" s="95">
        <f t="shared" ca="1" si="0"/>
        <v>7</v>
      </c>
      <c r="E7" s="95">
        <f t="shared" ca="1" si="0"/>
        <v>0</v>
      </c>
      <c r="F7" s="95">
        <f t="shared" ca="1" si="0"/>
        <v>3</v>
      </c>
      <c r="G7" s="95">
        <f t="shared" ca="1" si="0"/>
        <v>0</v>
      </c>
      <c r="H7" s="95">
        <f t="shared" ca="1" si="0"/>
        <v>10</v>
      </c>
      <c r="I7" s="95">
        <f t="shared" ca="1" si="0"/>
        <v>15</v>
      </c>
      <c r="J7" s="95">
        <f t="shared" ca="1" si="0"/>
        <v>2</v>
      </c>
      <c r="K7" s="164">
        <f t="shared" ca="1" si="0"/>
        <v>7</v>
      </c>
      <c r="L7" s="164">
        <f t="shared" ca="1" si="0"/>
        <v>2</v>
      </c>
      <c r="M7" s="95">
        <f t="shared" ca="1" si="1"/>
        <v>37</v>
      </c>
    </row>
    <row r="8" spans="1:13" ht="15.95" customHeight="1">
      <c r="A8" s="130">
        <f t="shared" si="2"/>
        <v>42647</v>
      </c>
      <c r="B8" s="95">
        <f t="shared" ca="1" si="0"/>
        <v>1</v>
      </c>
      <c r="C8" s="95">
        <f t="shared" ca="1" si="0"/>
        <v>0</v>
      </c>
      <c r="D8" s="95">
        <f t="shared" ca="1" si="0"/>
        <v>6</v>
      </c>
      <c r="E8" s="95">
        <f t="shared" ca="1" si="0"/>
        <v>0</v>
      </c>
      <c r="F8" s="95">
        <f t="shared" ca="1" si="0"/>
        <v>0</v>
      </c>
      <c r="G8" s="95">
        <f t="shared" ca="1" si="0"/>
        <v>0</v>
      </c>
      <c r="H8" s="95">
        <f t="shared" ca="1" si="0"/>
        <v>16</v>
      </c>
      <c r="I8" s="95">
        <f t="shared" ca="1" si="0"/>
        <v>25</v>
      </c>
      <c r="J8" s="95">
        <f t="shared" ca="1" si="0"/>
        <v>8</v>
      </c>
      <c r="K8" s="164">
        <f t="shared" ca="1" si="0"/>
        <v>14</v>
      </c>
      <c r="L8" s="164">
        <f t="shared" ca="1" si="0"/>
        <v>3</v>
      </c>
      <c r="M8" s="95">
        <f t="shared" ca="1" si="1"/>
        <v>56</v>
      </c>
    </row>
    <row r="9" spans="1:13" ht="15.95" customHeight="1">
      <c r="A9" s="130">
        <f t="shared" si="2"/>
        <v>42648</v>
      </c>
      <c r="B9" s="95">
        <f t="shared" ca="1" si="0"/>
        <v>0</v>
      </c>
      <c r="C9" s="95">
        <f t="shared" ca="1" si="0"/>
        <v>0</v>
      </c>
      <c r="D9" s="95">
        <f t="shared" ca="1" si="0"/>
        <v>2</v>
      </c>
      <c r="E9" s="95">
        <f t="shared" ca="1" si="0"/>
        <v>0</v>
      </c>
      <c r="F9" s="95">
        <f t="shared" ca="1" si="0"/>
        <v>5</v>
      </c>
      <c r="G9" s="95">
        <f t="shared" ca="1" si="0"/>
        <v>0</v>
      </c>
      <c r="H9" s="95">
        <f t="shared" ca="1" si="0"/>
        <v>14</v>
      </c>
      <c r="I9" s="95">
        <f t="shared" ca="1" si="0"/>
        <v>12</v>
      </c>
      <c r="J9" s="95">
        <f t="shared" ca="1" si="0"/>
        <v>13</v>
      </c>
      <c r="K9" s="164">
        <f t="shared" ca="1" si="0"/>
        <v>15</v>
      </c>
      <c r="L9" s="164">
        <f t="shared" ca="1" si="0"/>
        <v>3</v>
      </c>
      <c r="M9" s="95">
        <f t="shared" ca="1" si="1"/>
        <v>46</v>
      </c>
    </row>
    <row r="10" spans="1:13" ht="15.95" customHeight="1">
      <c r="A10" s="130">
        <f t="shared" si="2"/>
        <v>42649</v>
      </c>
      <c r="B10" s="95">
        <f t="shared" ca="1" si="0"/>
        <v>1</v>
      </c>
      <c r="C10" s="95">
        <f t="shared" ca="1" si="0"/>
        <v>0</v>
      </c>
      <c r="D10" s="95">
        <f t="shared" ca="1" si="0"/>
        <v>0</v>
      </c>
      <c r="E10" s="95">
        <f t="shared" ca="1" si="0"/>
        <v>0</v>
      </c>
      <c r="F10" s="95">
        <f t="shared" ca="1" si="0"/>
        <v>1</v>
      </c>
      <c r="G10" s="95">
        <f t="shared" ca="1" si="0"/>
        <v>0</v>
      </c>
      <c r="H10" s="95">
        <f t="shared" ca="1" si="0"/>
        <v>13</v>
      </c>
      <c r="I10" s="95">
        <f t="shared" ca="1" si="0"/>
        <v>9</v>
      </c>
      <c r="J10" s="95">
        <f t="shared" ca="1" si="0"/>
        <v>11</v>
      </c>
      <c r="K10" s="164">
        <f t="shared" ca="1" si="0"/>
        <v>12</v>
      </c>
      <c r="L10" s="164">
        <f t="shared" ca="1" si="0"/>
        <v>5</v>
      </c>
      <c r="M10" s="95">
        <f t="shared" ca="1" si="1"/>
        <v>35</v>
      </c>
    </row>
    <row r="11" spans="1:13" ht="15.95" customHeight="1">
      <c r="A11" s="130">
        <f t="shared" si="2"/>
        <v>42650</v>
      </c>
      <c r="B11" s="95">
        <f t="shared" ca="1" si="0"/>
        <v>1</v>
      </c>
      <c r="C11" s="95">
        <f t="shared" ca="1" si="0"/>
        <v>0</v>
      </c>
      <c r="D11" s="95">
        <f t="shared" ca="1" si="0"/>
        <v>3</v>
      </c>
      <c r="E11" s="95">
        <f t="shared" ca="1" si="0"/>
        <v>0</v>
      </c>
      <c r="F11" s="95">
        <f t="shared" ca="1" si="0"/>
        <v>1</v>
      </c>
      <c r="G11" s="95">
        <f t="shared" ca="1" si="0"/>
        <v>0</v>
      </c>
      <c r="H11" s="95">
        <f t="shared" ca="1" si="0"/>
        <v>11</v>
      </c>
      <c r="I11" s="95">
        <f t="shared" ca="1" si="0"/>
        <v>14</v>
      </c>
      <c r="J11" s="95">
        <f t="shared" ca="1" si="0"/>
        <v>6</v>
      </c>
      <c r="K11" s="164">
        <f t="shared" ca="1" si="0"/>
        <v>12</v>
      </c>
      <c r="L11" s="164">
        <f t="shared" ca="1" si="0"/>
        <v>0</v>
      </c>
      <c r="M11" s="95">
        <f t="shared" ca="1" si="1"/>
        <v>36</v>
      </c>
    </row>
    <row r="12" spans="1:13" ht="15.95" customHeight="1">
      <c r="A12" s="130">
        <f t="shared" si="2"/>
        <v>42651</v>
      </c>
      <c r="B12" s="95">
        <f t="shared" ca="1" si="0"/>
        <v>2</v>
      </c>
      <c r="C12" s="95">
        <f t="shared" ca="1" si="0"/>
        <v>0</v>
      </c>
      <c r="D12" s="95">
        <f t="shared" ca="1" si="0"/>
        <v>1</v>
      </c>
      <c r="E12" s="95">
        <f t="shared" ca="1" si="0"/>
        <v>0</v>
      </c>
      <c r="F12" s="95">
        <f t="shared" ca="1" si="0"/>
        <v>0</v>
      </c>
      <c r="G12" s="95">
        <f t="shared" ca="1" si="0"/>
        <v>0</v>
      </c>
      <c r="H12" s="95">
        <f t="shared" ca="1" si="0"/>
        <v>7</v>
      </c>
      <c r="I12" s="95">
        <f t="shared" ca="1" si="0"/>
        <v>14</v>
      </c>
      <c r="J12" s="95">
        <f t="shared" ca="1" si="0"/>
        <v>6</v>
      </c>
      <c r="K12" s="164">
        <f t="shared" ca="1" si="0"/>
        <v>11</v>
      </c>
      <c r="L12" s="164">
        <f t="shared" ca="1" si="0"/>
        <v>1</v>
      </c>
      <c r="M12" s="95">
        <f t="shared" ca="1" si="1"/>
        <v>30</v>
      </c>
    </row>
    <row r="13" spans="1:13" ht="15.95" customHeight="1">
      <c r="A13" s="130">
        <f t="shared" si="2"/>
        <v>42652</v>
      </c>
      <c r="B13" s="95">
        <f t="shared" ca="1" si="0"/>
        <v>0</v>
      </c>
      <c r="C13" s="95">
        <f t="shared" ca="1" si="0"/>
        <v>2</v>
      </c>
      <c r="D13" s="95">
        <f t="shared" ca="1" si="0"/>
        <v>3</v>
      </c>
      <c r="E13" s="95">
        <f t="shared" ca="1" si="0"/>
        <v>0</v>
      </c>
      <c r="F13" s="95">
        <f t="shared" ca="1" si="0"/>
        <v>1</v>
      </c>
      <c r="G13" s="95">
        <f t="shared" ca="1" si="0"/>
        <v>0</v>
      </c>
      <c r="H13" s="95">
        <f t="shared" ca="1" si="0"/>
        <v>14</v>
      </c>
      <c r="I13" s="95">
        <f t="shared" ca="1" si="0"/>
        <v>12</v>
      </c>
      <c r="J13" s="95">
        <f t="shared" ca="1" si="0"/>
        <v>7</v>
      </c>
      <c r="K13" s="164">
        <f t="shared" ca="1" si="0"/>
        <v>16</v>
      </c>
      <c r="L13" s="164">
        <f t="shared" ca="1" si="0"/>
        <v>0</v>
      </c>
      <c r="M13" s="95">
        <f t="shared" ca="1" si="1"/>
        <v>39</v>
      </c>
    </row>
    <row r="14" spans="1:13" ht="15.95" customHeight="1">
      <c r="A14" s="130">
        <f t="shared" si="2"/>
        <v>42653</v>
      </c>
      <c r="B14" s="95">
        <f t="shared" ca="1" si="0"/>
        <v>0</v>
      </c>
      <c r="C14" s="95">
        <f t="shared" ca="1" si="0"/>
        <v>0</v>
      </c>
      <c r="D14" s="95">
        <f t="shared" ca="1" si="0"/>
        <v>7</v>
      </c>
      <c r="E14" s="95">
        <f t="shared" ca="1" si="0"/>
        <v>0</v>
      </c>
      <c r="F14" s="95">
        <f t="shared" ca="1" si="0"/>
        <v>4</v>
      </c>
      <c r="G14" s="95">
        <f t="shared" ca="1" si="0"/>
        <v>0</v>
      </c>
      <c r="H14" s="95">
        <f t="shared" ca="1" si="0"/>
        <v>16</v>
      </c>
      <c r="I14" s="95">
        <f t="shared" ca="1" si="0"/>
        <v>13</v>
      </c>
      <c r="J14" s="95">
        <f t="shared" ca="1" si="0"/>
        <v>5</v>
      </c>
      <c r="K14" s="164">
        <f t="shared" ca="1" si="0"/>
        <v>18</v>
      </c>
      <c r="L14" s="164">
        <f t="shared" ca="1" si="0"/>
        <v>1</v>
      </c>
      <c r="M14" s="95">
        <f t="shared" ca="1" si="1"/>
        <v>45</v>
      </c>
    </row>
    <row r="15" spans="1:13" ht="15.95" customHeight="1">
      <c r="A15" s="130">
        <f t="shared" si="2"/>
        <v>42654</v>
      </c>
      <c r="B15" s="95">
        <f t="shared" ca="1" si="0"/>
        <v>0</v>
      </c>
      <c r="C15" s="95">
        <f t="shared" ca="1" si="0"/>
        <v>1</v>
      </c>
      <c r="D15" s="95">
        <f t="shared" ca="1" si="0"/>
        <v>5</v>
      </c>
      <c r="E15" s="95">
        <f t="shared" ca="1" si="0"/>
        <v>0</v>
      </c>
      <c r="F15" s="95">
        <f t="shared" ca="1" si="0"/>
        <v>2</v>
      </c>
      <c r="G15" s="95">
        <f t="shared" ca="1" si="0"/>
        <v>0</v>
      </c>
      <c r="H15" s="95">
        <f t="shared" ca="1" si="0"/>
        <v>10</v>
      </c>
      <c r="I15" s="95">
        <f t="shared" ca="1" si="0"/>
        <v>16</v>
      </c>
      <c r="J15" s="95">
        <f t="shared" ca="1" si="0"/>
        <v>10</v>
      </c>
      <c r="K15" s="164">
        <f t="shared" ca="1" si="0"/>
        <v>13</v>
      </c>
      <c r="L15" s="164">
        <f t="shared" ca="1" si="0"/>
        <v>2</v>
      </c>
      <c r="M15" s="95">
        <f t="shared" ca="1" si="1"/>
        <v>44</v>
      </c>
    </row>
    <row r="16" spans="1:13" ht="15.95" customHeight="1">
      <c r="A16" s="130">
        <f t="shared" si="2"/>
        <v>42655</v>
      </c>
      <c r="B16" s="95">
        <f t="shared" ca="1" si="0"/>
        <v>0</v>
      </c>
      <c r="C16" s="95">
        <f t="shared" ca="1" si="0"/>
        <v>2</v>
      </c>
      <c r="D16" s="95">
        <f t="shared" ca="1" si="0"/>
        <v>3</v>
      </c>
      <c r="E16" s="95">
        <f t="shared" ca="1" si="0"/>
        <v>0</v>
      </c>
      <c r="F16" s="95">
        <f t="shared" ca="1" si="0"/>
        <v>5</v>
      </c>
      <c r="G16" s="95">
        <f t="shared" ca="1" si="0"/>
        <v>0</v>
      </c>
      <c r="H16" s="95">
        <f t="shared" ca="1" si="0"/>
        <v>10</v>
      </c>
      <c r="I16" s="95">
        <f t="shared" ca="1" si="0"/>
        <v>18</v>
      </c>
      <c r="J16" s="95">
        <f t="shared" ca="1" si="0"/>
        <v>3</v>
      </c>
      <c r="K16" s="164">
        <f t="shared" ca="1" si="0"/>
        <v>12</v>
      </c>
      <c r="L16" s="164">
        <f t="shared" ca="1" si="0"/>
        <v>2</v>
      </c>
      <c r="M16" s="95">
        <f t="shared" ca="1" si="1"/>
        <v>41</v>
      </c>
    </row>
    <row r="17" spans="1:13" ht="15.95" customHeight="1">
      <c r="A17" s="130">
        <f t="shared" si="2"/>
        <v>42656</v>
      </c>
      <c r="B17" s="95">
        <f t="shared" ca="1" si="0"/>
        <v>1</v>
      </c>
      <c r="C17" s="95">
        <f t="shared" ca="1" si="0"/>
        <v>3</v>
      </c>
      <c r="D17" s="95">
        <f t="shared" ca="1" si="0"/>
        <v>6</v>
      </c>
      <c r="E17" s="95">
        <f t="shared" ca="1" si="0"/>
        <v>0</v>
      </c>
      <c r="F17" s="95">
        <f t="shared" ca="1" si="0"/>
        <v>1</v>
      </c>
      <c r="G17" s="95">
        <f t="shared" ca="1" si="0"/>
        <v>0</v>
      </c>
      <c r="H17" s="95">
        <f t="shared" ca="1" si="0"/>
        <v>12</v>
      </c>
      <c r="I17" s="95">
        <f t="shared" ca="1" si="0"/>
        <v>13</v>
      </c>
      <c r="J17" s="95">
        <f t="shared" ca="1" si="0"/>
        <v>7</v>
      </c>
      <c r="K17" s="164">
        <f t="shared" ca="1" si="0"/>
        <v>10</v>
      </c>
      <c r="L17" s="164">
        <f t="shared" ca="1" si="0"/>
        <v>0</v>
      </c>
      <c r="M17" s="95">
        <f t="shared" ca="1" si="1"/>
        <v>43</v>
      </c>
    </row>
    <row r="18" spans="1:13" ht="15.95" customHeight="1">
      <c r="A18" s="130">
        <f t="shared" si="2"/>
        <v>42657</v>
      </c>
      <c r="B18" s="95">
        <f t="shared" ref="B18:J18" ca="1" si="3">SUMIF(INDIRECT(B$3&amp;"!$A:$A"),$A18,INDIRECT(B$3&amp;"!$G:$G"))</f>
        <v>0</v>
      </c>
      <c r="C18" s="95">
        <f t="shared" ca="1" si="3"/>
        <v>0</v>
      </c>
      <c r="D18" s="95">
        <f t="shared" ca="1" si="3"/>
        <v>8</v>
      </c>
      <c r="E18" s="95">
        <f t="shared" ca="1" si="3"/>
        <v>0</v>
      </c>
      <c r="F18" s="95">
        <f t="shared" ca="1" si="0"/>
        <v>1</v>
      </c>
      <c r="G18" s="95">
        <f t="shared" ca="1" si="3"/>
        <v>0</v>
      </c>
      <c r="H18" s="95">
        <f t="shared" ca="1" si="3"/>
        <v>10</v>
      </c>
      <c r="I18" s="95">
        <f t="shared" ca="1" si="3"/>
        <v>8</v>
      </c>
      <c r="J18" s="95">
        <f t="shared" ca="1" si="3"/>
        <v>1</v>
      </c>
      <c r="K18" s="164">
        <f t="shared" ca="1" si="0"/>
        <v>12</v>
      </c>
      <c r="L18" s="164">
        <f t="shared" ca="1" si="0"/>
        <v>0</v>
      </c>
      <c r="M18" s="95">
        <f t="shared" ca="1" si="1"/>
        <v>28</v>
      </c>
    </row>
    <row r="19" spans="1:13" ht="15.95" customHeight="1">
      <c r="A19" s="130">
        <f t="shared" si="2"/>
        <v>42658</v>
      </c>
      <c r="B19" s="95">
        <f t="shared" ref="B19:L34" ca="1" si="4">SUMIF(INDIRECT(B$3&amp;"!$A:$A"),$A19,INDIRECT(B$3&amp;"!$G:$G"))</f>
        <v>0</v>
      </c>
      <c r="C19" s="95">
        <f t="shared" ca="1" si="4"/>
        <v>0</v>
      </c>
      <c r="D19" s="95">
        <f t="shared" ca="1" si="4"/>
        <v>0</v>
      </c>
      <c r="E19" s="95">
        <f t="shared" ca="1" si="4"/>
        <v>0</v>
      </c>
      <c r="F19" s="95">
        <f t="shared" ca="1" si="0"/>
        <v>0</v>
      </c>
      <c r="G19" s="95">
        <f t="shared" ca="1" si="4"/>
        <v>0</v>
      </c>
      <c r="H19" s="95">
        <f t="shared" ca="1" si="4"/>
        <v>0</v>
      </c>
      <c r="I19" s="95">
        <f t="shared" ca="1" si="4"/>
        <v>0</v>
      </c>
      <c r="J19" s="95">
        <f t="shared" ca="1" si="4"/>
        <v>0</v>
      </c>
      <c r="K19" s="164">
        <f t="shared" ca="1" si="0"/>
        <v>9</v>
      </c>
      <c r="L19" s="164">
        <f t="shared" ca="1" si="0"/>
        <v>0</v>
      </c>
      <c r="M19" s="95">
        <f t="shared" ca="1" si="1"/>
        <v>0</v>
      </c>
    </row>
    <row r="20" spans="1:13" ht="15.95" customHeight="1">
      <c r="A20" s="130">
        <f t="shared" si="2"/>
        <v>42659</v>
      </c>
      <c r="B20" s="95">
        <f t="shared" ca="1" si="4"/>
        <v>0</v>
      </c>
      <c r="C20" s="95">
        <f t="shared" ca="1" si="4"/>
        <v>0</v>
      </c>
      <c r="D20" s="95">
        <f t="shared" ca="1" si="4"/>
        <v>0</v>
      </c>
      <c r="E20" s="95">
        <f t="shared" ca="1" si="4"/>
        <v>0</v>
      </c>
      <c r="F20" s="95">
        <f t="shared" ca="1" si="0"/>
        <v>0</v>
      </c>
      <c r="G20" s="95">
        <f t="shared" ca="1" si="4"/>
        <v>0</v>
      </c>
      <c r="H20" s="95">
        <f t="shared" ca="1" si="4"/>
        <v>0</v>
      </c>
      <c r="I20" s="95">
        <f t="shared" ca="1" si="4"/>
        <v>0</v>
      </c>
      <c r="J20" s="95">
        <f t="shared" ca="1" si="4"/>
        <v>0</v>
      </c>
      <c r="K20" s="164">
        <f t="shared" ca="1" si="0"/>
        <v>7</v>
      </c>
      <c r="L20" s="164">
        <f t="shared" ca="1" si="0"/>
        <v>0</v>
      </c>
      <c r="M20" s="95">
        <f t="shared" ca="1" si="1"/>
        <v>0</v>
      </c>
    </row>
    <row r="21" spans="1:13" ht="15.95" customHeight="1">
      <c r="A21" s="130">
        <f t="shared" si="2"/>
        <v>42660</v>
      </c>
      <c r="B21" s="95">
        <f t="shared" ca="1" si="4"/>
        <v>0</v>
      </c>
      <c r="C21" s="95">
        <f t="shared" ca="1" si="4"/>
        <v>0</v>
      </c>
      <c r="D21" s="95">
        <f t="shared" ca="1" si="4"/>
        <v>0</v>
      </c>
      <c r="E21" s="95">
        <f t="shared" ca="1" si="4"/>
        <v>0</v>
      </c>
      <c r="F21" s="95">
        <f t="shared" ca="1" si="4"/>
        <v>0</v>
      </c>
      <c r="G21" s="95">
        <f t="shared" ca="1" si="4"/>
        <v>0</v>
      </c>
      <c r="H21" s="95">
        <f t="shared" ca="1" si="4"/>
        <v>0</v>
      </c>
      <c r="I21" s="95">
        <f t="shared" ca="1" si="4"/>
        <v>0</v>
      </c>
      <c r="J21" s="95">
        <f t="shared" ca="1" si="4"/>
        <v>0</v>
      </c>
      <c r="K21" s="164">
        <f t="shared" ca="1" si="4"/>
        <v>0</v>
      </c>
      <c r="L21" s="164">
        <f t="shared" ca="1" si="4"/>
        <v>0</v>
      </c>
      <c r="M21" s="95">
        <f t="shared" ca="1" si="1"/>
        <v>0</v>
      </c>
    </row>
    <row r="22" spans="1:13" ht="15.95" customHeight="1">
      <c r="A22" s="130">
        <f t="shared" si="2"/>
        <v>42661</v>
      </c>
      <c r="B22" s="95">
        <f t="shared" ca="1" si="4"/>
        <v>0</v>
      </c>
      <c r="C22" s="95">
        <f t="shared" ca="1" si="4"/>
        <v>0</v>
      </c>
      <c r="D22" s="95">
        <f t="shared" ca="1" si="4"/>
        <v>0</v>
      </c>
      <c r="E22" s="95">
        <f t="shared" ca="1" si="4"/>
        <v>0</v>
      </c>
      <c r="F22" s="95">
        <f t="shared" ca="1" si="4"/>
        <v>0</v>
      </c>
      <c r="G22" s="95">
        <f t="shared" ca="1" si="4"/>
        <v>0</v>
      </c>
      <c r="H22" s="95">
        <f t="shared" ca="1" si="4"/>
        <v>0</v>
      </c>
      <c r="I22" s="95">
        <f t="shared" ca="1" si="4"/>
        <v>0</v>
      </c>
      <c r="J22" s="95">
        <f t="shared" ca="1" si="4"/>
        <v>0</v>
      </c>
      <c r="K22" s="164">
        <f t="shared" ca="1" si="4"/>
        <v>0</v>
      </c>
      <c r="L22" s="164">
        <f t="shared" ca="1" si="4"/>
        <v>0</v>
      </c>
      <c r="M22" s="95">
        <f t="shared" ca="1" si="1"/>
        <v>0</v>
      </c>
    </row>
    <row r="23" spans="1:13" ht="15.95" customHeight="1">
      <c r="A23" s="130">
        <f t="shared" si="2"/>
        <v>42662</v>
      </c>
      <c r="B23" s="95">
        <f t="shared" ca="1" si="4"/>
        <v>0</v>
      </c>
      <c r="C23" s="95">
        <f t="shared" ca="1" si="4"/>
        <v>0</v>
      </c>
      <c r="D23" s="95">
        <f t="shared" ca="1" si="4"/>
        <v>0</v>
      </c>
      <c r="E23" s="95">
        <f t="shared" ca="1" si="4"/>
        <v>0</v>
      </c>
      <c r="F23" s="95">
        <f t="shared" ca="1" si="4"/>
        <v>0</v>
      </c>
      <c r="G23" s="95">
        <f t="shared" ca="1" si="4"/>
        <v>0</v>
      </c>
      <c r="H23" s="95">
        <f t="shared" ca="1" si="4"/>
        <v>0</v>
      </c>
      <c r="I23" s="95">
        <f t="shared" ca="1" si="4"/>
        <v>0</v>
      </c>
      <c r="J23" s="95">
        <f t="shared" ca="1" si="4"/>
        <v>0</v>
      </c>
      <c r="K23" s="164">
        <f t="shared" ca="1" si="4"/>
        <v>0</v>
      </c>
      <c r="L23" s="164">
        <f t="shared" ca="1" si="4"/>
        <v>0</v>
      </c>
      <c r="M23" s="95">
        <f t="shared" ca="1" si="1"/>
        <v>0</v>
      </c>
    </row>
    <row r="24" spans="1:13" ht="15.95" customHeight="1">
      <c r="A24" s="130">
        <f t="shared" si="2"/>
        <v>42663</v>
      </c>
      <c r="B24" s="95">
        <f t="shared" ca="1" si="4"/>
        <v>0</v>
      </c>
      <c r="C24" s="95">
        <f t="shared" ca="1" si="4"/>
        <v>0</v>
      </c>
      <c r="D24" s="95">
        <f t="shared" ca="1" si="4"/>
        <v>0</v>
      </c>
      <c r="E24" s="95">
        <f t="shared" ca="1" si="4"/>
        <v>0</v>
      </c>
      <c r="F24" s="95">
        <f t="shared" ca="1" si="4"/>
        <v>0</v>
      </c>
      <c r="G24" s="95">
        <f t="shared" ca="1" si="4"/>
        <v>0</v>
      </c>
      <c r="H24" s="95">
        <f t="shared" ca="1" si="4"/>
        <v>0</v>
      </c>
      <c r="I24" s="95">
        <f t="shared" ca="1" si="4"/>
        <v>0</v>
      </c>
      <c r="J24" s="95">
        <f t="shared" ca="1" si="4"/>
        <v>0</v>
      </c>
      <c r="K24" s="164">
        <f t="shared" ca="1" si="4"/>
        <v>0</v>
      </c>
      <c r="L24" s="164">
        <f t="shared" ca="1" si="4"/>
        <v>0</v>
      </c>
      <c r="M24" s="95">
        <f t="shared" ca="1" si="1"/>
        <v>0</v>
      </c>
    </row>
    <row r="25" spans="1:13" ht="15.95" customHeight="1">
      <c r="A25" s="130">
        <f t="shared" si="2"/>
        <v>42664</v>
      </c>
      <c r="B25" s="95">
        <f t="shared" ca="1" si="4"/>
        <v>0</v>
      </c>
      <c r="C25" s="95">
        <f t="shared" ca="1" si="4"/>
        <v>0</v>
      </c>
      <c r="D25" s="95">
        <f t="shared" ca="1" si="4"/>
        <v>0</v>
      </c>
      <c r="E25" s="95">
        <f t="shared" ca="1" si="4"/>
        <v>0</v>
      </c>
      <c r="F25" s="95">
        <f t="shared" ca="1" si="4"/>
        <v>0</v>
      </c>
      <c r="G25" s="95">
        <f t="shared" ca="1" si="4"/>
        <v>0</v>
      </c>
      <c r="H25" s="95">
        <f t="shared" ca="1" si="4"/>
        <v>0</v>
      </c>
      <c r="I25" s="95">
        <f t="shared" ca="1" si="4"/>
        <v>0</v>
      </c>
      <c r="J25" s="95">
        <f t="shared" ca="1" si="4"/>
        <v>0</v>
      </c>
      <c r="K25" s="164">
        <f t="shared" ca="1" si="4"/>
        <v>0</v>
      </c>
      <c r="L25" s="164">
        <f t="shared" ca="1" si="4"/>
        <v>0</v>
      </c>
      <c r="M25" s="95">
        <f t="shared" ca="1" si="1"/>
        <v>0</v>
      </c>
    </row>
    <row r="26" spans="1:13" ht="15.95" customHeight="1">
      <c r="A26" s="130">
        <f t="shared" si="2"/>
        <v>42665</v>
      </c>
      <c r="B26" s="95">
        <f t="shared" ca="1" si="4"/>
        <v>0</v>
      </c>
      <c r="C26" s="95">
        <f t="shared" ca="1" si="4"/>
        <v>0</v>
      </c>
      <c r="D26" s="95">
        <f t="shared" ca="1" si="4"/>
        <v>0</v>
      </c>
      <c r="E26" s="95">
        <f t="shared" ca="1" si="4"/>
        <v>0</v>
      </c>
      <c r="F26" s="95">
        <f t="shared" ca="1" si="4"/>
        <v>0</v>
      </c>
      <c r="G26" s="95">
        <f t="shared" ca="1" si="4"/>
        <v>0</v>
      </c>
      <c r="H26" s="95">
        <f t="shared" ca="1" si="4"/>
        <v>0</v>
      </c>
      <c r="I26" s="95">
        <f t="shared" ca="1" si="4"/>
        <v>0</v>
      </c>
      <c r="J26" s="95">
        <f t="shared" ca="1" si="4"/>
        <v>0</v>
      </c>
      <c r="K26" s="164">
        <f t="shared" ca="1" si="4"/>
        <v>0</v>
      </c>
      <c r="L26" s="164">
        <f t="shared" ca="1" si="4"/>
        <v>0</v>
      </c>
      <c r="M26" s="95">
        <f t="shared" ca="1" si="1"/>
        <v>0</v>
      </c>
    </row>
    <row r="27" spans="1:13" ht="15.95" customHeight="1">
      <c r="A27" s="130">
        <f t="shared" si="2"/>
        <v>42666</v>
      </c>
      <c r="B27" s="95">
        <f t="shared" ca="1" si="4"/>
        <v>0</v>
      </c>
      <c r="C27" s="95">
        <f t="shared" ca="1" si="4"/>
        <v>0</v>
      </c>
      <c r="D27" s="95">
        <f t="shared" ca="1" si="4"/>
        <v>0</v>
      </c>
      <c r="E27" s="95">
        <f t="shared" ca="1" si="4"/>
        <v>0</v>
      </c>
      <c r="F27" s="95">
        <f t="shared" ca="1" si="4"/>
        <v>0</v>
      </c>
      <c r="G27" s="95">
        <f t="shared" ca="1" si="4"/>
        <v>0</v>
      </c>
      <c r="H27" s="95">
        <f t="shared" ca="1" si="4"/>
        <v>0</v>
      </c>
      <c r="I27" s="95">
        <f t="shared" ca="1" si="4"/>
        <v>0</v>
      </c>
      <c r="J27" s="95">
        <f t="shared" ca="1" si="4"/>
        <v>0</v>
      </c>
      <c r="K27" s="164">
        <f t="shared" ca="1" si="4"/>
        <v>0</v>
      </c>
      <c r="L27" s="164">
        <f t="shared" ca="1" si="4"/>
        <v>0</v>
      </c>
      <c r="M27" s="95">
        <f t="shared" ca="1" si="1"/>
        <v>0</v>
      </c>
    </row>
    <row r="28" spans="1:13" ht="15.95" customHeight="1">
      <c r="A28" s="130">
        <f t="shared" si="2"/>
        <v>42667</v>
      </c>
      <c r="B28" s="95">
        <f t="shared" ca="1" si="4"/>
        <v>0</v>
      </c>
      <c r="C28" s="95">
        <f t="shared" ca="1" si="4"/>
        <v>0</v>
      </c>
      <c r="D28" s="95">
        <f t="shared" ca="1" si="4"/>
        <v>0</v>
      </c>
      <c r="E28" s="95">
        <f t="shared" ca="1" si="4"/>
        <v>0</v>
      </c>
      <c r="F28" s="95">
        <f t="shared" ca="1" si="4"/>
        <v>0</v>
      </c>
      <c r="G28" s="95">
        <f t="shared" ca="1" si="4"/>
        <v>0</v>
      </c>
      <c r="H28" s="95">
        <f t="shared" ca="1" si="4"/>
        <v>0</v>
      </c>
      <c r="I28" s="95">
        <f t="shared" ca="1" si="4"/>
        <v>0</v>
      </c>
      <c r="J28" s="95">
        <f t="shared" ca="1" si="4"/>
        <v>0</v>
      </c>
      <c r="K28" s="164">
        <f t="shared" ca="1" si="4"/>
        <v>0</v>
      </c>
      <c r="L28" s="164">
        <f t="shared" ca="1" si="4"/>
        <v>0</v>
      </c>
      <c r="M28" s="95">
        <f t="shared" ca="1" si="1"/>
        <v>0</v>
      </c>
    </row>
    <row r="29" spans="1:13" ht="15.95" customHeight="1">
      <c r="A29" s="130">
        <f t="shared" si="2"/>
        <v>42668</v>
      </c>
      <c r="B29" s="95">
        <f t="shared" ca="1" si="4"/>
        <v>0</v>
      </c>
      <c r="C29" s="95">
        <f t="shared" ca="1" si="4"/>
        <v>0</v>
      </c>
      <c r="D29" s="95">
        <f t="shared" ca="1" si="4"/>
        <v>0</v>
      </c>
      <c r="E29" s="95">
        <f t="shared" ca="1" si="4"/>
        <v>0</v>
      </c>
      <c r="F29" s="95">
        <f t="shared" ca="1" si="4"/>
        <v>0</v>
      </c>
      <c r="G29" s="95">
        <f t="shared" ca="1" si="4"/>
        <v>0</v>
      </c>
      <c r="H29" s="95">
        <f t="shared" ca="1" si="4"/>
        <v>0</v>
      </c>
      <c r="I29" s="95">
        <f t="shared" ca="1" si="4"/>
        <v>0</v>
      </c>
      <c r="J29" s="95">
        <f t="shared" ca="1" si="4"/>
        <v>0</v>
      </c>
      <c r="K29" s="164">
        <f t="shared" ca="1" si="4"/>
        <v>0</v>
      </c>
      <c r="L29" s="164">
        <f t="shared" ca="1" si="4"/>
        <v>0</v>
      </c>
      <c r="M29" s="95">
        <f t="shared" ca="1" si="1"/>
        <v>0</v>
      </c>
    </row>
    <row r="30" spans="1:13" ht="15.95" customHeight="1">
      <c r="A30" s="130">
        <f t="shared" si="2"/>
        <v>42669</v>
      </c>
      <c r="B30" s="95">
        <f t="shared" ca="1" si="4"/>
        <v>0</v>
      </c>
      <c r="C30" s="95">
        <f t="shared" ca="1" si="4"/>
        <v>0</v>
      </c>
      <c r="D30" s="95">
        <f t="shared" ca="1" si="4"/>
        <v>0</v>
      </c>
      <c r="E30" s="95">
        <f t="shared" ca="1" si="4"/>
        <v>0</v>
      </c>
      <c r="F30" s="95">
        <f t="shared" ca="1" si="4"/>
        <v>0</v>
      </c>
      <c r="G30" s="95">
        <f t="shared" ca="1" si="4"/>
        <v>0</v>
      </c>
      <c r="H30" s="95">
        <f t="shared" ca="1" si="4"/>
        <v>0</v>
      </c>
      <c r="I30" s="95">
        <f t="shared" ca="1" si="4"/>
        <v>0</v>
      </c>
      <c r="J30" s="95">
        <f t="shared" ca="1" si="4"/>
        <v>0</v>
      </c>
      <c r="K30" s="164">
        <f t="shared" ca="1" si="4"/>
        <v>0</v>
      </c>
      <c r="L30" s="164">
        <f t="shared" ca="1" si="4"/>
        <v>0</v>
      </c>
      <c r="M30" s="95">
        <f t="shared" ca="1" si="1"/>
        <v>0</v>
      </c>
    </row>
    <row r="31" spans="1:13" ht="15.95" customHeight="1">
      <c r="A31" s="130">
        <f t="shared" si="2"/>
        <v>42670</v>
      </c>
      <c r="B31" s="95">
        <f t="shared" ca="1" si="4"/>
        <v>0</v>
      </c>
      <c r="C31" s="95">
        <f t="shared" ca="1" si="4"/>
        <v>0</v>
      </c>
      <c r="D31" s="95">
        <f t="shared" ca="1" si="4"/>
        <v>0</v>
      </c>
      <c r="E31" s="95">
        <f t="shared" ca="1" si="4"/>
        <v>0</v>
      </c>
      <c r="F31" s="95">
        <f t="shared" ca="1" si="4"/>
        <v>0</v>
      </c>
      <c r="G31" s="95">
        <f t="shared" ca="1" si="4"/>
        <v>0</v>
      </c>
      <c r="H31" s="95">
        <f t="shared" ca="1" si="4"/>
        <v>0</v>
      </c>
      <c r="I31" s="95">
        <f t="shared" ca="1" si="4"/>
        <v>0</v>
      </c>
      <c r="J31" s="95">
        <f t="shared" ca="1" si="4"/>
        <v>0</v>
      </c>
      <c r="K31" s="164">
        <f t="shared" ca="1" si="4"/>
        <v>0</v>
      </c>
      <c r="L31" s="164">
        <f t="shared" ca="1" si="4"/>
        <v>0</v>
      </c>
      <c r="M31" s="95">
        <f t="shared" ca="1" si="1"/>
        <v>0</v>
      </c>
    </row>
    <row r="32" spans="1:13" ht="15.95" customHeight="1">
      <c r="A32" s="130">
        <f t="shared" si="2"/>
        <v>42671</v>
      </c>
      <c r="B32" s="95">
        <f t="shared" ref="B32:L35" ca="1" si="5">SUMIF(INDIRECT(B$3&amp;"!$A:$A"),$A32,INDIRECT(B$3&amp;"!$G:$G"))</f>
        <v>0</v>
      </c>
      <c r="C32" s="95">
        <f t="shared" ca="1" si="5"/>
        <v>0</v>
      </c>
      <c r="D32" s="95">
        <f t="shared" ca="1" si="5"/>
        <v>0</v>
      </c>
      <c r="E32" s="95">
        <f t="shared" ca="1" si="5"/>
        <v>0</v>
      </c>
      <c r="F32" s="95">
        <f t="shared" ca="1" si="4"/>
        <v>0</v>
      </c>
      <c r="G32" s="95">
        <f t="shared" ca="1" si="5"/>
        <v>0</v>
      </c>
      <c r="H32" s="95">
        <f t="shared" ca="1" si="5"/>
        <v>0</v>
      </c>
      <c r="I32" s="95">
        <f t="shared" ca="1" si="5"/>
        <v>0</v>
      </c>
      <c r="J32" s="95">
        <f t="shared" ca="1" si="5"/>
        <v>0</v>
      </c>
      <c r="K32" s="164">
        <f t="shared" ca="1" si="4"/>
        <v>0</v>
      </c>
      <c r="L32" s="164">
        <f t="shared" ca="1" si="4"/>
        <v>0</v>
      </c>
      <c r="M32" s="95">
        <f t="shared" ca="1" si="1"/>
        <v>0</v>
      </c>
    </row>
    <row r="33" spans="1:13" ht="15.95" customHeight="1">
      <c r="A33" s="130">
        <f t="shared" si="2"/>
        <v>42672</v>
      </c>
      <c r="B33" s="95">
        <f t="shared" ca="1" si="5"/>
        <v>0</v>
      </c>
      <c r="C33" s="95">
        <f t="shared" ca="1" si="5"/>
        <v>0</v>
      </c>
      <c r="D33" s="95">
        <f t="shared" ca="1" si="5"/>
        <v>0</v>
      </c>
      <c r="E33" s="95">
        <f t="shared" ca="1" si="5"/>
        <v>0</v>
      </c>
      <c r="F33" s="95">
        <f t="shared" ca="1" si="4"/>
        <v>0</v>
      </c>
      <c r="G33" s="95">
        <f t="shared" ca="1" si="5"/>
        <v>0</v>
      </c>
      <c r="H33" s="95">
        <f t="shared" ca="1" si="5"/>
        <v>0</v>
      </c>
      <c r="I33" s="95">
        <f t="shared" ca="1" si="5"/>
        <v>0</v>
      </c>
      <c r="J33" s="95">
        <f t="shared" ca="1" si="5"/>
        <v>0</v>
      </c>
      <c r="K33" s="164">
        <f t="shared" ca="1" si="4"/>
        <v>0</v>
      </c>
      <c r="L33" s="164">
        <f t="shared" ca="1" si="4"/>
        <v>0</v>
      </c>
      <c r="M33" s="95">
        <f t="shared" ca="1" si="1"/>
        <v>0</v>
      </c>
    </row>
    <row r="34" spans="1:13" ht="15.95" customHeight="1">
      <c r="A34" s="130">
        <f t="shared" si="2"/>
        <v>42673</v>
      </c>
      <c r="B34" s="95">
        <f t="shared" ca="1" si="5"/>
        <v>0</v>
      </c>
      <c r="C34" s="95">
        <f t="shared" ca="1" si="5"/>
        <v>0</v>
      </c>
      <c r="D34" s="95">
        <f t="shared" ca="1" si="5"/>
        <v>0</v>
      </c>
      <c r="E34" s="95">
        <f t="shared" ca="1" si="5"/>
        <v>0</v>
      </c>
      <c r="F34" s="95">
        <f t="shared" ca="1" si="4"/>
        <v>0</v>
      </c>
      <c r="G34" s="95">
        <f t="shared" ca="1" si="5"/>
        <v>0</v>
      </c>
      <c r="H34" s="95">
        <f t="shared" ca="1" si="5"/>
        <v>0</v>
      </c>
      <c r="I34" s="95">
        <f t="shared" ca="1" si="5"/>
        <v>0</v>
      </c>
      <c r="J34" s="95">
        <f t="shared" ca="1" si="5"/>
        <v>0</v>
      </c>
      <c r="K34" s="164">
        <f t="shared" ca="1" si="4"/>
        <v>0</v>
      </c>
      <c r="L34" s="164">
        <f t="shared" ca="1" si="4"/>
        <v>0</v>
      </c>
      <c r="M34" s="95">
        <f t="shared" ca="1" si="1"/>
        <v>0</v>
      </c>
    </row>
    <row r="35" spans="1:13" ht="15.95" customHeight="1">
      <c r="A35" s="130">
        <f t="shared" si="2"/>
        <v>42674</v>
      </c>
      <c r="B35" s="95">
        <f t="shared" ca="1" si="5"/>
        <v>0</v>
      </c>
      <c r="C35" s="95">
        <f t="shared" ca="1" si="5"/>
        <v>0</v>
      </c>
      <c r="D35" s="95">
        <f t="shared" ca="1" si="5"/>
        <v>0</v>
      </c>
      <c r="E35" s="95">
        <f t="shared" ca="1" si="5"/>
        <v>0</v>
      </c>
      <c r="F35" s="95">
        <f t="shared" ca="1" si="5"/>
        <v>0</v>
      </c>
      <c r="G35" s="95">
        <f t="shared" ca="1" si="5"/>
        <v>0</v>
      </c>
      <c r="H35" s="95">
        <f t="shared" ca="1" si="5"/>
        <v>0</v>
      </c>
      <c r="I35" s="95">
        <f t="shared" ca="1" si="5"/>
        <v>0</v>
      </c>
      <c r="J35" s="95">
        <f t="shared" ca="1" si="5"/>
        <v>0</v>
      </c>
      <c r="K35" s="164">
        <f t="shared" ca="1" si="5"/>
        <v>0</v>
      </c>
      <c r="L35" s="164">
        <f t="shared" ca="1" si="5"/>
        <v>0</v>
      </c>
      <c r="M35" s="95">
        <f t="shared" ca="1" si="1"/>
        <v>0</v>
      </c>
    </row>
    <row r="40" spans="1:13" ht="15.95" customHeight="1">
      <c r="A40" s="132" t="s">
        <v>125</v>
      </c>
    </row>
    <row r="41" spans="1:13" ht="15.95" customHeight="1">
      <c r="A41" s="94" t="s">
        <v>75</v>
      </c>
      <c r="B41" s="94" t="s">
        <v>163</v>
      </c>
      <c r="C41" s="94" t="s">
        <v>166</v>
      </c>
      <c r="D41" s="94" t="s">
        <v>167</v>
      </c>
      <c r="E41" s="94" t="s">
        <v>168</v>
      </c>
      <c r="F41" s="94" t="s">
        <v>561</v>
      </c>
      <c r="G41" s="94" t="s">
        <v>169</v>
      </c>
      <c r="H41" s="94" t="s">
        <v>164</v>
      </c>
      <c r="I41" s="94" t="s">
        <v>165</v>
      </c>
      <c r="J41" s="94" t="s">
        <v>170</v>
      </c>
      <c r="K41" s="94" t="s">
        <v>246</v>
      </c>
      <c r="L41" s="94" t="s">
        <v>247</v>
      </c>
      <c r="M41" s="94" t="s">
        <v>126</v>
      </c>
    </row>
    <row r="42" spans="1:13" ht="15.95" customHeight="1">
      <c r="A42" s="94" t="s">
        <v>76</v>
      </c>
      <c r="B42" s="94" t="s">
        <v>111</v>
      </c>
      <c r="C42" s="94" t="s">
        <v>112</v>
      </c>
      <c r="D42" s="94" t="s">
        <v>119</v>
      </c>
      <c r="E42" s="94" t="s">
        <v>112</v>
      </c>
      <c r="F42" s="94" t="s">
        <v>119</v>
      </c>
      <c r="G42" s="94" t="s">
        <v>112</v>
      </c>
      <c r="H42" s="94" t="s">
        <v>119</v>
      </c>
      <c r="I42" s="94" t="s">
        <v>112</v>
      </c>
      <c r="J42" s="94" t="s">
        <v>112</v>
      </c>
      <c r="K42" s="94" t="s">
        <v>112</v>
      </c>
      <c r="L42" s="94" t="s">
        <v>112</v>
      </c>
      <c r="M42" s="94"/>
    </row>
    <row r="43" spans="1:13" ht="15.95" customHeight="1">
      <c r="A43" s="130">
        <f>A5</f>
        <v>42644</v>
      </c>
      <c r="B43" s="95">
        <f t="shared" ref="B43:J58" ca="1" si="6">SUMIF(INDIRECT(B$41&amp;"!$A:$A"),$A43,INDIRECT(B$41&amp;"!$c:$c"))</f>
        <v>0</v>
      </c>
      <c r="C43" s="95">
        <f t="shared" ca="1" si="6"/>
        <v>0</v>
      </c>
      <c r="D43" s="95">
        <f t="shared" ca="1" si="6"/>
        <v>0</v>
      </c>
      <c r="E43" s="95">
        <f t="shared" ca="1" si="6"/>
        <v>0</v>
      </c>
      <c r="F43" s="95">
        <f t="shared" ca="1" si="6"/>
        <v>6</v>
      </c>
      <c r="G43" s="95">
        <f t="shared" ca="1" si="6"/>
        <v>0</v>
      </c>
      <c r="H43" s="95">
        <f t="shared" ca="1" si="6"/>
        <v>0</v>
      </c>
      <c r="I43" s="95">
        <f t="shared" ca="1" si="6"/>
        <v>2</v>
      </c>
      <c r="J43" s="95">
        <f t="shared" ca="1" si="6"/>
        <v>0</v>
      </c>
      <c r="K43" s="164">
        <f ca="1">SUMIF(INDIRECT(K$41&amp;"!$A:$A"),$A43,INDIRECT(K$41&amp;"!$C:$C"))</f>
        <v>1</v>
      </c>
      <c r="L43" s="164">
        <f ca="1">SUMIF(INDIRECT(L$41&amp;"!$A:$A"),$A43,INDIRECT(L$41&amp;"!$C:$C"))</f>
        <v>0</v>
      </c>
      <c r="M43" s="95">
        <f t="shared" ref="M43:M73" ca="1" si="7">SUM(B43:J43)</f>
        <v>8</v>
      </c>
    </row>
    <row r="44" spans="1:13" ht="15.95" customHeight="1">
      <c r="A44" s="130">
        <f>A43+1</f>
        <v>42645</v>
      </c>
      <c r="B44" s="95">
        <f t="shared" ca="1" si="6"/>
        <v>0</v>
      </c>
      <c r="C44" s="95">
        <f t="shared" ca="1" si="6"/>
        <v>0</v>
      </c>
      <c r="D44" s="95">
        <f t="shared" ca="1" si="6"/>
        <v>2</v>
      </c>
      <c r="E44" s="95">
        <f t="shared" ca="1" si="6"/>
        <v>0</v>
      </c>
      <c r="F44" s="95">
        <f t="shared" ca="1" si="6"/>
        <v>2</v>
      </c>
      <c r="G44" s="95">
        <f t="shared" ca="1" si="6"/>
        <v>0</v>
      </c>
      <c r="H44" s="95">
        <f t="shared" ca="1" si="6"/>
        <v>5</v>
      </c>
      <c r="I44" s="95">
        <f t="shared" ca="1" si="6"/>
        <v>3</v>
      </c>
      <c r="J44" s="95">
        <f t="shared" ca="1" si="6"/>
        <v>1</v>
      </c>
      <c r="K44" s="164">
        <f t="shared" ref="K44:L73" ca="1" si="8">SUMIF(INDIRECT(K$41&amp;"!$A:$A"),$A44,INDIRECT(K$41&amp;"!$C:$C"))</f>
        <v>1</v>
      </c>
      <c r="L44" s="164">
        <f t="shared" ca="1" si="8"/>
        <v>0</v>
      </c>
      <c r="M44" s="95">
        <f t="shared" ca="1" si="7"/>
        <v>13</v>
      </c>
    </row>
    <row r="45" spans="1:13" ht="15.95" customHeight="1">
      <c r="A45" s="130">
        <f t="shared" ref="A45:A73" si="9">A44+1</f>
        <v>42646</v>
      </c>
      <c r="B45" s="95">
        <f t="shared" ca="1" si="6"/>
        <v>0</v>
      </c>
      <c r="C45" s="95">
        <f t="shared" ca="1" si="6"/>
        <v>0</v>
      </c>
      <c r="D45" s="95">
        <f t="shared" ca="1" si="6"/>
        <v>0</v>
      </c>
      <c r="E45" s="95">
        <f t="shared" ca="1" si="6"/>
        <v>0</v>
      </c>
      <c r="F45" s="95">
        <f t="shared" ca="1" si="6"/>
        <v>0</v>
      </c>
      <c r="G45" s="95">
        <f t="shared" ca="1" si="6"/>
        <v>0</v>
      </c>
      <c r="H45" s="95">
        <f t="shared" ca="1" si="6"/>
        <v>2</v>
      </c>
      <c r="I45" s="95">
        <f t="shared" ca="1" si="6"/>
        <v>7</v>
      </c>
      <c r="J45" s="95">
        <f t="shared" ca="1" si="6"/>
        <v>0</v>
      </c>
      <c r="K45" s="164">
        <f t="shared" ca="1" si="8"/>
        <v>1</v>
      </c>
      <c r="L45" s="164">
        <f t="shared" ca="1" si="8"/>
        <v>0</v>
      </c>
      <c r="M45" s="95">
        <f t="shared" ca="1" si="7"/>
        <v>9</v>
      </c>
    </row>
    <row r="46" spans="1:13" ht="15.95" customHeight="1">
      <c r="A46" s="130">
        <f t="shared" si="9"/>
        <v>42647</v>
      </c>
      <c r="B46" s="95">
        <f t="shared" ca="1" si="6"/>
        <v>0</v>
      </c>
      <c r="C46" s="95">
        <f t="shared" ca="1" si="6"/>
        <v>0</v>
      </c>
      <c r="D46" s="95">
        <f t="shared" ca="1" si="6"/>
        <v>1</v>
      </c>
      <c r="E46" s="95">
        <f t="shared" ca="1" si="6"/>
        <v>0</v>
      </c>
      <c r="F46" s="95">
        <f t="shared" ca="1" si="6"/>
        <v>0</v>
      </c>
      <c r="G46" s="95">
        <f t="shared" ca="1" si="6"/>
        <v>0</v>
      </c>
      <c r="H46" s="95">
        <f t="shared" ca="1" si="6"/>
        <v>5</v>
      </c>
      <c r="I46" s="95">
        <f t="shared" ca="1" si="6"/>
        <v>11</v>
      </c>
      <c r="J46" s="95">
        <f t="shared" ca="1" si="6"/>
        <v>2</v>
      </c>
      <c r="K46" s="164">
        <f t="shared" ca="1" si="8"/>
        <v>0</v>
      </c>
      <c r="L46" s="164">
        <f t="shared" ca="1" si="8"/>
        <v>0</v>
      </c>
      <c r="M46" s="95">
        <f t="shared" ca="1" si="7"/>
        <v>19</v>
      </c>
    </row>
    <row r="47" spans="1:13" ht="15.95" customHeight="1">
      <c r="A47" s="130">
        <f t="shared" si="9"/>
        <v>42648</v>
      </c>
      <c r="B47" s="95">
        <f t="shared" ca="1" si="6"/>
        <v>0</v>
      </c>
      <c r="C47" s="95">
        <f t="shared" ca="1" si="6"/>
        <v>0</v>
      </c>
      <c r="D47" s="95">
        <f t="shared" ca="1" si="6"/>
        <v>0</v>
      </c>
      <c r="E47" s="95">
        <f t="shared" ca="1" si="6"/>
        <v>0</v>
      </c>
      <c r="F47" s="95">
        <f t="shared" ca="1" si="6"/>
        <v>4</v>
      </c>
      <c r="G47" s="95">
        <f t="shared" ca="1" si="6"/>
        <v>0</v>
      </c>
      <c r="H47" s="95">
        <f t="shared" ca="1" si="6"/>
        <v>5</v>
      </c>
      <c r="I47" s="95">
        <f t="shared" ca="1" si="6"/>
        <v>5</v>
      </c>
      <c r="J47" s="95">
        <f t="shared" ca="1" si="6"/>
        <v>3</v>
      </c>
      <c r="K47" s="164">
        <f t="shared" ca="1" si="8"/>
        <v>1</v>
      </c>
      <c r="L47" s="164">
        <f t="shared" ca="1" si="8"/>
        <v>0</v>
      </c>
      <c r="M47" s="95">
        <f t="shared" ca="1" si="7"/>
        <v>17</v>
      </c>
    </row>
    <row r="48" spans="1:13" ht="15.95" customHeight="1">
      <c r="A48" s="130">
        <f t="shared" si="9"/>
        <v>42649</v>
      </c>
      <c r="B48" s="95">
        <f t="shared" ca="1" si="6"/>
        <v>0</v>
      </c>
      <c r="C48" s="95">
        <f t="shared" ca="1" si="6"/>
        <v>0</v>
      </c>
      <c r="D48" s="95">
        <f t="shared" ca="1" si="6"/>
        <v>0</v>
      </c>
      <c r="E48" s="95">
        <f t="shared" ca="1" si="6"/>
        <v>0</v>
      </c>
      <c r="F48" s="95">
        <f t="shared" ca="1" si="6"/>
        <v>0</v>
      </c>
      <c r="G48" s="95">
        <f t="shared" ca="1" si="6"/>
        <v>0</v>
      </c>
      <c r="H48" s="95">
        <f t="shared" ca="1" si="6"/>
        <v>5</v>
      </c>
      <c r="I48" s="95">
        <f t="shared" ca="1" si="6"/>
        <v>3</v>
      </c>
      <c r="J48" s="95">
        <f t="shared" ca="1" si="6"/>
        <v>4</v>
      </c>
      <c r="K48" s="164">
        <f t="shared" ca="1" si="8"/>
        <v>0</v>
      </c>
      <c r="L48" s="164">
        <f t="shared" ca="1" si="8"/>
        <v>2</v>
      </c>
      <c r="M48" s="95">
        <f t="shared" ca="1" si="7"/>
        <v>12</v>
      </c>
    </row>
    <row r="49" spans="1:13" ht="15.95" customHeight="1">
      <c r="A49" s="130">
        <f t="shared" si="9"/>
        <v>42650</v>
      </c>
      <c r="B49" s="95">
        <f t="shared" ca="1" si="6"/>
        <v>0</v>
      </c>
      <c r="C49" s="95">
        <f t="shared" ca="1" si="6"/>
        <v>0</v>
      </c>
      <c r="D49" s="95">
        <f t="shared" ca="1" si="6"/>
        <v>1</v>
      </c>
      <c r="E49" s="95">
        <f t="shared" ca="1" si="6"/>
        <v>0</v>
      </c>
      <c r="F49" s="95">
        <f t="shared" ca="1" si="6"/>
        <v>0</v>
      </c>
      <c r="G49" s="95">
        <f t="shared" ca="1" si="6"/>
        <v>0</v>
      </c>
      <c r="H49" s="95">
        <f t="shared" ca="1" si="6"/>
        <v>3</v>
      </c>
      <c r="I49" s="95">
        <f t="shared" ca="1" si="6"/>
        <v>5</v>
      </c>
      <c r="J49" s="95">
        <f t="shared" ca="1" si="6"/>
        <v>0</v>
      </c>
      <c r="K49" s="164">
        <f t="shared" ca="1" si="8"/>
        <v>1</v>
      </c>
      <c r="L49" s="164">
        <f t="shared" ca="1" si="8"/>
        <v>0</v>
      </c>
      <c r="M49" s="95">
        <f t="shared" ca="1" si="7"/>
        <v>9</v>
      </c>
    </row>
    <row r="50" spans="1:13" ht="15.95" customHeight="1">
      <c r="A50" s="130">
        <f t="shared" si="9"/>
        <v>42651</v>
      </c>
      <c r="B50" s="95">
        <f t="shared" ca="1" si="6"/>
        <v>0</v>
      </c>
      <c r="C50" s="95">
        <f t="shared" ca="1" si="6"/>
        <v>0</v>
      </c>
      <c r="D50" s="95">
        <f t="shared" ca="1" si="6"/>
        <v>0</v>
      </c>
      <c r="E50" s="95">
        <f t="shared" ca="1" si="6"/>
        <v>0</v>
      </c>
      <c r="F50" s="95">
        <f t="shared" ca="1" si="6"/>
        <v>0</v>
      </c>
      <c r="G50" s="95">
        <f t="shared" ca="1" si="6"/>
        <v>0</v>
      </c>
      <c r="H50" s="95">
        <f t="shared" ca="1" si="6"/>
        <v>1</v>
      </c>
      <c r="I50" s="95">
        <f t="shared" ca="1" si="6"/>
        <v>4</v>
      </c>
      <c r="J50" s="95">
        <f t="shared" ca="1" si="6"/>
        <v>1</v>
      </c>
      <c r="K50" s="164">
        <f t="shared" ca="1" si="8"/>
        <v>0</v>
      </c>
      <c r="L50" s="164">
        <f t="shared" ca="1" si="8"/>
        <v>0</v>
      </c>
      <c r="M50" s="95">
        <f t="shared" ca="1" si="7"/>
        <v>6</v>
      </c>
    </row>
    <row r="51" spans="1:13" ht="15.95" customHeight="1">
      <c r="A51" s="130">
        <f t="shared" si="9"/>
        <v>42652</v>
      </c>
      <c r="B51" s="95">
        <f t="shared" ca="1" si="6"/>
        <v>0</v>
      </c>
      <c r="C51" s="95">
        <f t="shared" ca="1" si="6"/>
        <v>0</v>
      </c>
      <c r="D51" s="95">
        <f t="shared" ca="1" si="6"/>
        <v>0</v>
      </c>
      <c r="E51" s="95">
        <f t="shared" ca="1" si="6"/>
        <v>0</v>
      </c>
      <c r="F51" s="95">
        <f t="shared" ca="1" si="6"/>
        <v>0</v>
      </c>
      <c r="G51" s="95">
        <f t="shared" ca="1" si="6"/>
        <v>0</v>
      </c>
      <c r="H51" s="95">
        <f t="shared" ca="1" si="6"/>
        <v>4</v>
      </c>
      <c r="I51" s="95">
        <f t="shared" ca="1" si="6"/>
        <v>4</v>
      </c>
      <c r="J51" s="95">
        <f t="shared" ca="1" si="6"/>
        <v>1</v>
      </c>
      <c r="K51" s="164">
        <f t="shared" ca="1" si="8"/>
        <v>1</v>
      </c>
      <c r="L51" s="164">
        <f ca="1">SUMIF(INDIRECT(L$41&amp;"!$A:$A"),$A51,INDIRECT(L$41&amp;"!$C:$C"))</f>
        <v>0</v>
      </c>
      <c r="M51" s="95">
        <f t="shared" ca="1" si="7"/>
        <v>9</v>
      </c>
    </row>
    <row r="52" spans="1:13" ht="15.95" customHeight="1">
      <c r="A52" s="130">
        <f t="shared" si="9"/>
        <v>42653</v>
      </c>
      <c r="B52" s="95">
        <f t="shared" ca="1" si="6"/>
        <v>0</v>
      </c>
      <c r="C52" s="95">
        <f t="shared" ca="1" si="6"/>
        <v>0</v>
      </c>
      <c r="D52" s="95">
        <f t="shared" ca="1" si="6"/>
        <v>2</v>
      </c>
      <c r="E52" s="95">
        <f t="shared" ca="1" si="6"/>
        <v>0</v>
      </c>
      <c r="F52" s="95">
        <f t="shared" ca="1" si="6"/>
        <v>1</v>
      </c>
      <c r="G52" s="95">
        <f t="shared" ca="1" si="6"/>
        <v>0</v>
      </c>
      <c r="H52" s="95">
        <f t="shared" ca="1" si="6"/>
        <v>3</v>
      </c>
      <c r="I52" s="95">
        <f t="shared" ca="1" si="6"/>
        <v>4</v>
      </c>
      <c r="J52" s="95">
        <f t="shared" ca="1" si="6"/>
        <v>1</v>
      </c>
      <c r="K52" s="164">
        <f t="shared" ca="1" si="8"/>
        <v>0</v>
      </c>
      <c r="L52" s="164">
        <f t="shared" ca="1" si="8"/>
        <v>0</v>
      </c>
      <c r="M52" s="95">
        <f t="shared" ca="1" si="7"/>
        <v>11</v>
      </c>
    </row>
    <row r="53" spans="1:13" ht="15.95" customHeight="1">
      <c r="A53" s="130">
        <f t="shared" si="9"/>
        <v>42654</v>
      </c>
      <c r="B53" s="95">
        <f t="shared" ca="1" si="6"/>
        <v>0</v>
      </c>
      <c r="C53" s="95">
        <f t="shared" ca="1" si="6"/>
        <v>0</v>
      </c>
      <c r="D53" s="95">
        <f t="shared" ca="1" si="6"/>
        <v>0</v>
      </c>
      <c r="E53" s="95">
        <f t="shared" ca="1" si="6"/>
        <v>0</v>
      </c>
      <c r="F53" s="95">
        <f t="shared" ca="1" si="6"/>
        <v>0</v>
      </c>
      <c r="G53" s="95">
        <f t="shared" ca="1" si="6"/>
        <v>0</v>
      </c>
      <c r="H53" s="95">
        <f t="shared" ca="1" si="6"/>
        <v>1</v>
      </c>
      <c r="I53" s="95">
        <f t="shared" ca="1" si="6"/>
        <v>5</v>
      </c>
      <c r="J53" s="95">
        <f ca="1">SUMIF(INDIRECT(J$41&amp;"!$A:$A"),$A53,INDIRECT(J$41&amp;"!$c:$c"))</f>
        <v>3</v>
      </c>
      <c r="K53" s="164">
        <f t="shared" ca="1" si="8"/>
        <v>2</v>
      </c>
      <c r="L53" s="164">
        <f t="shared" ca="1" si="8"/>
        <v>0</v>
      </c>
      <c r="M53" s="95">
        <f t="shared" ca="1" si="7"/>
        <v>9</v>
      </c>
    </row>
    <row r="54" spans="1:13" ht="15.95" customHeight="1">
      <c r="A54" s="130">
        <f t="shared" si="9"/>
        <v>42655</v>
      </c>
      <c r="B54" s="95">
        <f t="shared" ref="B54:J69" ca="1" si="10">SUMIF(INDIRECT(B$41&amp;"!$A:$A"),$A54,INDIRECT(B$41&amp;"!$c:$c"))</f>
        <v>0</v>
      </c>
      <c r="C54" s="95">
        <f t="shared" ca="1" si="10"/>
        <v>0</v>
      </c>
      <c r="D54" s="95">
        <f t="shared" ca="1" si="10"/>
        <v>0</v>
      </c>
      <c r="E54" s="95">
        <f t="shared" ca="1" si="10"/>
        <v>0</v>
      </c>
      <c r="F54" s="95">
        <f t="shared" ca="1" si="6"/>
        <v>2</v>
      </c>
      <c r="G54" s="95">
        <f t="shared" ca="1" si="10"/>
        <v>0</v>
      </c>
      <c r="H54" s="95">
        <f t="shared" ca="1" si="10"/>
        <v>2</v>
      </c>
      <c r="I54" s="95">
        <f t="shared" ca="1" si="10"/>
        <v>1</v>
      </c>
      <c r="J54" s="95">
        <f t="shared" ca="1" si="10"/>
        <v>1</v>
      </c>
      <c r="K54" s="164">
        <f t="shared" ca="1" si="8"/>
        <v>1</v>
      </c>
      <c r="L54" s="164">
        <f t="shared" ca="1" si="8"/>
        <v>0</v>
      </c>
      <c r="M54" s="95">
        <f t="shared" ca="1" si="7"/>
        <v>6</v>
      </c>
    </row>
    <row r="55" spans="1:13" ht="15.95" customHeight="1">
      <c r="A55" s="130">
        <f t="shared" si="9"/>
        <v>42656</v>
      </c>
      <c r="B55" s="95">
        <f t="shared" ca="1" si="10"/>
        <v>1</v>
      </c>
      <c r="C55" s="95">
        <f t="shared" ca="1" si="10"/>
        <v>1</v>
      </c>
      <c r="D55" s="95">
        <f t="shared" ca="1" si="10"/>
        <v>2</v>
      </c>
      <c r="E55" s="95">
        <f t="shared" ca="1" si="10"/>
        <v>0</v>
      </c>
      <c r="F55" s="95">
        <f t="shared" ca="1" si="6"/>
        <v>0</v>
      </c>
      <c r="G55" s="95">
        <f t="shared" ca="1" si="10"/>
        <v>0</v>
      </c>
      <c r="H55" s="95">
        <f t="shared" ca="1" si="10"/>
        <v>4</v>
      </c>
      <c r="I55" s="95">
        <f t="shared" ca="1" si="10"/>
        <v>3</v>
      </c>
      <c r="J55" s="95">
        <f t="shared" ca="1" si="10"/>
        <v>2</v>
      </c>
      <c r="K55" s="164">
        <f t="shared" ca="1" si="8"/>
        <v>0</v>
      </c>
      <c r="L55" s="164">
        <f t="shared" ca="1" si="8"/>
        <v>0</v>
      </c>
      <c r="M55" s="95">
        <f t="shared" ca="1" si="7"/>
        <v>13</v>
      </c>
    </row>
    <row r="56" spans="1:13" ht="15.95" customHeight="1">
      <c r="A56" s="130">
        <f t="shared" si="9"/>
        <v>42657</v>
      </c>
      <c r="B56" s="95">
        <f t="shared" ca="1" si="10"/>
        <v>0</v>
      </c>
      <c r="C56" s="95">
        <f t="shared" ca="1" si="10"/>
        <v>0</v>
      </c>
      <c r="D56" s="95">
        <f t="shared" ca="1" si="10"/>
        <v>1</v>
      </c>
      <c r="E56" s="95">
        <f t="shared" ca="1" si="10"/>
        <v>0</v>
      </c>
      <c r="F56" s="95">
        <f t="shared" ca="1" si="6"/>
        <v>0</v>
      </c>
      <c r="G56" s="95">
        <f t="shared" ca="1" si="10"/>
        <v>0</v>
      </c>
      <c r="H56" s="95">
        <f t="shared" ca="1" si="10"/>
        <v>2</v>
      </c>
      <c r="I56" s="95">
        <f t="shared" ca="1" si="10"/>
        <v>1</v>
      </c>
      <c r="J56" s="95">
        <f t="shared" ca="1" si="10"/>
        <v>0</v>
      </c>
      <c r="K56" s="164">
        <f t="shared" ca="1" si="8"/>
        <v>0</v>
      </c>
      <c r="L56" s="164">
        <f t="shared" ca="1" si="8"/>
        <v>0</v>
      </c>
      <c r="M56" s="95">
        <f t="shared" ca="1" si="7"/>
        <v>4</v>
      </c>
    </row>
    <row r="57" spans="1:13" ht="15.95" customHeight="1">
      <c r="A57" s="130">
        <f t="shared" si="9"/>
        <v>42658</v>
      </c>
      <c r="B57" s="95">
        <f t="shared" ca="1" si="10"/>
        <v>0</v>
      </c>
      <c r="C57" s="95">
        <f t="shared" ca="1" si="10"/>
        <v>0</v>
      </c>
      <c r="D57" s="95">
        <f t="shared" ca="1" si="10"/>
        <v>0</v>
      </c>
      <c r="E57" s="95">
        <f t="shared" ca="1" si="10"/>
        <v>0</v>
      </c>
      <c r="F57" s="95">
        <f t="shared" ca="1" si="6"/>
        <v>0</v>
      </c>
      <c r="G57" s="95">
        <f t="shared" ca="1" si="10"/>
        <v>0</v>
      </c>
      <c r="H57" s="95">
        <f t="shared" ca="1" si="10"/>
        <v>0</v>
      </c>
      <c r="I57" s="95">
        <f t="shared" ca="1" si="10"/>
        <v>0</v>
      </c>
      <c r="J57" s="95">
        <f t="shared" ca="1" si="10"/>
        <v>0</v>
      </c>
      <c r="K57" s="164">
        <f t="shared" ca="1" si="8"/>
        <v>0</v>
      </c>
      <c r="L57" s="164">
        <f t="shared" ca="1" si="8"/>
        <v>0</v>
      </c>
      <c r="M57" s="95">
        <f t="shared" ca="1" si="7"/>
        <v>0</v>
      </c>
    </row>
    <row r="58" spans="1:13" ht="15.95" customHeight="1">
      <c r="A58" s="130">
        <f t="shared" si="9"/>
        <v>42659</v>
      </c>
      <c r="B58" s="95">
        <f t="shared" ca="1" si="10"/>
        <v>0</v>
      </c>
      <c r="C58" s="95">
        <f t="shared" ca="1" si="10"/>
        <v>0</v>
      </c>
      <c r="D58" s="95">
        <f t="shared" ca="1" si="10"/>
        <v>0</v>
      </c>
      <c r="E58" s="95">
        <f t="shared" ca="1" si="10"/>
        <v>0</v>
      </c>
      <c r="F58" s="95">
        <f t="shared" ca="1" si="6"/>
        <v>0</v>
      </c>
      <c r="G58" s="95">
        <f t="shared" ca="1" si="10"/>
        <v>0</v>
      </c>
      <c r="H58" s="95">
        <f t="shared" ca="1" si="10"/>
        <v>0</v>
      </c>
      <c r="I58" s="95">
        <f t="shared" ca="1" si="10"/>
        <v>0</v>
      </c>
      <c r="J58" s="95">
        <f t="shared" ca="1" si="10"/>
        <v>0</v>
      </c>
      <c r="K58" s="164">
        <f t="shared" ca="1" si="8"/>
        <v>0</v>
      </c>
      <c r="L58" s="164">
        <f t="shared" ca="1" si="8"/>
        <v>0</v>
      </c>
      <c r="M58" s="95">
        <f t="shared" ca="1" si="7"/>
        <v>0</v>
      </c>
    </row>
    <row r="59" spans="1:13" ht="15.95" customHeight="1">
      <c r="A59" s="130">
        <f t="shared" si="9"/>
        <v>42660</v>
      </c>
      <c r="B59" s="95">
        <f t="shared" ca="1" si="10"/>
        <v>0</v>
      </c>
      <c r="C59" s="95">
        <f t="shared" ca="1" si="10"/>
        <v>0</v>
      </c>
      <c r="D59" s="95">
        <f t="shared" ca="1" si="10"/>
        <v>0</v>
      </c>
      <c r="E59" s="95">
        <f t="shared" ca="1" si="10"/>
        <v>0</v>
      </c>
      <c r="F59" s="95">
        <f t="shared" ca="1" si="10"/>
        <v>0</v>
      </c>
      <c r="G59" s="95">
        <f t="shared" ca="1" si="10"/>
        <v>0</v>
      </c>
      <c r="H59" s="95">
        <f t="shared" ca="1" si="10"/>
        <v>0</v>
      </c>
      <c r="I59" s="95">
        <f t="shared" ca="1" si="10"/>
        <v>0</v>
      </c>
      <c r="J59" s="95">
        <f t="shared" ca="1" si="10"/>
        <v>0</v>
      </c>
      <c r="K59" s="164">
        <f t="shared" ca="1" si="8"/>
        <v>0</v>
      </c>
      <c r="L59" s="164">
        <f t="shared" ca="1" si="8"/>
        <v>0</v>
      </c>
      <c r="M59" s="95">
        <f t="shared" ca="1" si="7"/>
        <v>0</v>
      </c>
    </row>
    <row r="60" spans="1:13" ht="15.95" customHeight="1">
      <c r="A60" s="130">
        <f t="shared" si="9"/>
        <v>42661</v>
      </c>
      <c r="B60" s="95">
        <f t="shared" ca="1" si="10"/>
        <v>0</v>
      </c>
      <c r="C60" s="95">
        <f t="shared" ca="1" si="10"/>
        <v>0</v>
      </c>
      <c r="D60" s="95">
        <f t="shared" ca="1" si="10"/>
        <v>0</v>
      </c>
      <c r="E60" s="95">
        <f t="shared" ca="1" si="10"/>
        <v>0</v>
      </c>
      <c r="F60" s="95">
        <f t="shared" ca="1" si="10"/>
        <v>0</v>
      </c>
      <c r="G60" s="95">
        <f t="shared" ca="1" si="10"/>
        <v>0</v>
      </c>
      <c r="H60" s="95">
        <f t="shared" ca="1" si="10"/>
        <v>0</v>
      </c>
      <c r="I60" s="95">
        <f t="shared" ca="1" si="10"/>
        <v>0</v>
      </c>
      <c r="J60" s="95">
        <f t="shared" ca="1" si="10"/>
        <v>0</v>
      </c>
      <c r="K60" s="164">
        <f t="shared" ca="1" si="8"/>
        <v>0</v>
      </c>
      <c r="L60" s="164">
        <f t="shared" ca="1" si="8"/>
        <v>0</v>
      </c>
      <c r="M60" s="95">
        <f t="shared" ca="1" si="7"/>
        <v>0</v>
      </c>
    </row>
    <row r="61" spans="1:13" ht="15.95" customHeight="1">
      <c r="A61" s="130">
        <f t="shared" si="9"/>
        <v>42662</v>
      </c>
      <c r="B61" s="95">
        <f t="shared" ca="1" si="10"/>
        <v>0</v>
      </c>
      <c r="C61" s="95">
        <f t="shared" ca="1" si="10"/>
        <v>0</v>
      </c>
      <c r="D61" s="95">
        <f t="shared" ca="1" si="10"/>
        <v>0</v>
      </c>
      <c r="E61" s="95">
        <f t="shared" ca="1" si="10"/>
        <v>0</v>
      </c>
      <c r="F61" s="95">
        <f t="shared" ca="1" si="10"/>
        <v>0</v>
      </c>
      <c r="G61" s="95">
        <f t="shared" ca="1" si="10"/>
        <v>0</v>
      </c>
      <c r="H61" s="95">
        <f t="shared" ca="1" si="10"/>
        <v>0</v>
      </c>
      <c r="I61" s="95">
        <f t="shared" ca="1" si="10"/>
        <v>0</v>
      </c>
      <c r="J61" s="95">
        <f t="shared" ca="1" si="10"/>
        <v>0</v>
      </c>
      <c r="K61" s="164">
        <f t="shared" ca="1" si="8"/>
        <v>0</v>
      </c>
      <c r="L61" s="164">
        <f t="shared" ca="1" si="8"/>
        <v>0</v>
      </c>
      <c r="M61" s="95">
        <f t="shared" ca="1" si="7"/>
        <v>0</v>
      </c>
    </row>
    <row r="62" spans="1:13" ht="15.95" customHeight="1">
      <c r="A62" s="130">
        <f t="shared" si="9"/>
        <v>42663</v>
      </c>
      <c r="B62" s="95">
        <f t="shared" ca="1" si="10"/>
        <v>0</v>
      </c>
      <c r="C62" s="95">
        <f t="shared" ca="1" si="10"/>
        <v>0</v>
      </c>
      <c r="D62" s="95">
        <f t="shared" ca="1" si="10"/>
        <v>0</v>
      </c>
      <c r="E62" s="95">
        <f t="shared" ca="1" si="10"/>
        <v>0</v>
      </c>
      <c r="F62" s="95">
        <f t="shared" ca="1" si="10"/>
        <v>0</v>
      </c>
      <c r="G62" s="95">
        <f t="shared" ca="1" si="10"/>
        <v>0</v>
      </c>
      <c r="H62" s="95">
        <f t="shared" ca="1" si="10"/>
        <v>0</v>
      </c>
      <c r="I62" s="95">
        <f t="shared" ca="1" si="10"/>
        <v>0</v>
      </c>
      <c r="J62" s="95">
        <f t="shared" ca="1" si="10"/>
        <v>0</v>
      </c>
      <c r="K62" s="164">
        <f t="shared" ca="1" si="8"/>
        <v>0</v>
      </c>
      <c r="L62" s="164">
        <f t="shared" ca="1" si="8"/>
        <v>0</v>
      </c>
      <c r="M62" s="95">
        <f t="shared" ca="1" si="7"/>
        <v>0</v>
      </c>
    </row>
    <row r="63" spans="1:13" ht="15.95" customHeight="1">
      <c r="A63" s="130">
        <f t="shared" si="9"/>
        <v>42664</v>
      </c>
      <c r="B63" s="95">
        <f t="shared" ca="1" si="10"/>
        <v>0</v>
      </c>
      <c r="C63" s="95">
        <f t="shared" ca="1" si="10"/>
        <v>0</v>
      </c>
      <c r="D63" s="95">
        <f t="shared" ca="1" si="10"/>
        <v>0</v>
      </c>
      <c r="E63" s="95">
        <f t="shared" ca="1" si="10"/>
        <v>0</v>
      </c>
      <c r="F63" s="95">
        <f t="shared" ca="1" si="10"/>
        <v>0</v>
      </c>
      <c r="G63" s="95">
        <f t="shared" ca="1" si="10"/>
        <v>0</v>
      </c>
      <c r="H63" s="95">
        <f t="shared" ca="1" si="10"/>
        <v>0</v>
      </c>
      <c r="I63" s="95">
        <f t="shared" ca="1" si="10"/>
        <v>0</v>
      </c>
      <c r="J63" s="95">
        <f t="shared" ca="1" si="10"/>
        <v>0</v>
      </c>
      <c r="K63" s="164">
        <f t="shared" ca="1" si="8"/>
        <v>0</v>
      </c>
      <c r="L63" s="164">
        <f t="shared" ca="1" si="8"/>
        <v>0</v>
      </c>
      <c r="M63" s="95">
        <f t="shared" ca="1" si="7"/>
        <v>0</v>
      </c>
    </row>
    <row r="64" spans="1:13" ht="15.95" customHeight="1">
      <c r="A64" s="130">
        <f t="shared" si="9"/>
        <v>42665</v>
      </c>
      <c r="B64" s="95">
        <f t="shared" ca="1" si="10"/>
        <v>0</v>
      </c>
      <c r="C64" s="95">
        <f t="shared" ca="1" si="10"/>
        <v>0</v>
      </c>
      <c r="D64" s="95">
        <f t="shared" ca="1" si="10"/>
        <v>0</v>
      </c>
      <c r="E64" s="95">
        <f t="shared" ca="1" si="10"/>
        <v>0</v>
      </c>
      <c r="F64" s="95">
        <f t="shared" ca="1" si="10"/>
        <v>0</v>
      </c>
      <c r="G64" s="95">
        <f t="shared" ca="1" si="10"/>
        <v>0</v>
      </c>
      <c r="H64" s="95">
        <f t="shared" ca="1" si="10"/>
        <v>0</v>
      </c>
      <c r="I64" s="95">
        <f t="shared" ca="1" si="10"/>
        <v>0</v>
      </c>
      <c r="J64" s="95">
        <f t="shared" ca="1" si="10"/>
        <v>0</v>
      </c>
      <c r="K64" s="164">
        <f t="shared" ca="1" si="8"/>
        <v>0</v>
      </c>
      <c r="L64" s="164">
        <f t="shared" ca="1" si="8"/>
        <v>0</v>
      </c>
      <c r="M64" s="95">
        <f t="shared" ca="1" si="7"/>
        <v>0</v>
      </c>
    </row>
    <row r="65" spans="1:13" ht="15.95" customHeight="1">
      <c r="A65" s="130">
        <f t="shared" si="9"/>
        <v>42666</v>
      </c>
      <c r="B65" s="95">
        <f t="shared" ca="1" si="10"/>
        <v>0</v>
      </c>
      <c r="C65" s="95">
        <f t="shared" ca="1" si="10"/>
        <v>0</v>
      </c>
      <c r="D65" s="95">
        <f t="shared" ca="1" si="10"/>
        <v>0</v>
      </c>
      <c r="E65" s="95">
        <f t="shared" ca="1" si="10"/>
        <v>0</v>
      </c>
      <c r="F65" s="95">
        <f t="shared" ca="1" si="10"/>
        <v>0</v>
      </c>
      <c r="G65" s="95">
        <f t="shared" ca="1" si="10"/>
        <v>0</v>
      </c>
      <c r="H65" s="95">
        <f t="shared" ca="1" si="10"/>
        <v>0</v>
      </c>
      <c r="I65" s="95">
        <f t="shared" ca="1" si="10"/>
        <v>0</v>
      </c>
      <c r="J65" s="95">
        <f t="shared" ca="1" si="10"/>
        <v>0</v>
      </c>
      <c r="K65" s="164">
        <f t="shared" ca="1" si="8"/>
        <v>0</v>
      </c>
      <c r="L65" s="164">
        <f t="shared" ca="1" si="8"/>
        <v>0</v>
      </c>
      <c r="M65" s="95">
        <f t="shared" ca="1" si="7"/>
        <v>0</v>
      </c>
    </row>
    <row r="66" spans="1:13" ht="15.95" customHeight="1">
      <c r="A66" s="130">
        <f t="shared" si="9"/>
        <v>42667</v>
      </c>
      <c r="B66" s="95">
        <f t="shared" ca="1" si="10"/>
        <v>0</v>
      </c>
      <c r="C66" s="95">
        <f t="shared" ca="1" si="10"/>
        <v>0</v>
      </c>
      <c r="D66" s="95">
        <f t="shared" ca="1" si="10"/>
        <v>0</v>
      </c>
      <c r="E66" s="95">
        <f t="shared" ca="1" si="10"/>
        <v>0</v>
      </c>
      <c r="F66" s="95">
        <f t="shared" ca="1" si="10"/>
        <v>0</v>
      </c>
      <c r="G66" s="95">
        <f t="shared" ca="1" si="10"/>
        <v>0</v>
      </c>
      <c r="H66" s="95">
        <f t="shared" ca="1" si="10"/>
        <v>0</v>
      </c>
      <c r="I66" s="95">
        <f t="shared" ca="1" si="10"/>
        <v>0</v>
      </c>
      <c r="J66" s="95">
        <f t="shared" ca="1" si="10"/>
        <v>0</v>
      </c>
      <c r="K66" s="164">
        <f t="shared" ca="1" si="8"/>
        <v>0</v>
      </c>
      <c r="L66" s="164">
        <f t="shared" ca="1" si="8"/>
        <v>0</v>
      </c>
      <c r="M66" s="95">
        <f t="shared" ca="1" si="7"/>
        <v>0</v>
      </c>
    </row>
    <row r="67" spans="1:13" ht="15.95" customHeight="1">
      <c r="A67" s="130">
        <f t="shared" si="9"/>
        <v>42668</v>
      </c>
      <c r="B67" s="95">
        <f t="shared" ca="1" si="10"/>
        <v>0</v>
      </c>
      <c r="C67" s="95">
        <f t="shared" ca="1" si="10"/>
        <v>0</v>
      </c>
      <c r="D67" s="95">
        <f t="shared" ca="1" si="10"/>
        <v>0</v>
      </c>
      <c r="E67" s="95">
        <f t="shared" ca="1" si="10"/>
        <v>0</v>
      </c>
      <c r="F67" s="95">
        <f t="shared" ca="1" si="10"/>
        <v>0</v>
      </c>
      <c r="G67" s="95">
        <f t="shared" ca="1" si="10"/>
        <v>0</v>
      </c>
      <c r="H67" s="95">
        <f t="shared" ca="1" si="10"/>
        <v>0</v>
      </c>
      <c r="I67" s="95">
        <f t="shared" ca="1" si="10"/>
        <v>0</v>
      </c>
      <c r="J67" s="95">
        <f t="shared" ca="1" si="10"/>
        <v>0</v>
      </c>
      <c r="K67" s="164">
        <f t="shared" ca="1" si="8"/>
        <v>0</v>
      </c>
      <c r="L67" s="164">
        <f t="shared" ca="1" si="8"/>
        <v>0</v>
      </c>
      <c r="M67" s="95">
        <f t="shared" ca="1" si="7"/>
        <v>0</v>
      </c>
    </row>
    <row r="68" spans="1:13" ht="15.95" customHeight="1">
      <c r="A68" s="130">
        <f t="shared" si="9"/>
        <v>42669</v>
      </c>
      <c r="B68" s="95">
        <f t="shared" ca="1" si="10"/>
        <v>0</v>
      </c>
      <c r="C68" s="95">
        <f t="shared" ca="1" si="10"/>
        <v>0</v>
      </c>
      <c r="D68" s="95">
        <f t="shared" ca="1" si="10"/>
        <v>0</v>
      </c>
      <c r="E68" s="95">
        <f t="shared" ca="1" si="10"/>
        <v>0</v>
      </c>
      <c r="F68" s="95">
        <f t="shared" ca="1" si="10"/>
        <v>0</v>
      </c>
      <c r="G68" s="95">
        <f t="shared" ca="1" si="10"/>
        <v>0</v>
      </c>
      <c r="H68" s="95">
        <f t="shared" ca="1" si="10"/>
        <v>0</v>
      </c>
      <c r="I68" s="95">
        <f t="shared" ca="1" si="10"/>
        <v>0</v>
      </c>
      <c r="J68" s="95">
        <f t="shared" ca="1" si="10"/>
        <v>0</v>
      </c>
      <c r="K68" s="164">
        <f t="shared" ca="1" si="8"/>
        <v>0</v>
      </c>
      <c r="L68" s="164">
        <f t="shared" ca="1" si="8"/>
        <v>0</v>
      </c>
      <c r="M68" s="95">
        <f t="shared" ca="1" si="7"/>
        <v>0</v>
      </c>
    </row>
    <row r="69" spans="1:13" ht="15.95" customHeight="1">
      <c r="A69" s="130">
        <f t="shared" si="9"/>
        <v>42670</v>
      </c>
      <c r="B69" s="95">
        <f t="shared" ca="1" si="10"/>
        <v>0</v>
      </c>
      <c r="C69" s="95">
        <f t="shared" ca="1" si="10"/>
        <v>0</v>
      </c>
      <c r="D69" s="95">
        <f t="shared" ca="1" si="10"/>
        <v>0</v>
      </c>
      <c r="E69" s="95">
        <f t="shared" ca="1" si="10"/>
        <v>0</v>
      </c>
      <c r="F69" s="95">
        <f t="shared" ca="1" si="10"/>
        <v>0</v>
      </c>
      <c r="G69" s="95">
        <f t="shared" ca="1" si="10"/>
        <v>0</v>
      </c>
      <c r="H69" s="95">
        <f t="shared" ca="1" si="10"/>
        <v>0</v>
      </c>
      <c r="I69" s="95">
        <f t="shared" ca="1" si="10"/>
        <v>0</v>
      </c>
      <c r="J69" s="95">
        <f t="shared" ca="1" si="10"/>
        <v>0</v>
      </c>
      <c r="K69" s="164">
        <f t="shared" ca="1" si="8"/>
        <v>0</v>
      </c>
      <c r="L69" s="164">
        <f t="shared" ca="1" si="8"/>
        <v>0</v>
      </c>
      <c r="M69" s="95">
        <f t="shared" ca="1" si="7"/>
        <v>0</v>
      </c>
    </row>
    <row r="70" spans="1:13" ht="15.95" customHeight="1">
      <c r="A70" s="130">
        <f t="shared" si="9"/>
        <v>42671</v>
      </c>
      <c r="B70" s="95">
        <f t="shared" ref="B70:J73" ca="1" si="11">SUMIF(INDIRECT(B$41&amp;"!$A:$A"),$A70,INDIRECT(B$41&amp;"!$c:$c"))</f>
        <v>0</v>
      </c>
      <c r="C70" s="95">
        <f t="shared" ca="1" si="11"/>
        <v>0</v>
      </c>
      <c r="D70" s="95">
        <f t="shared" ca="1" si="11"/>
        <v>0</v>
      </c>
      <c r="E70" s="95">
        <f t="shared" ca="1" si="11"/>
        <v>0</v>
      </c>
      <c r="F70" s="95">
        <f t="shared" ca="1" si="11"/>
        <v>0</v>
      </c>
      <c r="G70" s="95">
        <f t="shared" ca="1" si="11"/>
        <v>0</v>
      </c>
      <c r="H70" s="95">
        <f t="shared" ca="1" si="11"/>
        <v>0</v>
      </c>
      <c r="I70" s="95">
        <f t="shared" ca="1" si="11"/>
        <v>0</v>
      </c>
      <c r="J70" s="95">
        <f t="shared" ca="1" si="11"/>
        <v>0</v>
      </c>
      <c r="K70" s="164">
        <f t="shared" ca="1" si="8"/>
        <v>0</v>
      </c>
      <c r="L70" s="164">
        <f t="shared" ca="1" si="8"/>
        <v>0</v>
      </c>
      <c r="M70" s="95">
        <f t="shared" ca="1" si="7"/>
        <v>0</v>
      </c>
    </row>
    <row r="71" spans="1:13" ht="15.95" customHeight="1">
      <c r="A71" s="130">
        <f t="shared" si="9"/>
        <v>42672</v>
      </c>
      <c r="B71" s="95">
        <f t="shared" ca="1" si="11"/>
        <v>0</v>
      </c>
      <c r="C71" s="95">
        <f t="shared" ca="1" si="11"/>
        <v>0</v>
      </c>
      <c r="D71" s="95">
        <f t="shared" ca="1" si="11"/>
        <v>0</v>
      </c>
      <c r="E71" s="95">
        <f t="shared" ca="1" si="11"/>
        <v>0</v>
      </c>
      <c r="F71" s="95">
        <f t="shared" ca="1" si="11"/>
        <v>0</v>
      </c>
      <c r="G71" s="95">
        <f t="shared" ca="1" si="11"/>
        <v>0</v>
      </c>
      <c r="H71" s="95">
        <f t="shared" ca="1" si="11"/>
        <v>0</v>
      </c>
      <c r="I71" s="95">
        <f t="shared" ca="1" si="11"/>
        <v>0</v>
      </c>
      <c r="J71" s="95">
        <f t="shared" ca="1" si="11"/>
        <v>0</v>
      </c>
      <c r="K71" s="164">
        <f t="shared" ca="1" si="8"/>
        <v>0</v>
      </c>
      <c r="L71" s="164">
        <f t="shared" ca="1" si="8"/>
        <v>0</v>
      </c>
      <c r="M71" s="95">
        <f t="shared" ca="1" si="7"/>
        <v>0</v>
      </c>
    </row>
    <row r="72" spans="1:13" ht="15.95" customHeight="1">
      <c r="A72" s="130">
        <f t="shared" si="9"/>
        <v>42673</v>
      </c>
      <c r="B72" s="95">
        <f t="shared" ca="1" si="11"/>
        <v>0</v>
      </c>
      <c r="C72" s="95">
        <f t="shared" ca="1" si="11"/>
        <v>0</v>
      </c>
      <c r="D72" s="95">
        <f t="shared" ca="1" si="11"/>
        <v>0</v>
      </c>
      <c r="E72" s="95">
        <f t="shared" ca="1" si="11"/>
        <v>0</v>
      </c>
      <c r="F72" s="95">
        <f t="shared" ca="1" si="11"/>
        <v>0</v>
      </c>
      <c r="G72" s="95">
        <f t="shared" ca="1" si="11"/>
        <v>0</v>
      </c>
      <c r="H72" s="95">
        <f t="shared" ca="1" si="11"/>
        <v>0</v>
      </c>
      <c r="I72" s="95">
        <f t="shared" ca="1" si="11"/>
        <v>0</v>
      </c>
      <c r="J72" s="95">
        <f t="shared" ca="1" si="11"/>
        <v>0</v>
      </c>
      <c r="K72" s="164">
        <f t="shared" ca="1" si="8"/>
        <v>0</v>
      </c>
      <c r="L72" s="164">
        <f t="shared" ca="1" si="8"/>
        <v>0</v>
      </c>
      <c r="M72" s="95">
        <f t="shared" ca="1" si="7"/>
        <v>0</v>
      </c>
    </row>
    <row r="73" spans="1:13" ht="15.95" customHeight="1">
      <c r="A73" s="130">
        <f t="shared" si="9"/>
        <v>42674</v>
      </c>
      <c r="B73" s="95">
        <f t="shared" ca="1" si="11"/>
        <v>0</v>
      </c>
      <c r="C73" s="95">
        <f t="shared" ca="1" si="11"/>
        <v>0</v>
      </c>
      <c r="D73" s="95">
        <f t="shared" ca="1" si="11"/>
        <v>0</v>
      </c>
      <c r="E73" s="95">
        <f t="shared" ca="1" si="11"/>
        <v>0</v>
      </c>
      <c r="F73" s="95">
        <f t="shared" ca="1" si="11"/>
        <v>0</v>
      </c>
      <c r="G73" s="95">
        <f t="shared" ca="1" si="11"/>
        <v>0</v>
      </c>
      <c r="H73" s="95">
        <f t="shared" ca="1" si="11"/>
        <v>0</v>
      </c>
      <c r="I73" s="95">
        <f t="shared" ca="1" si="11"/>
        <v>0</v>
      </c>
      <c r="J73" s="95">
        <f t="shared" ca="1" si="11"/>
        <v>0</v>
      </c>
      <c r="K73" s="164">
        <f t="shared" ca="1" si="8"/>
        <v>0</v>
      </c>
      <c r="L73" s="164">
        <f t="shared" ca="1" si="8"/>
        <v>0</v>
      </c>
      <c r="M73" s="95">
        <f t="shared" ca="1" si="7"/>
        <v>0</v>
      </c>
    </row>
    <row r="79" spans="1:13" ht="15.95" customHeight="1">
      <c r="A79" s="132" t="s">
        <v>130</v>
      </c>
    </row>
    <row r="80" spans="1:13" ht="15.95" customHeight="1">
      <c r="A80" s="94" t="s">
        <v>75</v>
      </c>
      <c r="B80" s="94" t="s">
        <v>163</v>
      </c>
      <c r="C80" s="94" t="s">
        <v>166</v>
      </c>
      <c r="D80" s="94" t="s">
        <v>167</v>
      </c>
      <c r="E80" s="94" t="s">
        <v>168</v>
      </c>
      <c r="F80" s="94" t="s">
        <v>561</v>
      </c>
      <c r="G80" s="94" t="s">
        <v>169</v>
      </c>
      <c r="H80" s="94" t="s">
        <v>164</v>
      </c>
      <c r="I80" s="94" t="s">
        <v>165</v>
      </c>
      <c r="J80" s="94" t="s">
        <v>170</v>
      </c>
      <c r="K80" s="94" t="s">
        <v>246</v>
      </c>
      <c r="L80" s="94" t="s">
        <v>247</v>
      </c>
      <c r="M80" s="94" t="s">
        <v>126</v>
      </c>
    </row>
    <row r="81" spans="1:13" ht="15.95" customHeight="1">
      <c r="A81" s="94" t="s">
        <v>76</v>
      </c>
      <c r="B81" s="94" t="s">
        <v>111</v>
      </c>
      <c r="C81" s="94" t="s">
        <v>112</v>
      </c>
      <c r="D81" s="94" t="s">
        <v>119</v>
      </c>
      <c r="E81" s="94" t="s">
        <v>112</v>
      </c>
      <c r="F81" s="94" t="s">
        <v>119</v>
      </c>
      <c r="G81" s="94" t="s">
        <v>112</v>
      </c>
      <c r="H81" s="94" t="s">
        <v>119</v>
      </c>
      <c r="I81" s="94" t="s">
        <v>112</v>
      </c>
      <c r="J81" s="94" t="s">
        <v>112</v>
      </c>
      <c r="K81" s="94" t="s">
        <v>112</v>
      </c>
      <c r="L81" s="94" t="s">
        <v>112</v>
      </c>
      <c r="M81" s="94"/>
    </row>
    <row r="82" spans="1:13" ht="15.95" customHeight="1">
      <c r="A82" s="130">
        <f>A5</f>
        <v>42644</v>
      </c>
      <c r="B82" s="95">
        <f t="shared" ref="B82:L97" ca="1" si="12">SUMIF(INDIRECT(B$80&amp;"!$A:$A"),$A82,INDIRECT(B$80&amp;"!$e:$e"))</f>
        <v>0</v>
      </c>
      <c r="C82" s="95">
        <f t="shared" ca="1" si="12"/>
        <v>0</v>
      </c>
      <c r="D82" s="95">
        <f t="shared" ca="1" si="12"/>
        <v>0</v>
      </c>
      <c r="E82" s="95">
        <f t="shared" ca="1" si="12"/>
        <v>0</v>
      </c>
      <c r="F82" s="95">
        <f t="shared" ca="1" si="12"/>
        <v>0</v>
      </c>
      <c r="G82" s="95">
        <f t="shared" ca="1" si="12"/>
        <v>0</v>
      </c>
      <c r="H82" s="95">
        <f t="shared" ca="1" si="12"/>
        <v>0</v>
      </c>
      <c r="I82" s="95">
        <f t="shared" ca="1" si="12"/>
        <v>0</v>
      </c>
      <c r="J82" s="95">
        <f t="shared" ca="1" si="12"/>
        <v>0</v>
      </c>
      <c r="K82" s="164">
        <f ca="1">SUMIF(INDIRECT(K$80&amp;"!$A:$A"),$A82,INDIRECT(K$80&amp;"!$e:$e"))</f>
        <v>0</v>
      </c>
      <c r="L82" s="164">
        <f ca="1">SUMIF(INDIRECT(L$80&amp;"!$A:$A"),$A82,INDIRECT(L$80&amp;"!$e:$e"))</f>
        <v>0</v>
      </c>
      <c r="M82" s="95">
        <f t="shared" ref="M82:M112" ca="1" si="13">SUM(B82:J82)</f>
        <v>0</v>
      </c>
    </row>
    <row r="83" spans="1:13" ht="15.95" customHeight="1">
      <c r="A83" s="130">
        <f>A82+1</f>
        <v>42645</v>
      </c>
      <c r="B83" s="95">
        <f t="shared" ca="1" si="12"/>
        <v>0</v>
      </c>
      <c r="C83" s="95">
        <f t="shared" ca="1" si="12"/>
        <v>0</v>
      </c>
      <c r="D83" s="95">
        <f t="shared" ca="1" si="12"/>
        <v>0</v>
      </c>
      <c r="E83" s="95">
        <f t="shared" ca="1" si="12"/>
        <v>0</v>
      </c>
      <c r="F83" s="95">
        <f t="shared" ca="1" si="12"/>
        <v>0</v>
      </c>
      <c r="G83" s="95">
        <f t="shared" ca="1" si="12"/>
        <v>0</v>
      </c>
      <c r="H83" s="95">
        <f t="shared" ca="1" si="12"/>
        <v>0</v>
      </c>
      <c r="I83" s="95">
        <f t="shared" ca="1" si="12"/>
        <v>0</v>
      </c>
      <c r="J83" s="95">
        <f t="shared" ca="1" si="12"/>
        <v>0</v>
      </c>
      <c r="K83" s="164">
        <f t="shared" ca="1" si="12"/>
        <v>0</v>
      </c>
      <c r="L83" s="164">
        <f t="shared" ca="1" si="12"/>
        <v>0</v>
      </c>
      <c r="M83" s="95">
        <f t="shared" ca="1" si="13"/>
        <v>0</v>
      </c>
    </row>
    <row r="84" spans="1:13" ht="15.95" customHeight="1">
      <c r="A84" s="130">
        <f t="shared" ref="A84:A112" si="14">A83+1</f>
        <v>42646</v>
      </c>
      <c r="B84" s="95">
        <f t="shared" ca="1" si="12"/>
        <v>0</v>
      </c>
      <c r="C84" s="95">
        <f t="shared" ca="1" si="12"/>
        <v>0</v>
      </c>
      <c r="D84" s="95">
        <f t="shared" ca="1" si="12"/>
        <v>0</v>
      </c>
      <c r="E84" s="95">
        <f t="shared" ca="1" si="12"/>
        <v>0</v>
      </c>
      <c r="F84" s="95">
        <f t="shared" ca="1" si="12"/>
        <v>0</v>
      </c>
      <c r="G84" s="95">
        <f t="shared" ca="1" si="12"/>
        <v>0</v>
      </c>
      <c r="H84" s="95">
        <f t="shared" ca="1" si="12"/>
        <v>0</v>
      </c>
      <c r="I84" s="95">
        <f t="shared" ca="1" si="12"/>
        <v>0</v>
      </c>
      <c r="J84" s="95">
        <f t="shared" ca="1" si="12"/>
        <v>0</v>
      </c>
      <c r="K84" s="164">
        <f t="shared" ca="1" si="12"/>
        <v>0</v>
      </c>
      <c r="L84" s="164">
        <f t="shared" ca="1" si="12"/>
        <v>0</v>
      </c>
      <c r="M84" s="95">
        <f t="shared" ca="1" si="13"/>
        <v>0</v>
      </c>
    </row>
    <row r="85" spans="1:13" ht="15.95" customHeight="1">
      <c r="A85" s="130">
        <f t="shared" si="14"/>
        <v>42647</v>
      </c>
      <c r="B85" s="95">
        <f t="shared" ca="1" si="12"/>
        <v>0</v>
      </c>
      <c r="C85" s="95">
        <f t="shared" ca="1" si="12"/>
        <v>0</v>
      </c>
      <c r="D85" s="95">
        <f t="shared" ca="1" si="12"/>
        <v>0</v>
      </c>
      <c r="E85" s="95">
        <f t="shared" ca="1" si="12"/>
        <v>0</v>
      </c>
      <c r="F85" s="95">
        <f t="shared" ca="1" si="12"/>
        <v>0</v>
      </c>
      <c r="G85" s="95">
        <f t="shared" ca="1" si="12"/>
        <v>0</v>
      </c>
      <c r="H85" s="95">
        <f t="shared" ca="1" si="12"/>
        <v>0</v>
      </c>
      <c r="I85" s="95">
        <f t="shared" ca="1" si="12"/>
        <v>0</v>
      </c>
      <c r="J85" s="95">
        <f t="shared" ca="1" si="12"/>
        <v>0</v>
      </c>
      <c r="K85" s="164">
        <f t="shared" ca="1" si="12"/>
        <v>0</v>
      </c>
      <c r="L85" s="164">
        <f t="shared" ca="1" si="12"/>
        <v>0</v>
      </c>
      <c r="M85" s="95">
        <f t="shared" ca="1" si="13"/>
        <v>0</v>
      </c>
    </row>
    <row r="86" spans="1:13" ht="15.95" customHeight="1">
      <c r="A86" s="130">
        <f t="shared" si="14"/>
        <v>42648</v>
      </c>
      <c r="B86" s="95">
        <f t="shared" ca="1" si="12"/>
        <v>0</v>
      </c>
      <c r="C86" s="95">
        <f t="shared" ca="1" si="12"/>
        <v>0</v>
      </c>
      <c r="D86" s="95">
        <f t="shared" ca="1" si="12"/>
        <v>0</v>
      </c>
      <c r="E86" s="95">
        <f t="shared" ca="1" si="12"/>
        <v>0</v>
      </c>
      <c r="F86" s="95">
        <f t="shared" ca="1" si="12"/>
        <v>0</v>
      </c>
      <c r="G86" s="95">
        <f t="shared" ca="1" si="12"/>
        <v>0</v>
      </c>
      <c r="H86" s="95">
        <f t="shared" ca="1" si="12"/>
        <v>10050</v>
      </c>
      <c r="I86" s="95">
        <f t="shared" ca="1" si="12"/>
        <v>10423</v>
      </c>
      <c r="J86" s="95">
        <f t="shared" ca="1" si="12"/>
        <v>0</v>
      </c>
      <c r="K86" s="164">
        <f t="shared" ca="1" si="12"/>
        <v>0</v>
      </c>
      <c r="L86" s="164">
        <f t="shared" ca="1" si="12"/>
        <v>0</v>
      </c>
      <c r="M86" s="95">
        <f t="shared" ca="1" si="13"/>
        <v>20473</v>
      </c>
    </row>
    <row r="87" spans="1:13" ht="15.95" customHeight="1">
      <c r="A87" s="130">
        <f t="shared" si="14"/>
        <v>42649</v>
      </c>
      <c r="B87" s="95">
        <f t="shared" ca="1" si="12"/>
        <v>0</v>
      </c>
      <c r="C87" s="95">
        <f t="shared" ca="1" si="12"/>
        <v>0</v>
      </c>
      <c r="D87" s="95">
        <f t="shared" ca="1" si="12"/>
        <v>0</v>
      </c>
      <c r="E87" s="95">
        <f t="shared" ca="1" si="12"/>
        <v>0</v>
      </c>
      <c r="F87" s="95">
        <f t="shared" ca="1" si="12"/>
        <v>0</v>
      </c>
      <c r="G87" s="95">
        <f t="shared" ca="1" si="12"/>
        <v>0</v>
      </c>
      <c r="H87" s="95">
        <f t="shared" ca="1" si="12"/>
        <v>11572</v>
      </c>
      <c r="I87" s="95">
        <f t="shared" ca="1" si="12"/>
        <v>12326</v>
      </c>
      <c r="J87" s="95">
        <f t="shared" ca="1" si="12"/>
        <v>0</v>
      </c>
      <c r="K87" s="164">
        <f t="shared" ca="1" si="12"/>
        <v>0</v>
      </c>
      <c r="L87" s="164">
        <f t="shared" ca="1" si="12"/>
        <v>0</v>
      </c>
      <c r="M87" s="95">
        <f t="shared" ca="1" si="13"/>
        <v>23898</v>
      </c>
    </row>
    <row r="88" spans="1:13" ht="15.95" customHeight="1">
      <c r="A88" s="130">
        <f t="shared" si="14"/>
        <v>42650</v>
      </c>
      <c r="B88" s="95">
        <f t="shared" ca="1" si="12"/>
        <v>0</v>
      </c>
      <c r="C88" s="95">
        <f t="shared" ca="1" si="12"/>
        <v>0</v>
      </c>
      <c r="D88" s="95">
        <f t="shared" ca="1" si="12"/>
        <v>0</v>
      </c>
      <c r="E88" s="95">
        <f t="shared" ca="1" si="12"/>
        <v>0</v>
      </c>
      <c r="F88" s="95">
        <f t="shared" ca="1" si="12"/>
        <v>0</v>
      </c>
      <c r="G88" s="95">
        <f t="shared" ca="1" si="12"/>
        <v>0</v>
      </c>
      <c r="H88" s="95">
        <f t="shared" ca="1" si="12"/>
        <v>13028</v>
      </c>
      <c r="I88" s="95">
        <f t="shared" ca="1" si="12"/>
        <v>14039</v>
      </c>
      <c r="J88" s="95">
        <f t="shared" ca="1" si="12"/>
        <v>0</v>
      </c>
      <c r="K88" s="164">
        <f t="shared" ca="1" si="12"/>
        <v>0</v>
      </c>
      <c r="L88" s="164">
        <f t="shared" ca="1" si="12"/>
        <v>0</v>
      </c>
      <c r="M88" s="95">
        <f t="shared" ca="1" si="13"/>
        <v>27067</v>
      </c>
    </row>
    <row r="89" spans="1:13" ht="15.95" customHeight="1">
      <c r="A89" s="130">
        <f t="shared" si="14"/>
        <v>42651</v>
      </c>
      <c r="B89" s="95">
        <f t="shared" ref="B89:L104" ca="1" si="15">SUMIF(INDIRECT(B$80&amp;"!$A:$A"),$A89,INDIRECT(B$80&amp;"!$e:$e"))</f>
        <v>0</v>
      </c>
      <c r="C89" s="95">
        <f t="shared" ca="1" si="15"/>
        <v>0</v>
      </c>
      <c r="D89" s="95">
        <f t="shared" ca="1" si="15"/>
        <v>0</v>
      </c>
      <c r="E89" s="95">
        <f t="shared" ca="1" si="15"/>
        <v>0</v>
      </c>
      <c r="F89" s="95">
        <f t="shared" ca="1" si="12"/>
        <v>0</v>
      </c>
      <c r="G89" s="95">
        <f t="shared" ca="1" si="15"/>
        <v>0</v>
      </c>
      <c r="H89" s="95">
        <f t="shared" ca="1" si="15"/>
        <v>14341</v>
      </c>
      <c r="I89" s="95">
        <f t="shared" ca="1" si="15"/>
        <v>15567</v>
      </c>
      <c r="J89" s="95">
        <f t="shared" ca="1" si="15"/>
        <v>10229</v>
      </c>
      <c r="K89" s="164">
        <f t="shared" ca="1" si="12"/>
        <v>10156</v>
      </c>
      <c r="L89" s="164">
        <f t="shared" ca="1" si="12"/>
        <v>0</v>
      </c>
      <c r="M89" s="95">
        <f t="shared" ca="1" si="13"/>
        <v>40137</v>
      </c>
    </row>
    <row r="90" spans="1:13" ht="15.95" customHeight="1">
      <c r="A90" s="130">
        <f t="shared" si="14"/>
        <v>42652</v>
      </c>
      <c r="B90" s="95">
        <f t="shared" ca="1" si="15"/>
        <v>0</v>
      </c>
      <c r="C90" s="95">
        <f t="shared" ca="1" si="15"/>
        <v>0</v>
      </c>
      <c r="D90" s="95">
        <f t="shared" ca="1" si="15"/>
        <v>0</v>
      </c>
      <c r="E90" s="95">
        <f t="shared" ca="1" si="15"/>
        <v>0</v>
      </c>
      <c r="F90" s="95">
        <f t="shared" ca="1" si="12"/>
        <v>0</v>
      </c>
      <c r="G90" s="95">
        <f t="shared" ca="1" si="15"/>
        <v>0</v>
      </c>
      <c r="H90" s="95">
        <f t="shared" ca="1" si="15"/>
        <v>15353</v>
      </c>
      <c r="I90" s="95">
        <f t="shared" ca="1" si="15"/>
        <v>16693</v>
      </c>
      <c r="J90" s="95">
        <f t="shared" ca="1" si="15"/>
        <v>10951</v>
      </c>
      <c r="K90" s="164">
        <f t="shared" ca="1" si="12"/>
        <v>10822</v>
      </c>
      <c r="L90" s="164">
        <f t="shared" ca="1" si="12"/>
        <v>0</v>
      </c>
      <c r="M90" s="95">
        <f t="shared" ca="1" si="13"/>
        <v>42997</v>
      </c>
    </row>
    <row r="91" spans="1:13" ht="15.95" customHeight="1">
      <c r="A91" s="130">
        <f t="shared" si="14"/>
        <v>42653</v>
      </c>
      <c r="B91" s="95">
        <f t="shared" ca="1" si="15"/>
        <v>0</v>
      </c>
      <c r="C91" s="95">
        <f t="shared" ca="1" si="15"/>
        <v>0</v>
      </c>
      <c r="D91" s="95">
        <f t="shared" ca="1" si="15"/>
        <v>0</v>
      </c>
      <c r="E91" s="95">
        <f t="shared" ca="1" si="15"/>
        <v>0</v>
      </c>
      <c r="F91" s="95">
        <f t="shared" ca="1" si="12"/>
        <v>0</v>
      </c>
      <c r="G91" s="95">
        <f t="shared" ca="1" si="15"/>
        <v>0</v>
      </c>
      <c r="H91" s="95">
        <f t="shared" ca="1" si="15"/>
        <v>16113</v>
      </c>
      <c r="I91" s="95">
        <f t="shared" ca="1" si="15"/>
        <v>17645</v>
      </c>
      <c r="J91" s="95">
        <f t="shared" ca="1" si="15"/>
        <v>11516</v>
      </c>
      <c r="K91" s="164">
        <f t="shared" ca="1" si="12"/>
        <v>11316</v>
      </c>
      <c r="L91" s="164">
        <f t="shared" ca="1" si="12"/>
        <v>0</v>
      </c>
      <c r="M91" s="95">
        <f t="shared" ca="1" si="13"/>
        <v>45274</v>
      </c>
    </row>
    <row r="92" spans="1:13" ht="15.95" customHeight="1">
      <c r="A92" s="130">
        <f t="shared" si="14"/>
        <v>42654</v>
      </c>
      <c r="B92" s="95">
        <f t="shared" ca="1" si="15"/>
        <v>0</v>
      </c>
      <c r="C92" s="95">
        <f t="shared" ca="1" si="15"/>
        <v>0</v>
      </c>
      <c r="D92" s="95">
        <f t="shared" ca="1" si="15"/>
        <v>0</v>
      </c>
      <c r="E92" s="95">
        <f t="shared" ca="1" si="15"/>
        <v>0</v>
      </c>
      <c r="F92" s="95">
        <f t="shared" ca="1" si="12"/>
        <v>0</v>
      </c>
      <c r="G92" s="95">
        <f t="shared" ca="1" si="15"/>
        <v>0</v>
      </c>
      <c r="H92" s="95">
        <f t="shared" ca="1" si="15"/>
        <v>16870</v>
      </c>
      <c r="I92" s="95">
        <f t="shared" ca="1" si="15"/>
        <v>18431</v>
      </c>
      <c r="J92" s="95">
        <f t="shared" ca="1" si="15"/>
        <v>11837</v>
      </c>
      <c r="K92" s="164">
        <f t="shared" ca="1" si="12"/>
        <v>11814</v>
      </c>
      <c r="L92" s="164">
        <f t="shared" ca="1" si="12"/>
        <v>0</v>
      </c>
      <c r="M92" s="95">
        <f t="shared" ca="1" si="13"/>
        <v>47138</v>
      </c>
    </row>
    <row r="93" spans="1:13" ht="15.95" customHeight="1">
      <c r="A93" s="130">
        <f t="shared" si="14"/>
        <v>42655</v>
      </c>
      <c r="B93" s="95">
        <f t="shared" ca="1" si="15"/>
        <v>0</v>
      </c>
      <c r="C93" s="95">
        <f t="shared" ca="1" si="15"/>
        <v>0</v>
      </c>
      <c r="D93" s="95">
        <f t="shared" ca="1" si="15"/>
        <v>0</v>
      </c>
      <c r="E93" s="95">
        <f t="shared" ca="1" si="15"/>
        <v>0</v>
      </c>
      <c r="F93" s="95">
        <f t="shared" ca="1" si="12"/>
        <v>0</v>
      </c>
      <c r="G93" s="95">
        <f t="shared" ca="1" si="15"/>
        <v>0</v>
      </c>
      <c r="H93" s="95">
        <f t="shared" ca="1" si="15"/>
        <v>17600</v>
      </c>
      <c r="I93" s="95">
        <f t="shared" ca="1" si="15"/>
        <v>19458</v>
      </c>
      <c r="J93" s="95">
        <f t="shared" ca="1" si="15"/>
        <v>12064</v>
      </c>
      <c r="K93" s="164">
        <f t="shared" ca="1" si="12"/>
        <v>12292</v>
      </c>
      <c r="L93" s="164">
        <f t="shared" ca="1" si="12"/>
        <v>0</v>
      </c>
      <c r="M93" s="95">
        <f t="shared" ca="1" si="13"/>
        <v>49122</v>
      </c>
    </row>
    <row r="94" spans="1:13" ht="15.95" customHeight="1">
      <c r="A94" s="130">
        <f t="shared" si="14"/>
        <v>42656</v>
      </c>
      <c r="B94" s="95">
        <f t="shared" ca="1" si="15"/>
        <v>0</v>
      </c>
      <c r="C94" s="95">
        <f t="shared" ca="1" si="15"/>
        <v>0</v>
      </c>
      <c r="D94" s="95">
        <f t="shared" ca="1" si="15"/>
        <v>0</v>
      </c>
      <c r="E94" s="95">
        <f t="shared" ca="1" si="15"/>
        <v>0</v>
      </c>
      <c r="F94" s="95">
        <f t="shared" ca="1" si="12"/>
        <v>0</v>
      </c>
      <c r="G94" s="95">
        <f t="shared" ca="1" si="15"/>
        <v>0</v>
      </c>
      <c r="H94" s="95">
        <f t="shared" ca="1" si="15"/>
        <v>18344</v>
      </c>
      <c r="I94" s="95">
        <f t="shared" ca="1" si="15"/>
        <v>20506</v>
      </c>
      <c r="J94" s="95">
        <f t="shared" ca="1" si="15"/>
        <v>12303</v>
      </c>
      <c r="K94" s="164">
        <f t="shared" ca="1" si="12"/>
        <v>12657</v>
      </c>
      <c r="L94" s="164">
        <f t="shared" ca="1" si="12"/>
        <v>0</v>
      </c>
      <c r="M94" s="95">
        <f t="shared" ca="1" si="13"/>
        <v>51153</v>
      </c>
    </row>
    <row r="95" spans="1:13" ht="15.95" customHeight="1">
      <c r="A95" s="130">
        <f t="shared" si="14"/>
        <v>42657</v>
      </c>
      <c r="B95" s="95">
        <f t="shared" ca="1" si="15"/>
        <v>0</v>
      </c>
      <c r="C95" s="95">
        <f t="shared" ca="1" si="15"/>
        <v>0</v>
      </c>
      <c r="D95" s="95">
        <f t="shared" ca="1" si="15"/>
        <v>0</v>
      </c>
      <c r="E95" s="95">
        <f t="shared" ca="1" si="15"/>
        <v>0</v>
      </c>
      <c r="F95" s="95">
        <f t="shared" ca="1" si="12"/>
        <v>0</v>
      </c>
      <c r="G95" s="95">
        <f t="shared" ca="1" si="15"/>
        <v>0</v>
      </c>
      <c r="H95" s="95">
        <f t="shared" ca="1" si="15"/>
        <v>19137</v>
      </c>
      <c r="I95" s="95">
        <f t="shared" ca="1" si="15"/>
        <v>21443</v>
      </c>
      <c r="J95" s="95">
        <f t="shared" ca="1" si="15"/>
        <v>12618</v>
      </c>
      <c r="K95" s="164">
        <f t="shared" ca="1" si="12"/>
        <v>13002</v>
      </c>
      <c r="L95" s="164">
        <f t="shared" ca="1" si="12"/>
        <v>0</v>
      </c>
      <c r="M95" s="95">
        <f t="shared" ca="1" si="13"/>
        <v>53198</v>
      </c>
    </row>
    <row r="96" spans="1:13" ht="15.95" customHeight="1">
      <c r="A96" s="130">
        <f t="shared" si="14"/>
        <v>42658</v>
      </c>
      <c r="B96" s="95">
        <f t="shared" ca="1" si="15"/>
        <v>0</v>
      </c>
      <c r="C96" s="95">
        <f t="shared" ca="1" si="15"/>
        <v>0</v>
      </c>
      <c r="D96" s="95">
        <f t="shared" ca="1" si="15"/>
        <v>0</v>
      </c>
      <c r="E96" s="95">
        <f t="shared" ca="1" si="15"/>
        <v>0</v>
      </c>
      <c r="F96" s="95">
        <f t="shared" ca="1" si="12"/>
        <v>0</v>
      </c>
      <c r="G96" s="95">
        <f t="shared" ca="1" si="15"/>
        <v>0</v>
      </c>
      <c r="H96" s="95">
        <f t="shared" ca="1" si="15"/>
        <v>0</v>
      </c>
      <c r="I96" s="95">
        <f t="shared" ca="1" si="15"/>
        <v>0</v>
      </c>
      <c r="J96" s="95">
        <f t="shared" ca="1" si="15"/>
        <v>0</v>
      </c>
      <c r="K96" s="164">
        <f t="shared" ca="1" si="12"/>
        <v>13549</v>
      </c>
      <c r="L96" s="164">
        <f t="shared" ca="1" si="12"/>
        <v>0</v>
      </c>
      <c r="M96" s="95">
        <f t="shared" ca="1" si="13"/>
        <v>0</v>
      </c>
    </row>
    <row r="97" spans="1:13" ht="15.95" customHeight="1">
      <c r="A97" s="130">
        <f t="shared" si="14"/>
        <v>42659</v>
      </c>
      <c r="B97" s="95">
        <f t="shared" ca="1" si="15"/>
        <v>0</v>
      </c>
      <c r="C97" s="95">
        <f t="shared" ca="1" si="15"/>
        <v>0</v>
      </c>
      <c r="D97" s="95">
        <f t="shared" ca="1" si="15"/>
        <v>0</v>
      </c>
      <c r="E97" s="95">
        <f t="shared" ca="1" si="15"/>
        <v>0</v>
      </c>
      <c r="F97" s="95">
        <f t="shared" ca="1" si="12"/>
        <v>0</v>
      </c>
      <c r="G97" s="95">
        <f t="shared" ca="1" si="15"/>
        <v>0</v>
      </c>
      <c r="H97" s="95">
        <f t="shared" ca="1" si="15"/>
        <v>0</v>
      </c>
      <c r="I97" s="95">
        <f t="shared" ca="1" si="15"/>
        <v>0</v>
      </c>
      <c r="J97" s="95">
        <f t="shared" ca="1" si="15"/>
        <v>0</v>
      </c>
      <c r="K97" s="164">
        <f t="shared" ca="1" si="12"/>
        <v>14063</v>
      </c>
      <c r="L97" s="164">
        <f t="shared" ca="1" si="12"/>
        <v>0</v>
      </c>
      <c r="M97" s="95">
        <f t="shared" ca="1" si="13"/>
        <v>0</v>
      </c>
    </row>
    <row r="98" spans="1:13" ht="15.95" customHeight="1">
      <c r="A98" s="130">
        <f t="shared" si="14"/>
        <v>42660</v>
      </c>
      <c r="B98" s="95">
        <f t="shared" ca="1" si="15"/>
        <v>0</v>
      </c>
      <c r="C98" s="95">
        <f t="shared" ca="1" si="15"/>
        <v>0</v>
      </c>
      <c r="D98" s="95">
        <f t="shared" ca="1" si="15"/>
        <v>0</v>
      </c>
      <c r="E98" s="95">
        <f t="shared" ca="1" si="15"/>
        <v>0</v>
      </c>
      <c r="F98" s="95">
        <f t="shared" ca="1" si="15"/>
        <v>0</v>
      </c>
      <c r="G98" s="95">
        <f t="shared" ca="1" si="15"/>
        <v>0</v>
      </c>
      <c r="H98" s="95">
        <f t="shared" ca="1" si="15"/>
        <v>0</v>
      </c>
      <c r="I98" s="95">
        <f t="shared" ca="1" si="15"/>
        <v>0</v>
      </c>
      <c r="J98" s="95">
        <f t="shared" ca="1" si="15"/>
        <v>0</v>
      </c>
      <c r="K98" s="164">
        <f t="shared" ca="1" si="15"/>
        <v>0</v>
      </c>
      <c r="L98" s="164">
        <f t="shared" ca="1" si="15"/>
        <v>0</v>
      </c>
      <c r="M98" s="95">
        <f t="shared" ca="1" si="13"/>
        <v>0</v>
      </c>
    </row>
    <row r="99" spans="1:13" ht="15.95" customHeight="1">
      <c r="A99" s="130">
        <f t="shared" si="14"/>
        <v>42661</v>
      </c>
      <c r="B99" s="95">
        <f t="shared" ref="B99:L112" ca="1" si="16">SUMIF(INDIRECT(B$80&amp;"!$A:$A"),$A99,INDIRECT(B$80&amp;"!$e:$e"))</f>
        <v>0</v>
      </c>
      <c r="C99" s="95">
        <f t="shared" ca="1" si="16"/>
        <v>0</v>
      </c>
      <c r="D99" s="95">
        <f t="shared" ca="1" si="16"/>
        <v>0</v>
      </c>
      <c r="E99" s="95">
        <f t="shared" ca="1" si="16"/>
        <v>0</v>
      </c>
      <c r="F99" s="95">
        <f t="shared" ca="1" si="15"/>
        <v>0</v>
      </c>
      <c r="G99" s="95">
        <f t="shared" ca="1" si="16"/>
        <v>0</v>
      </c>
      <c r="H99" s="95">
        <f t="shared" ca="1" si="16"/>
        <v>0</v>
      </c>
      <c r="I99" s="95">
        <f t="shared" ca="1" si="16"/>
        <v>0</v>
      </c>
      <c r="J99" s="95">
        <f t="shared" ca="1" si="16"/>
        <v>0</v>
      </c>
      <c r="K99" s="164">
        <f t="shared" ca="1" si="15"/>
        <v>0</v>
      </c>
      <c r="L99" s="164">
        <f t="shared" ca="1" si="15"/>
        <v>0</v>
      </c>
      <c r="M99" s="95">
        <f t="shared" ca="1" si="13"/>
        <v>0</v>
      </c>
    </row>
    <row r="100" spans="1:13" ht="15.95" customHeight="1">
      <c r="A100" s="130">
        <f t="shared" si="14"/>
        <v>42662</v>
      </c>
      <c r="B100" s="95">
        <f t="shared" ca="1" si="16"/>
        <v>0</v>
      </c>
      <c r="C100" s="95">
        <f t="shared" ca="1" si="16"/>
        <v>0</v>
      </c>
      <c r="D100" s="95">
        <f t="shared" ca="1" si="16"/>
        <v>0</v>
      </c>
      <c r="E100" s="95">
        <f t="shared" ca="1" si="16"/>
        <v>0</v>
      </c>
      <c r="F100" s="95">
        <f t="shared" ca="1" si="15"/>
        <v>0</v>
      </c>
      <c r="G100" s="95">
        <f t="shared" ca="1" si="16"/>
        <v>0</v>
      </c>
      <c r="H100" s="95">
        <f t="shared" ca="1" si="16"/>
        <v>0</v>
      </c>
      <c r="I100" s="95">
        <f t="shared" ca="1" si="16"/>
        <v>0</v>
      </c>
      <c r="J100" s="95">
        <f t="shared" ca="1" si="16"/>
        <v>0</v>
      </c>
      <c r="K100" s="164">
        <f t="shared" ca="1" si="15"/>
        <v>0</v>
      </c>
      <c r="L100" s="164">
        <f t="shared" ca="1" si="15"/>
        <v>0</v>
      </c>
      <c r="M100" s="95">
        <f t="shared" ca="1" si="13"/>
        <v>0</v>
      </c>
    </row>
    <row r="101" spans="1:13" ht="15.95" customHeight="1">
      <c r="A101" s="130">
        <f t="shared" si="14"/>
        <v>42663</v>
      </c>
      <c r="B101" s="95">
        <f t="shared" ca="1" si="16"/>
        <v>0</v>
      </c>
      <c r="C101" s="95">
        <f t="shared" ca="1" si="16"/>
        <v>0</v>
      </c>
      <c r="D101" s="95">
        <f t="shared" ca="1" si="16"/>
        <v>0</v>
      </c>
      <c r="E101" s="95">
        <f t="shared" ca="1" si="16"/>
        <v>0</v>
      </c>
      <c r="F101" s="95">
        <f t="shared" ca="1" si="15"/>
        <v>0</v>
      </c>
      <c r="G101" s="95">
        <f t="shared" ca="1" si="16"/>
        <v>0</v>
      </c>
      <c r="H101" s="95">
        <f t="shared" ca="1" si="16"/>
        <v>0</v>
      </c>
      <c r="I101" s="95">
        <f t="shared" ca="1" si="16"/>
        <v>0</v>
      </c>
      <c r="J101" s="95">
        <f t="shared" ca="1" si="16"/>
        <v>0</v>
      </c>
      <c r="K101" s="164">
        <f t="shared" ca="1" si="15"/>
        <v>0</v>
      </c>
      <c r="L101" s="164">
        <f t="shared" ca="1" si="15"/>
        <v>0</v>
      </c>
      <c r="M101" s="95">
        <f t="shared" ca="1" si="13"/>
        <v>0</v>
      </c>
    </row>
    <row r="102" spans="1:13" ht="15.95" customHeight="1">
      <c r="A102" s="130">
        <f t="shared" si="14"/>
        <v>42664</v>
      </c>
      <c r="B102" s="95">
        <f t="shared" ca="1" si="16"/>
        <v>0</v>
      </c>
      <c r="C102" s="95">
        <f t="shared" ca="1" si="16"/>
        <v>0</v>
      </c>
      <c r="D102" s="95">
        <f t="shared" ca="1" si="16"/>
        <v>0</v>
      </c>
      <c r="E102" s="95">
        <f t="shared" ca="1" si="16"/>
        <v>0</v>
      </c>
      <c r="F102" s="95">
        <f t="shared" ca="1" si="15"/>
        <v>0</v>
      </c>
      <c r="G102" s="95">
        <f t="shared" ca="1" si="16"/>
        <v>0</v>
      </c>
      <c r="H102" s="95">
        <f t="shared" ca="1" si="16"/>
        <v>0</v>
      </c>
      <c r="I102" s="95">
        <f t="shared" ca="1" si="16"/>
        <v>0</v>
      </c>
      <c r="J102" s="95">
        <f t="shared" ca="1" si="16"/>
        <v>0</v>
      </c>
      <c r="K102" s="164">
        <f t="shared" ca="1" si="15"/>
        <v>0</v>
      </c>
      <c r="L102" s="164">
        <f t="shared" ca="1" si="15"/>
        <v>0</v>
      </c>
      <c r="M102" s="95">
        <f t="shared" ca="1" si="13"/>
        <v>0</v>
      </c>
    </row>
    <row r="103" spans="1:13" ht="15.95" customHeight="1">
      <c r="A103" s="130">
        <f t="shared" si="14"/>
        <v>42665</v>
      </c>
      <c r="B103" s="95">
        <f t="shared" ca="1" si="16"/>
        <v>0</v>
      </c>
      <c r="C103" s="95">
        <f t="shared" ca="1" si="16"/>
        <v>0</v>
      </c>
      <c r="D103" s="95">
        <f t="shared" ca="1" si="16"/>
        <v>0</v>
      </c>
      <c r="E103" s="95">
        <f t="shared" ca="1" si="16"/>
        <v>0</v>
      </c>
      <c r="F103" s="95">
        <f t="shared" ca="1" si="15"/>
        <v>0</v>
      </c>
      <c r="G103" s="95">
        <f t="shared" ca="1" si="16"/>
        <v>0</v>
      </c>
      <c r="H103" s="95">
        <f t="shared" ca="1" si="16"/>
        <v>0</v>
      </c>
      <c r="I103" s="95">
        <f t="shared" ca="1" si="16"/>
        <v>0</v>
      </c>
      <c r="J103" s="95">
        <f t="shared" ca="1" si="16"/>
        <v>0</v>
      </c>
      <c r="K103" s="164">
        <f t="shared" ca="1" si="15"/>
        <v>0</v>
      </c>
      <c r="L103" s="164">
        <f t="shared" ca="1" si="15"/>
        <v>0</v>
      </c>
      <c r="M103" s="95">
        <f t="shared" ca="1" si="13"/>
        <v>0</v>
      </c>
    </row>
    <row r="104" spans="1:13" ht="15.95" customHeight="1">
      <c r="A104" s="130">
        <f t="shared" si="14"/>
        <v>42666</v>
      </c>
      <c r="B104" s="95">
        <f t="shared" ca="1" si="16"/>
        <v>0</v>
      </c>
      <c r="C104" s="95">
        <f t="shared" ca="1" si="16"/>
        <v>0</v>
      </c>
      <c r="D104" s="95">
        <f t="shared" ca="1" si="16"/>
        <v>0</v>
      </c>
      <c r="E104" s="95">
        <f t="shared" ca="1" si="16"/>
        <v>0</v>
      </c>
      <c r="F104" s="95">
        <f t="shared" ca="1" si="15"/>
        <v>0</v>
      </c>
      <c r="G104" s="95">
        <f t="shared" ca="1" si="16"/>
        <v>0</v>
      </c>
      <c r="H104" s="95">
        <f t="shared" ca="1" si="16"/>
        <v>0</v>
      </c>
      <c r="I104" s="95">
        <f t="shared" ca="1" si="16"/>
        <v>0</v>
      </c>
      <c r="J104" s="95">
        <f t="shared" ca="1" si="16"/>
        <v>0</v>
      </c>
      <c r="K104" s="164">
        <f t="shared" ca="1" si="15"/>
        <v>0</v>
      </c>
      <c r="L104" s="164">
        <f t="shared" ca="1" si="15"/>
        <v>0</v>
      </c>
      <c r="M104" s="95">
        <f t="shared" ca="1" si="13"/>
        <v>0</v>
      </c>
    </row>
    <row r="105" spans="1:13" ht="15.95" customHeight="1">
      <c r="A105" s="130">
        <f t="shared" si="14"/>
        <v>42667</v>
      </c>
      <c r="B105" s="95">
        <f t="shared" ca="1" si="16"/>
        <v>0</v>
      </c>
      <c r="C105" s="95">
        <f t="shared" ca="1" si="16"/>
        <v>0</v>
      </c>
      <c r="D105" s="95">
        <f t="shared" ca="1" si="16"/>
        <v>0</v>
      </c>
      <c r="E105" s="95">
        <f t="shared" ca="1" si="16"/>
        <v>0</v>
      </c>
      <c r="F105" s="95">
        <f t="shared" ca="1" si="16"/>
        <v>0</v>
      </c>
      <c r="G105" s="95">
        <f t="shared" ca="1" si="16"/>
        <v>0</v>
      </c>
      <c r="H105" s="95">
        <f t="shared" ca="1" si="16"/>
        <v>0</v>
      </c>
      <c r="I105" s="95">
        <f t="shared" ca="1" si="16"/>
        <v>0</v>
      </c>
      <c r="J105" s="95">
        <f t="shared" ca="1" si="16"/>
        <v>0</v>
      </c>
      <c r="K105" s="164">
        <f t="shared" ca="1" si="16"/>
        <v>0</v>
      </c>
      <c r="L105" s="164">
        <f t="shared" ca="1" si="16"/>
        <v>0</v>
      </c>
      <c r="M105" s="95">
        <f t="shared" ca="1" si="13"/>
        <v>0</v>
      </c>
    </row>
    <row r="106" spans="1:13" ht="15.95" customHeight="1">
      <c r="A106" s="130">
        <f t="shared" si="14"/>
        <v>42668</v>
      </c>
      <c r="B106" s="95">
        <f t="shared" ca="1" si="16"/>
        <v>0</v>
      </c>
      <c r="C106" s="95">
        <f t="shared" ca="1" si="16"/>
        <v>0</v>
      </c>
      <c r="D106" s="95">
        <f t="shared" ca="1" si="16"/>
        <v>0</v>
      </c>
      <c r="E106" s="95">
        <f t="shared" ca="1" si="16"/>
        <v>0</v>
      </c>
      <c r="F106" s="95">
        <f t="shared" ca="1" si="16"/>
        <v>0</v>
      </c>
      <c r="G106" s="95">
        <f t="shared" ca="1" si="16"/>
        <v>0</v>
      </c>
      <c r="H106" s="95">
        <f t="shared" ca="1" si="16"/>
        <v>0</v>
      </c>
      <c r="I106" s="95">
        <f t="shared" ca="1" si="16"/>
        <v>0</v>
      </c>
      <c r="J106" s="95">
        <f t="shared" ca="1" si="16"/>
        <v>0</v>
      </c>
      <c r="K106" s="164">
        <f t="shared" ca="1" si="16"/>
        <v>0</v>
      </c>
      <c r="L106" s="164">
        <f t="shared" ca="1" si="16"/>
        <v>0</v>
      </c>
      <c r="M106" s="95">
        <f t="shared" ca="1" si="13"/>
        <v>0</v>
      </c>
    </row>
    <row r="107" spans="1:13" ht="15.95" customHeight="1">
      <c r="A107" s="130">
        <f t="shared" si="14"/>
        <v>42669</v>
      </c>
      <c r="B107" s="95">
        <f t="shared" ca="1" si="16"/>
        <v>0</v>
      </c>
      <c r="C107" s="95">
        <f t="shared" ca="1" si="16"/>
        <v>0</v>
      </c>
      <c r="D107" s="95">
        <f t="shared" ca="1" si="16"/>
        <v>0</v>
      </c>
      <c r="E107" s="95">
        <f t="shared" ca="1" si="16"/>
        <v>0</v>
      </c>
      <c r="F107" s="95">
        <f t="shared" ca="1" si="16"/>
        <v>0</v>
      </c>
      <c r="G107" s="95">
        <f t="shared" ca="1" si="16"/>
        <v>0</v>
      </c>
      <c r="H107" s="95">
        <f t="shared" ca="1" si="16"/>
        <v>0</v>
      </c>
      <c r="I107" s="95">
        <f t="shared" ca="1" si="16"/>
        <v>0</v>
      </c>
      <c r="J107" s="95">
        <f t="shared" ca="1" si="16"/>
        <v>0</v>
      </c>
      <c r="K107" s="164">
        <f t="shared" ca="1" si="16"/>
        <v>0</v>
      </c>
      <c r="L107" s="164">
        <f t="shared" ca="1" si="16"/>
        <v>0</v>
      </c>
      <c r="M107" s="95">
        <f t="shared" ca="1" si="13"/>
        <v>0</v>
      </c>
    </row>
    <row r="108" spans="1:13" ht="15.95" customHeight="1">
      <c r="A108" s="130">
        <f t="shared" si="14"/>
        <v>42670</v>
      </c>
      <c r="B108" s="95">
        <f t="shared" ca="1" si="16"/>
        <v>0</v>
      </c>
      <c r="C108" s="95">
        <f t="shared" ca="1" si="16"/>
        <v>0</v>
      </c>
      <c r="D108" s="95">
        <f t="shared" ca="1" si="16"/>
        <v>0</v>
      </c>
      <c r="E108" s="95">
        <f t="shared" ca="1" si="16"/>
        <v>0</v>
      </c>
      <c r="F108" s="95">
        <f t="shared" ca="1" si="16"/>
        <v>0</v>
      </c>
      <c r="G108" s="95">
        <f t="shared" ca="1" si="16"/>
        <v>0</v>
      </c>
      <c r="H108" s="95">
        <f t="shared" ca="1" si="16"/>
        <v>0</v>
      </c>
      <c r="I108" s="95">
        <f t="shared" ca="1" si="16"/>
        <v>0</v>
      </c>
      <c r="J108" s="95">
        <f t="shared" ca="1" si="16"/>
        <v>0</v>
      </c>
      <c r="K108" s="164">
        <f t="shared" ca="1" si="16"/>
        <v>0</v>
      </c>
      <c r="L108" s="164">
        <f t="shared" ca="1" si="16"/>
        <v>0</v>
      </c>
      <c r="M108" s="95">
        <f t="shared" ca="1" si="13"/>
        <v>0</v>
      </c>
    </row>
    <row r="109" spans="1:13" ht="15.95" customHeight="1">
      <c r="A109" s="130">
        <f t="shared" si="14"/>
        <v>42671</v>
      </c>
      <c r="B109" s="95">
        <f t="shared" ca="1" si="16"/>
        <v>0</v>
      </c>
      <c r="C109" s="95">
        <f t="shared" ca="1" si="16"/>
        <v>0</v>
      </c>
      <c r="D109" s="95">
        <f t="shared" ca="1" si="16"/>
        <v>0</v>
      </c>
      <c r="E109" s="95">
        <f t="shared" ca="1" si="16"/>
        <v>0</v>
      </c>
      <c r="F109" s="95">
        <f t="shared" ca="1" si="16"/>
        <v>0</v>
      </c>
      <c r="G109" s="95">
        <f t="shared" ca="1" si="16"/>
        <v>0</v>
      </c>
      <c r="H109" s="95">
        <f t="shared" ca="1" si="16"/>
        <v>0</v>
      </c>
      <c r="I109" s="95">
        <f t="shared" ca="1" si="16"/>
        <v>0</v>
      </c>
      <c r="J109" s="95">
        <f t="shared" ca="1" si="16"/>
        <v>0</v>
      </c>
      <c r="K109" s="164">
        <f t="shared" ca="1" si="16"/>
        <v>0</v>
      </c>
      <c r="L109" s="164">
        <f t="shared" ca="1" si="16"/>
        <v>0</v>
      </c>
      <c r="M109" s="95">
        <f t="shared" ca="1" si="13"/>
        <v>0</v>
      </c>
    </row>
    <row r="110" spans="1:13" ht="15.95" customHeight="1">
      <c r="A110" s="130">
        <f t="shared" si="14"/>
        <v>42672</v>
      </c>
      <c r="B110" s="95">
        <f t="shared" ca="1" si="16"/>
        <v>0</v>
      </c>
      <c r="C110" s="95">
        <f t="shared" ca="1" si="16"/>
        <v>0</v>
      </c>
      <c r="D110" s="95">
        <f t="shared" ca="1" si="16"/>
        <v>0</v>
      </c>
      <c r="E110" s="95">
        <f t="shared" ca="1" si="16"/>
        <v>0</v>
      </c>
      <c r="F110" s="95">
        <f t="shared" ca="1" si="16"/>
        <v>0</v>
      </c>
      <c r="G110" s="95">
        <f t="shared" ca="1" si="16"/>
        <v>0</v>
      </c>
      <c r="H110" s="95">
        <f t="shared" ca="1" si="16"/>
        <v>0</v>
      </c>
      <c r="I110" s="95">
        <f t="shared" ca="1" si="16"/>
        <v>0</v>
      </c>
      <c r="J110" s="95">
        <f t="shared" ca="1" si="16"/>
        <v>0</v>
      </c>
      <c r="K110" s="164">
        <f t="shared" ca="1" si="16"/>
        <v>0</v>
      </c>
      <c r="L110" s="164">
        <f t="shared" ca="1" si="16"/>
        <v>0</v>
      </c>
      <c r="M110" s="95">
        <f t="shared" ca="1" si="13"/>
        <v>0</v>
      </c>
    </row>
    <row r="111" spans="1:13" ht="15.95" customHeight="1">
      <c r="A111" s="130">
        <f t="shared" si="14"/>
        <v>42673</v>
      </c>
      <c r="B111" s="95">
        <f t="shared" ca="1" si="16"/>
        <v>0</v>
      </c>
      <c r="C111" s="95">
        <f t="shared" ca="1" si="16"/>
        <v>0</v>
      </c>
      <c r="D111" s="95">
        <f t="shared" ca="1" si="16"/>
        <v>0</v>
      </c>
      <c r="E111" s="95">
        <f t="shared" ca="1" si="16"/>
        <v>0</v>
      </c>
      <c r="F111" s="95">
        <f t="shared" ca="1" si="16"/>
        <v>0</v>
      </c>
      <c r="G111" s="95">
        <f t="shared" ca="1" si="16"/>
        <v>0</v>
      </c>
      <c r="H111" s="95">
        <f t="shared" ca="1" si="16"/>
        <v>0</v>
      </c>
      <c r="I111" s="95">
        <f t="shared" ca="1" si="16"/>
        <v>0</v>
      </c>
      <c r="J111" s="95">
        <f t="shared" ca="1" si="16"/>
        <v>0</v>
      </c>
      <c r="K111" s="164">
        <f t="shared" ca="1" si="16"/>
        <v>0</v>
      </c>
      <c r="L111" s="164">
        <f t="shared" ca="1" si="16"/>
        <v>0</v>
      </c>
      <c r="M111" s="95">
        <f t="shared" ca="1" si="13"/>
        <v>0</v>
      </c>
    </row>
    <row r="112" spans="1:13" ht="15.95" customHeight="1">
      <c r="A112" s="130">
        <f t="shared" si="14"/>
        <v>42674</v>
      </c>
      <c r="B112" s="95">
        <f t="shared" ca="1" si="16"/>
        <v>0</v>
      </c>
      <c r="C112" s="95">
        <f t="shared" ca="1" si="16"/>
        <v>0</v>
      </c>
      <c r="D112" s="95">
        <f t="shared" ca="1" si="16"/>
        <v>0</v>
      </c>
      <c r="E112" s="95">
        <f t="shared" ca="1" si="16"/>
        <v>0</v>
      </c>
      <c r="F112" s="95">
        <f t="shared" ca="1" si="16"/>
        <v>0</v>
      </c>
      <c r="G112" s="95">
        <f t="shared" ca="1" si="16"/>
        <v>0</v>
      </c>
      <c r="H112" s="95">
        <f t="shared" ca="1" si="16"/>
        <v>0</v>
      </c>
      <c r="I112" s="95">
        <f t="shared" ca="1" si="16"/>
        <v>0</v>
      </c>
      <c r="J112" s="95">
        <f t="shared" ca="1" si="16"/>
        <v>0</v>
      </c>
      <c r="K112" s="164">
        <f t="shared" ca="1" si="16"/>
        <v>0</v>
      </c>
      <c r="L112" s="164">
        <f t="shared" ca="1" si="16"/>
        <v>0</v>
      </c>
      <c r="M112" s="95">
        <f t="shared" ca="1" si="13"/>
        <v>0</v>
      </c>
    </row>
  </sheetData>
  <phoneticPr fontId="1" type="noConversion"/>
  <conditionalFormatting sqref="B5:M35 B43:M73 B82:M112">
    <cfRule type="expression" dxfId="4" priority="32">
      <formula>$M5=0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U121"/>
  <sheetViews>
    <sheetView showGridLines="0" topLeftCell="A91" zoomScaleNormal="100" workbookViewId="0">
      <selection activeCell="F112" sqref="F112"/>
    </sheetView>
  </sheetViews>
  <sheetFormatPr defaultRowHeight="15.95" customHeight="1"/>
  <cols>
    <col min="1" max="1" width="18.7109375" style="66" customWidth="1"/>
    <col min="2" max="10" width="8.140625" style="71" customWidth="1"/>
    <col min="11" max="11" width="8.140625" style="71" hidden="1" customWidth="1"/>
    <col min="12" max="12" width="9.28515625" style="66" hidden="1" customWidth="1"/>
    <col min="13" max="14" width="9.28515625" style="66" customWidth="1"/>
    <col min="15" max="15" width="17.85546875" style="66" bestFit="1" customWidth="1"/>
    <col min="16" max="16" width="9.140625" style="66"/>
    <col min="17" max="17" width="13.140625" style="117" bestFit="1" customWidth="1"/>
    <col min="18" max="18" width="15.28515625" style="117" bestFit="1" customWidth="1"/>
    <col min="19" max="19" width="11" style="117" bestFit="1" customWidth="1"/>
    <col min="20" max="20" width="54.7109375" style="117" bestFit="1" customWidth="1"/>
    <col min="21" max="21" width="9.42578125" style="117" customWidth="1"/>
    <col min="22" max="16384" width="9.140625" style="66"/>
  </cols>
  <sheetData>
    <row r="1" spans="1:20" ht="15.95" customHeight="1">
      <c r="A1" s="120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2"/>
      <c r="M1" s="122"/>
      <c r="N1" s="122"/>
      <c r="Q1" s="299" t="s">
        <v>124</v>
      </c>
      <c r="R1" s="299"/>
      <c r="S1" s="299"/>
      <c r="T1" s="299"/>
    </row>
    <row r="2" spans="1:20" ht="15.95" customHeight="1">
      <c r="A2" s="279" t="str">
        <f>MONTH(A37)&amp;"月不知情有理万投比"</f>
        <v>10月不知情有理万投比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2"/>
      <c r="M2" s="122"/>
      <c r="N2" s="122"/>
      <c r="Q2" s="118" t="s">
        <v>69</v>
      </c>
      <c r="R2" s="118" t="s">
        <v>87</v>
      </c>
      <c r="S2" s="118" t="s">
        <v>93</v>
      </c>
      <c r="T2" s="118" t="s">
        <v>90</v>
      </c>
    </row>
    <row r="3" spans="1:20" ht="15.95" customHeight="1">
      <c r="A3" s="94" t="s">
        <v>75</v>
      </c>
      <c r="B3" s="94" t="s">
        <v>163</v>
      </c>
      <c r="C3" s="94" t="s">
        <v>166</v>
      </c>
      <c r="D3" s="94" t="s">
        <v>167</v>
      </c>
      <c r="E3" s="94" t="s">
        <v>168</v>
      </c>
      <c r="F3" s="94" t="s">
        <v>561</v>
      </c>
      <c r="G3" s="94" t="s">
        <v>169</v>
      </c>
      <c r="H3" s="94" t="s">
        <v>164</v>
      </c>
      <c r="I3" s="94" t="s">
        <v>165</v>
      </c>
      <c r="J3" s="94" t="s">
        <v>170</v>
      </c>
      <c r="K3" s="103" t="s">
        <v>101</v>
      </c>
      <c r="L3" s="136" t="s">
        <v>68</v>
      </c>
      <c r="M3" s="170" t="s">
        <v>250</v>
      </c>
      <c r="N3" s="170" t="s">
        <v>251</v>
      </c>
      <c r="Q3" s="112">
        <v>2.1</v>
      </c>
      <c r="R3" s="112" t="s">
        <v>113</v>
      </c>
      <c r="S3" s="112" t="s">
        <v>97</v>
      </c>
      <c r="T3" s="119" t="s">
        <v>128</v>
      </c>
    </row>
    <row r="4" spans="1:20" ht="15.75" customHeight="1">
      <c r="A4" s="94" t="s">
        <v>76</v>
      </c>
      <c r="B4" s="94" t="s">
        <v>111</v>
      </c>
      <c r="C4" s="94" t="s">
        <v>112</v>
      </c>
      <c r="D4" s="94" t="s">
        <v>119</v>
      </c>
      <c r="E4" s="94" t="s">
        <v>112</v>
      </c>
      <c r="F4" s="94" t="s">
        <v>119</v>
      </c>
      <c r="G4" s="94" t="s">
        <v>112</v>
      </c>
      <c r="H4" s="94" t="s">
        <v>119</v>
      </c>
      <c r="I4" s="94" t="s">
        <v>112</v>
      </c>
      <c r="J4" s="94" t="s">
        <v>112</v>
      </c>
      <c r="K4" s="103" t="s">
        <v>133</v>
      </c>
      <c r="L4" s="136" t="s">
        <v>112</v>
      </c>
      <c r="M4" s="94" t="s">
        <v>112</v>
      </c>
      <c r="N4" s="94" t="s">
        <v>112</v>
      </c>
      <c r="Q4" s="112">
        <v>3.1</v>
      </c>
      <c r="R4" s="112" t="s">
        <v>114</v>
      </c>
      <c r="S4" s="112" t="s">
        <v>96</v>
      </c>
      <c r="T4" s="119" t="s">
        <v>92</v>
      </c>
    </row>
    <row r="5" spans="1:20" ht="15.95" hidden="1" customHeight="1">
      <c r="A5" s="123">
        <v>42185</v>
      </c>
      <c r="B5" s="103">
        <f t="shared" ref="B5:L5" ca="1" si="0">SUMIF(INDIRECT(B$3&amp;"!$A:$A"),$A5,INDIRECT(B$3&amp;"!$F:$F"))</f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/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19.666873420976991</v>
      </c>
      <c r="L5" s="96">
        <f t="shared" ca="1" si="0"/>
        <v>62.903950506342241</v>
      </c>
      <c r="M5" s="96"/>
      <c r="N5" s="96"/>
      <c r="Q5" s="112">
        <v>4.0999999999999996</v>
      </c>
      <c r="R5" s="112" t="s">
        <v>115</v>
      </c>
      <c r="S5" s="112" t="s">
        <v>95</v>
      </c>
      <c r="T5" s="119" t="s">
        <v>129</v>
      </c>
    </row>
    <row r="6" spans="1:20" ht="15.95" hidden="1" customHeight="1">
      <c r="A6" s="123">
        <v>42216</v>
      </c>
      <c r="B6" s="103">
        <f t="shared" ref="B6:K6" ca="1" si="1">SUMIF(INDIRECT(B$3&amp;"!$A:$A"),$A6,INDIRECT(B$3&amp;"!$F:$F"))</f>
        <v>0</v>
      </c>
      <c r="C6" s="103">
        <f t="shared" ca="1" si="1"/>
        <v>0</v>
      </c>
      <c r="D6" s="103">
        <f t="shared" ca="1" si="1"/>
        <v>0</v>
      </c>
      <c r="E6" s="103">
        <f t="shared" ca="1" si="1"/>
        <v>0</v>
      </c>
      <c r="F6" s="103"/>
      <c r="G6" s="103">
        <f t="shared" ca="1" si="1"/>
        <v>0</v>
      </c>
      <c r="H6" s="103">
        <f t="shared" ca="1" si="1"/>
        <v>0</v>
      </c>
      <c r="I6" s="103">
        <f t="shared" ca="1" si="1"/>
        <v>0</v>
      </c>
      <c r="J6" s="103">
        <f t="shared" ca="1" si="1"/>
        <v>0</v>
      </c>
      <c r="K6" s="103">
        <f t="shared" ca="1" si="1"/>
        <v>21.626781412900002</v>
      </c>
      <c r="L6" s="96">
        <f ca="1">SUMIF(INDIRECT(L$3&amp;"!$A:$A"),$A6,INDIRECT(L$3&amp;"!$F:$F"))</f>
        <v>32.092426187419768</v>
      </c>
      <c r="M6" s="96"/>
      <c r="N6" s="96"/>
      <c r="Q6" s="112">
        <v>5.0999999999999996</v>
      </c>
      <c r="R6" s="112" t="s">
        <v>116</v>
      </c>
      <c r="S6" s="113" t="s">
        <v>94</v>
      </c>
      <c r="T6" s="119" t="s">
        <v>129</v>
      </c>
    </row>
    <row r="7" spans="1:20" ht="15.95" hidden="1" customHeight="1">
      <c r="A7" s="123">
        <v>42247</v>
      </c>
      <c r="B7" s="103">
        <f t="shared" ref="B7:K7" ca="1" si="2">SUMIF(INDIRECT(B$3&amp;"!$A:$A"),$A7,INDIRECT(B$3&amp;"!$F:$F"))</f>
        <v>0</v>
      </c>
      <c r="C7" s="103">
        <f t="shared" ca="1" si="2"/>
        <v>0</v>
      </c>
      <c r="D7" s="103">
        <f t="shared" ca="1" si="2"/>
        <v>0</v>
      </c>
      <c r="E7" s="103">
        <f t="shared" ca="1" si="2"/>
        <v>0</v>
      </c>
      <c r="F7" s="103"/>
      <c r="G7" s="103">
        <f t="shared" ca="1" si="2"/>
        <v>0</v>
      </c>
      <c r="H7" s="103">
        <f t="shared" ca="1" si="2"/>
        <v>0</v>
      </c>
      <c r="I7" s="103">
        <f t="shared" ca="1" si="2"/>
        <v>0</v>
      </c>
      <c r="J7" s="103">
        <f t="shared" ca="1" si="2"/>
        <v>0</v>
      </c>
      <c r="K7" s="103">
        <f t="shared" ca="1" si="2"/>
        <v>66</v>
      </c>
      <c r="L7" s="96">
        <f ca="1">SUMIF(INDIRECT(L$3&amp;"!$A:$A"),$A7,INDIRECT(L$3&amp;"!$F:$F"))</f>
        <v>29.62962962962963</v>
      </c>
      <c r="M7" s="96"/>
      <c r="N7" s="96"/>
    </row>
    <row r="8" spans="1:20" ht="15.95" hidden="1" customHeight="1">
      <c r="A8" s="123">
        <v>42277</v>
      </c>
      <c r="B8" s="103">
        <f t="shared" ref="B8:N25" ca="1" si="3">SUMIF(INDIRECT(B$3&amp;"!$A:$A"),$A8,INDIRECT(B$3&amp;"!$F:$F"))</f>
        <v>0</v>
      </c>
      <c r="C8" s="103">
        <f t="shared" ca="1" si="3"/>
        <v>0</v>
      </c>
      <c r="D8" s="103">
        <f t="shared" ca="1" si="3"/>
        <v>0</v>
      </c>
      <c r="E8" s="103">
        <f t="shared" ca="1" si="3"/>
        <v>0</v>
      </c>
      <c r="F8" s="103"/>
      <c r="G8" s="103">
        <f t="shared" ca="1" si="3"/>
        <v>0</v>
      </c>
      <c r="H8" s="103">
        <f t="shared" ca="1" si="3"/>
        <v>0</v>
      </c>
      <c r="I8" s="103">
        <f t="shared" ca="1" si="3"/>
        <v>0</v>
      </c>
      <c r="J8" s="103">
        <f t="shared" ca="1" si="3"/>
        <v>0</v>
      </c>
      <c r="K8" s="103">
        <f t="shared" ca="1" si="3"/>
        <v>37.189748564960787</v>
      </c>
      <c r="L8" s="96"/>
      <c r="M8" s="96"/>
      <c r="N8" s="96"/>
    </row>
    <row r="9" spans="1:20" ht="15.95" hidden="1" customHeight="1">
      <c r="A9" s="123">
        <v>42308</v>
      </c>
      <c r="B9" s="103">
        <f t="shared" ref="B9:B23" ca="1" si="4">SUMIF(INDIRECT(B$3&amp;"!$A:$A"),$A9,INDIRECT(B$3&amp;"!$F:$F"))</f>
        <v>0</v>
      </c>
      <c r="C9" s="103">
        <f t="shared" ca="1" si="3"/>
        <v>0</v>
      </c>
      <c r="D9" s="103">
        <f t="shared" ca="1" si="3"/>
        <v>0</v>
      </c>
      <c r="E9" s="103">
        <f t="shared" ca="1" si="3"/>
        <v>0</v>
      </c>
      <c r="F9" s="103"/>
      <c r="G9" s="103">
        <f t="shared" ca="1" si="3"/>
        <v>0</v>
      </c>
      <c r="H9" s="103">
        <f t="shared" ca="1" si="3"/>
        <v>0</v>
      </c>
      <c r="I9" s="103">
        <f t="shared" ca="1" si="3"/>
        <v>0</v>
      </c>
      <c r="J9" s="103">
        <f t="shared" ca="1" si="3"/>
        <v>0</v>
      </c>
      <c r="K9" s="103">
        <f t="shared" ca="1" si="3"/>
        <v>9</v>
      </c>
      <c r="L9" s="96"/>
      <c r="M9" s="96"/>
      <c r="N9" s="96"/>
    </row>
    <row r="10" spans="1:20" ht="15.95" hidden="1" customHeight="1">
      <c r="A10" s="123">
        <v>42338</v>
      </c>
      <c r="B10" s="103">
        <f t="shared" ca="1" si="4"/>
        <v>0</v>
      </c>
      <c r="C10" s="103">
        <f t="shared" ca="1" si="3"/>
        <v>0</v>
      </c>
      <c r="D10" s="103">
        <f t="shared" ca="1" si="3"/>
        <v>0</v>
      </c>
      <c r="E10" s="103">
        <f t="shared" ca="1" si="3"/>
        <v>0</v>
      </c>
      <c r="F10" s="103"/>
      <c r="G10" s="103">
        <f t="shared" ca="1" si="3"/>
        <v>0</v>
      </c>
      <c r="H10" s="103">
        <f t="shared" ca="1" si="3"/>
        <v>0</v>
      </c>
      <c r="I10" s="103">
        <f t="shared" ca="1" si="3"/>
        <v>0</v>
      </c>
      <c r="J10" s="103">
        <f t="shared" ca="1" si="3"/>
        <v>0</v>
      </c>
      <c r="K10" s="103">
        <f t="shared" ca="1" si="3"/>
        <v>9.5831336847149018</v>
      </c>
      <c r="L10" s="96"/>
      <c r="M10" s="96"/>
      <c r="N10" s="96"/>
    </row>
    <row r="11" spans="1:20" ht="15.95" hidden="1" customHeight="1">
      <c r="A11" s="123">
        <v>42369</v>
      </c>
      <c r="B11" s="103">
        <f t="shared" ca="1" si="4"/>
        <v>0</v>
      </c>
      <c r="C11" s="103">
        <f t="shared" ca="1" si="3"/>
        <v>0</v>
      </c>
      <c r="D11" s="103">
        <f t="shared" ca="1" si="3"/>
        <v>0</v>
      </c>
      <c r="E11" s="103">
        <f t="shared" ca="1" si="3"/>
        <v>0</v>
      </c>
      <c r="F11" s="103"/>
      <c r="G11" s="103">
        <f t="shared" ca="1" si="3"/>
        <v>0</v>
      </c>
      <c r="H11" s="103">
        <f t="shared" ca="1" si="3"/>
        <v>0</v>
      </c>
      <c r="I11" s="103">
        <f t="shared" ca="1" si="3"/>
        <v>0</v>
      </c>
      <c r="J11" s="103">
        <f t="shared" ca="1" si="3"/>
        <v>0</v>
      </c>
      <c r="K11" s="103">
        <f t="shared" ca="1" si="3"/>
        <v>43.434817186321091</v>
      </c>
      <c r="L11" s="96"/>
      <c r="M11" s="96"/>
      <c r="N11" s="96"/>
    </row>
    <row r="12" spans="1:20" ht="15.95" hidden="1" customHeight="1">
      <c r="A12" s="123">
        <v>42400</v>
      </c>
      <c r="B12" s="103">
        <f t="shared" ca="1" si="4"/>
        <v>0</v>
      </c>
      <c r="C12" s="103">
        <f t="shared" ca="1" si="3"/>
        <v>0</v>
      </c>
      <c r="D12" s="103">
        <f t="shared" ca="1" si="3"/>
        <v>0</v>
      </c>
      <c r="E12" s="103">
        <f t="shared" ca="1" si="3"/>
        <v>0</v>
      </c>
      <c r="F12" s="103"/>
      <c r="G12" s="103">
        <f t="shared" ca="1" si="3"/>
        <v>0</v>
      </c>
      <c r="H12" s="103">
        <f t="shared" ca="1" si="3"/>
        <v>0</v>
      </c>
      <c r="I12" s="103">
        <f t="shared" ca="1" si="3"/>
        <v>0</v>
      </c>
      <c r="J12" s="103">
        <f t="shared" ca="1" si="3"/>
        <v>0</v>
      </c>
      <c r="K12" s="103">
        <f t="shared" ca="1" si="3"/>
        <v>0</v>
      </c>
      <c r="L12" s="96"/>
      <c r="M12" s="96"/>
      <c r="N12" s="96"/>
    </row>
    <row r="13" spans="1:20" ht="15.95" customHeight="1">
      <c r="A13" s="123">
        <v>42429</v>
      </c>
      <c r="B13" s="103">
        <f t="shared" ca="1" si="4"/>
        <v>0</v>
      </c>
      <c r="C13" s="103">
        <f t="shared" ca="1" si="3"/>
        <v>0</v>
      </c>
      <c r="D13" s="103">
        <f t="shared" ca="1" si="3"/>
        <v>0</v>
      </c>
      <c r="E13" s="103">
        <f t="shared" ca="1" si="3"/>
        <v>0</v>
      </c>
      <c r="F13" s="103">
        <f t="shared" ca="1" si="3"/>
        <v>0</v>
      </c>
      <c r="G13" s="103">
        <f t="shared" ca="1" si="3"/>
        <v>0</v>
      </c>
      <c r="H13" s="103">
        <f t="shared" ca="1" si="3"/>
        <v>0</v>
      </c>
      <c r="I13" s="103">
        <f t="shared" ca="1" si="3"/>
        <v>0</v>
      </c>
      <c r="J13" s="103">
        <f t="shared" ca="1" si="3"/>
        <v>0</v>
      </c>
      <c r="K13" s="103">
        <f t="shared" ca="1" si="3"/>
        <v>0</v>
      </c>
      <c r="L13" s="103">
        <f t="shared" ca="1" si="3"/>
        <v>0</v>
      </c>
      <c r="M13" s="103">
        <f t="shared" ca="1" si="3"/>
        <v>0</v>
      </c>
      <c r="N13" s="103">
        <f t="shared" ca="1" si="3"/>
        <v>0</v>
      </c>
    </row>
    <row r="14" spans="1:20" ht="15.95" customHeight="1">
      <c r="A14" s="123">
        <v>42460</v>
      </c>
      <c r="B14" s="103">
        <f t="shared" ca="1" si="4"/>
        <v>0</v>
      </c>
      <c r="C14" s="103">
        <f t="shared" ca="1" si="3"/>
        <v>0</v>
      </c>
      <c r="D14" s="103">
        <f t="shared" ca="1" si="3"/>
        <v>0</v>
      </c>
      <c r="E14" s="103">
        <f t="shared" ca="1" si="3"/>
        <v>0</v>
      </c>
      <c r="F14" s="103">
        <f t="shared" ca="1" si="3"/>
        <v>0</v>
      </c>
      <c r="G14" s="103">
        <f t="shared" ca="1" si="3"/>
        <v>0</v>
      </c>
      <c r="H14" s="103">
        <f t="shared" ca="1" si="3"/>
        <v>0</v>
      </c>
      <c r="I14" s="103">
        <f t="shared" ca="1" si="3"/>
        <v>0</v>
      </c>
      <c r="J14" s="103">
        <f t="shared" ca="1" si="3"/>
        <v>0</v>
      </c>
      <c r="K14" s="103">
        <f t="shared" ca="1" si="3"/>
        <v>0</v>
      </c>
      <c r="L14" s="103">
        <f t="shared" ca="1" si="3"/>
        <v>0</v>
      </c>
      <c r="M14" s="103">
        <f t="shared" ca="1" si="3"/>
        <v>0</v>
      </c>
      <c r="N14" s="103">
        <f t="shared" ca="1" si="3"/>
        <v>0</v>
      </c>
    </row>
    <row r="15" spans="1:20" ht="15.95" customHeight="1">
      <c r="A15" s="123">
        <v>42490</v>
      </c>
      <c r="B15" s="103">
        <f t="shared" ca="1" si="4"/>
        <v>11.881837177858811</v>
      </c>
      <c r="C15" s="103">
        <f t="shared" ca="1" si="3"/>
        <v>4</v>
      </c>
      <c r="D15" s="103">
        <f t="shared" ca="1" si="3"/>
        <v>21.370130663084627</v>
      </c>
      <c r="E15" s="103">
        <f t="shared" ca="1" si="3"/>
        <v>4</v>
      </c>
      <c r="F15" s="103">
        <f t="shared" ca="1" si="3"/>
        <v>0</v>
      </c>
      <c r="G15" s="103">
        <f t="shared" ca="1" si="3"/>
        <v>1</v>
      </c>
      <c r="H15" s="103">
        <f t="shared" ca="1" si="3"/>
        <v>25.710472601664314</v>
      </c>
      <c r="I15" s="103">
        <f t="shared" ca="1" si="3"/>
        <v>25</v>
      </c>
      <c r="J15" s="103">
        <f t="shared" ca="1" si="3"/>
        <v>26</v>
      </c>
      <c r="K15" s="103">
        <f t="shared" ca="1" si="3"/>
        <v>0</v>
      </c>
      <c r="L15" s="103">
        <f t="shared" ca="1" si="3"/>
        <v>0</v>
      </c>
      <c r="M15" s="103">
        <f t="shared" ca="1" si="3"/>
        <v>20</v>
      </c>
      <c r="N15" s="103">
        <f t="shared" ca="1" si="3"/>
        <v>0</v>
      </c>
    </row>
    <row r="16" spans="1:20" ht="16.5">
      <c r="A16" s="123">
        <v>42521</v>
      </c>
      <c r="B16" s="103">
        <f t="shared" ca="1" si="4"/>
        <v>35.433768381267349</v>
      </c>
      <c r="C16" s="103">
        <f t="shared" ref="C16:I23" ca="1" si="5">SUMIF(INDIRECT(C$3&amp;"!$A:$A"),$A16,INDIRECT(C$3&amp;"!$F:$F"))</f>
        <v>3</v>
      </c>
      <c r="D16" s="103">
        <f t="shared" ca="1" si="5"/>
        <v>12.774188839008723</v>
      </c>
      <c r="E16" s="103">
        <f t="shared" ca="1" si="3"/>
        <v>3</v>
      </c>
      <c r="F16" s="103">
        <f t="shared" ca="1" si="3"/>
        <v>0</v>
      </c>
      <c r="G16" s="103">
        <f t="shared" ca="1" si="5"/>
        <v>18</v>
      </c>
      <c r="H16" s="103">
        <f t="shared" ca="1" si="5"/>
        <v>32.94367693942614</v>
      </c>
      <c r="I16" s="103">
        <f t="shared" ca="1" si="5"/>
        <v>24</v>
      </c>
      <c r="J16" s="103">
        <f t="shared" ca="1" si="3"/>
        <v>68.678093449166468</v>
      </c>
      <c r="K16" s="103">
        <f t="shared" ca="1" si="3"/>
        <v>0</v>
      </c>
      <c r="L16" s="103">
        <f t="shared" ca="1" si="3"/>
        <v>0</v>
      </c>
      <c r="M16" s="103">
        <f t="shared" ca="1" si="3"/>
        <v>5</v>
      </c>
      <c r="N16" s="103">
        <f t="shared" ca="1" si="3"/>
        <v>0</v>
      </c>
    </row>
    <row r="17" spans="1:20" ht="16.5">
      <c r="A17" s="123">
        <v>42551</v>
      </c>
      <c r="B17" s="103">
        <f t="shared" ca="1" si="4"/>
        <v>19.44968823293862</v>
      </c>
      <c r="C17" s="103">
        <f t="shared" ca="1" si="5"/>
        <v>4</v>
      </c>
      <c r="D17" s="103">
        <f t="shared" ca="1" si="5"/>
        <v>6.98</v>
      </c>
      <c r="E17" s="103">
        <f t="shared" ca="1" si="3"/>
        <v>5</v>
      </c>
      <c r="F17" s="103">
        <f t="shared" ca="1" si="3"/>
        <v>0</v>
      </c>
      <c r="G17" s="103">
        <f t="shared" ca="1" si="5"/>
        <v>8</v>
      </c>
      <c r="H17" s="103">
        <f t="shared" ca="1" si="5"/>
        <v>25.650132196835166</v>
      </c>
      <c r="I17" s="103">
        <f t="shared" ca="1" si="5"/>
        <v>16.29</v>
      </c>
      <c r="J17" s="103">
        <f t="shared" ca="1" si="3"/>
        <v>54.73</v>
      </c>
      <c r="K17" s="103">
        <f t="shared" ca="1" si="3"/>
        <v>0</v>
      </c>
      <c r="L17" s="103">
        <f t="shared" ca="1" si="3"/>
        <v>0</v>
      </c>
      <c r="M17" s="103">
        <f t="shared" ca="1" si="3"/>
        <v>0</v>
      </c>
      <c r="N17" s="103">
        <f t="shared" ca="1" si="3"/>
        <v>0</v>
      </c>
    </row>
    <row r="18" spans="1:20" ht="16.5">
      <c r="A18" s="123">
        <v>42582</v>
      </c>
      <c r="B18" s="103">
        <f t="shared" ca="1" si="4"/>
        <v>14.53</v>
      </c>
      <c r="C18" s="103">
        <f t="shared" ca="1" si="5"/>
        <v>3</v>
      </c>
      <c r="D18" s="103">
        <f t="shared" ca="1" si="5"/>
        <v>16.71</v>
      </c>
      <c r="E18" s="103">
        <f t="shared" ca="1" si="3"/>
        <v>7</v>
      </c>
      <c r="F18" s="103">
        <f t="shared" ca="1" si="3"/>
        <v>0</v>
      </c>
      <c r="G18" s="103">
        <f t="shared" ca="1" si="5"/>
        <v>11</v>
      </c>
      <c r="H18" s="103">
        <f t="shared" ca="1" si="5"/>
        <v>19.63</v>
      </c>
      <c r="I18" s="103">
        <f t="shared" ca="1" si="5"/>
        <v>25.74</v>
      </c>
      <c r="J18" s="103">
        <f t="shared" ca="1" si="3"/>
        <v>43.78</v>
      </c>
      <c r="K18" s="103">
        <f t="shared" ca="1" si="3"/>
        <v>0</v>
      </c>
      <c r="L18" s="103">
        <f t="shared" ca="1" si="3"/>
        <v>0</v>
      </c>
      <c r="M18" s="103">
        <f t="shared" ca="1" si="3"/>
        <v>6.31</v>
      </c>
      <c r="N18" s="103">
        <f t="shared" ca="1" si="3"/>
        <v>20</v>
      </c>
    </row>
    <row r="19" spans="1:20" ht="16.5">
      <c r="A19" s="123">
        <v>42613</v>
      </c>
      <c r="B19" s="103">
        <f t="shared" ca="1" si="4"/>
        <v>25.255298122323484</v>
      </c>
      <c r="C19" s="103">
        <f t="shared" ca="1" si="5"/>
        <v>5</v>
      </c>
      <c r="D19" s="103">
        <f t="shared" ca="1" si="5"/>
        <v>24.8</v>
      </c>
      <c r="E19" s="103">
        <f t="shared" ca="1" si="3"/>
        <v>7</v>
      </c>
      <c r="F19" s="103">
        <f t="shared" ca="1" si="3"/>
        <v>0</v>
      </c>
      <c r="G19" s="103">
        <f t="shared" ca="1" si="5"/>
        <v>8</v>
      </c>
      <c r="H19" s="103">
        <f t="shared" ca="1" si="5"/>
        <v>24.45</v>
      </c>
      <c r="I19" s="103">
        <f t="shared" ca="1" si="5"/>
        <v>21.12</v>
      </c>
      <c r="J19" s="103">
        <f t="shared" ca="1" si="3"/>
        <v>65.890423323404633</v>
      </c>
      <c r="K19" s="103">
        <f t="shared" ca="1" si="3"/>
        <v>0</v>
      </c>
      <c r="L19" s="103">
        <f t="shared" ca="1" si="3"/>
        <v>0</v>
      </c>
      <c r="M19" s="103">
        <f t="shared" ca="1" si="3"/>
        <v>9.5868085514332275</v>
      </c>
      <c r="N19" s="103">
        <f t="shared" ca="1" si="3"/>
        <v>4</v>
      </c>
    </row>
    <row r="20" spans="1:20" ht="16.5">
      <c r="A20" s="123">
        <v>42643</v>
      </c>
      <c r="B20" s="103">
        <f t="shared" ca="1" si="4"/>
        <v>41.077371048252907</v>
      </c>
      <c r="C20" s="103">
        <f t="shared" ca="1" si="5"/>
        <v>10</v>
      </c>
      <c r="D20" s="103">
        <f t="shared" ca="1" si="5"/>
        <v>25.774321785854703</v>
      </c>
      <c r="E20" s="103">
        <f t="shared" ca="1" si="3"/>
        <v>0</v>
      </c>
      <c r="F20" s="103">
        <f t="shared" ca="1" si="3"/>
        <v>0</v>
      </c>
      <c r="G20" s="103">
        <f t="shared" ca="1" si="5"/>
        <v>0</v>
      </c>
      <c r="H20" s="103">
        <f t="shared" ca="1" si="5"/>
        <v>53.191489361702125</v>
      </c>
      <c r="I20" s="103">
        <f t="shared" ca="1" si="5"/>
        <v>33.141283842349466</v>
      </c>
      <c r="J20" s="103">
        <f t="shared" ca="1" si="3"/>
        <v>37.504747436384356</v>
      </c>
      <c r="K20" s="103">
        <f t="shared" ca="1" si="3"/>
        <v>0</v>
      </c>
      <c r="L20" s="103">
        <f t="shared" ca="1" si="3"/>
        <v>0</v>
      </c>
      <c r="M20" s="103">
        <f t="shared" ca="1" si="3"/>
        <v>19.146264908976772</v>
      </c>
      <c r="N20" s="103">
        <f t="shared" ca="1" si="3"/>
        <v>12</v>
      </c>
    </row>
    <row r="21" spans="1:20" ht="15" customHeight="1">
      <c r="A21" s="123">
        <f>A20+1</f>
        <v>42644</v>
      </c>
      <c r="B21" s="103">
        <f t="shared" ca="1" si="4"/>
        <v>0</v>
      </c>
      <c r="C21" s="103">
        <f t="shared" ca="1" si="5"/>
        <v>0</v>
      </c>
      <c r="D21" s="103">
        <f t="shared" ca="1" si="5"/>
        <v>0</v>
      </c>
      <c r="E21" s="103">
        <f t="shared" ca="1" si="3"/>
        <v>0</v>
      </c>
      <c r="F21" s="103">
        <f t="shared" ca="1" si="3"/>
        <v>6</v>
      </c>
      <c r="G21" s="103">
        <f t="shared" ca="1" si="5"/>
        <v>0</v>
      </c>
      <c r="H21" s="103">
        <f t="shared" ca="1" si="5"/>
        <v>0</v>
      </c>
      <c r="I21" s="103">
        <f t="shared" ca="1" si="5"/>
        <v>2</v>
      </c>
      <c r="J21" s="103">
        <f t="shared" ca="1" si="3"/>
        <v>0</v>
      </c>
      <c r="K21" s="103">
        <f t="shared" ca="1" si="3"/>
        <v>0</v>
      </c>
      <c r="L21" s="103">
        <f t="shared" ca="1" si="3"/>
        <v>0</v>
      </c>
      <c r="M21" s="103">
        <f t="shared" ca="1" si="3"/>
        <v>1</v>
      </c>
      <c r="N21" s="103">
        <f t="shared" ca="1" si="3"/>
        <v>0</v>
      </c>
      <c r="Q21" s="300" t="s">
        <v>127</v>
      </c>
      <c r="R21" s="301"/>
      <c r="S21" s="301"/>
      <c r="T21" s="302"/>
    </row>
    <row r="22" spans="1:20" ht="15.95" customHeight="1">
      <c r="A22" s="123">
        <f>A21+1</f>
        <v>42645</v>
      </c>
      <c r="B22" s="103">
        <f t="shared" ca="1" si="4"/>
        <v>0</v>
      </c>
      <c r="C22" s="103">
        <f t="shared" ca="1" si="5"/>
        <v>0</v>
      </c>
      <c r="D22" s="103">
        <f t="shared" ca="1" si="5"/>
        <v>2</v>
      </c>
      <c r="E22" s="103">
        <f t="shared" ca="1" si="3"/>
        <v>0</v>
      </c>
      <c r="F22" s="103">
        <f t="shared" ca="1" si="3"/>
        <v>8</v>
      </c>
      <c r="G22" s="103">
        <f t="shared" ca="1" si="5"/>
        <v>0</v>
      </c>
      <c r="H22" s="103">
        <f t="shared" ca="1" si="5"/>
        <v>6</v>
      </c>
      <c r="I22" s="103">
        <f t="shared" ca="1" si="5"/>
        <v>5</v>
      </c>
      <c r="J22" s="103">
        <f t="shared" ca="1" si="3"/>
        <v>2</v>
      </c>
      <c r="K22" s="103">
        <f t="shared" ca="1" si="3"/>
        <v>0</v>
      </c>
      <c r="L22" s="103">
        <f t="shared" ca="1" si="3"/>
        <v>0</v>
      </c>
      <c r="M22" s="103">
        <f t="shared" ca="1" si="3"/>
        <v>3</v>
      </c>
      <c r="N22" s="103">
        <f t="shared" ca="1" si="3"/>
        <v>0</v>
      </c>
      <c r="Q22" s="118" t="s">
        <v>69</v>
      </c>
      <c r="R22" s="118" t="s">
        <v>87</v>
      </c>
      <c r="S22" s="118" t="s">
        <v>93</v>
      </c>
      <c r="T22" s="118" t="s">
        <v>90</v>
      </c>
    </row>
    <row r="23" spans="1:20" ht="15.95" customHeight="1">
      <c r="A23" s="123">
        <f>A22+1</f>
        <v>42646</v>
      </c>
      <c r="B23" s="103">
        <f t="shared" ca="1" si="4"/>
        <v>0</v>
      </c>
      <c r="C23" s="103">
        <f t="shared" ca="1" si="5"/>
        <v>0</v>
      </c>
      <c r="D23" s="103">
        <f t="shared" ca="1" si="5"/>
        <v>2</v>
      </c>
      <c r="E23" s="103">
        <f t="shared" ca="1" si="3"/>
        <v>0</v>
      </c>
      <c r="F23" s="103">
        <f t="shared" ca="1" si="3"/>
        <v>9</v>
      </c>
      <c r="G23" s="103">
        <f t="shared" ca="1" si="5"/>
        <v>0</v>
      </c>
      <c r="H23" s="103">
        <f t="shared" ca="1" si="5"/>
        <v>8</v>
      </c>
      <c r="I23" s="103">
        <f t="shared" ca="1" si="5"/>
        <v>13</v>
      </c>
      <c r="J23" s="103">
        <f t="shared" ca="1" si="3"/>
        <v>3</v>
      </c>
      <c r="K23" s="103">
        <f t="shared" ca="1" si="3"/>
        <v>0</v>
      </c>
      <c r="L23" s="103">
        <f t="shared" ca="1" si="3"/>
        <v>0</v>
      </c>
      <c r="M23" s="103">
        <f t="shared" ca="1" si="3"/>
        <v>4</v>
      </c>
      <c r="N23" s="103">
        <f t="shared" ca="1" si="3"/>
        <v>0</v>
      </c>
      <c r="Q23" s="112">
        <v>2.1</v>
      </c>
      <c r="R23" s="112" t="s">
        <v>120</v>
      </c>
      <c r="S23" s="112" t="s">
        <v>97</v>
      </c>
      <c r="T23" s="119" t="s">
        <v>128</v>
      </c>
    </row>
    <row r="24" spans="1:20" ht="16.5" customHeight="1">
      <c r="A24" s="123">
        <f>A23+1</f>
        <v>42647</v>
      </c>
      <c r="B24" s="103">
        <f t="shared" ref="B24:N39" ca="1" si="6">SUMIF(INDIRECT(B$3&amp;"!$A:$A"),$A24,INDIRECT(B$3&amp;"!$F:$F"))</f>
        <v>0</v>
      </c>
      <c r="C24" s="103">
        <f t="shared" ca="1" si="6"/>
        <v>0</v>
      </c>
      <c r="D24" s="103">
        <f t="shared" ca="1" si="6"/>
        <v>3</v>
      </c>
      <c r="E24" s="103">
        <f t="shared" ca="1" si="3"/>
        <v>0</v>
      </c>
      <c r="F24" s="103">
        <f t="shared" ca="1" si="3"/>
        <v>9</v>
      </c>
      <c r="G24" s="103">
        <f t="shared" ca="1" si="6"/>
        <v>0</v>
      </c>
      <c r="H24" s="103">
        <f t="shared" ca="1" si="6"/>
        <v>13</v>
      </c>
      <c r="I24" s="103">
        <f t="shared" ca="1" si="6"/>
        <v>24</v>
      </c>
      <c r="J24" s="103">
        <f t="shared" ca="1" si="3"/>
        <v>5</v>
      </c>
      <c r="K24" s="103">
        <f t="shared" ca="1" si="3"/>
        <v>0</v>
      </c>
      <c r="L24" s="103">
        <f t="shared" ca="1" si="3"/>
        <v>0</v>
      </c>
      <c r="M24" s="103">
        <f t="shared" ca="1" si="3"/>
        <v>5</v>
      </c>
      <c r="N24" s="103">
        <f t="shared" ca="1" si="3"/>
        <v>0</v>
      </c>
      <c r="Q24" s="112">
        <v>3.1</v>
      </c>
      <c r="R24" s="112" t="s">
        <v>121</v>
      </c>
      <c r="S24" s="112" t="s">
        <v>96</v>
      </c>
      <c r="T24" s="119" t="s">
        <v>92</v>
      </c>
    </row>
    <row r="25" spans="1:20" ht="16.5" customHeight="1">
      <c r="A25" s="123">
        <f t="shared" ref="A25:A49" si="7">A24+1</f>
        <v>42648</v>
      </c>
      <c r="B25" s="103">
        <f t="shared" ca="1" si="6"/>
        <v>1</v>
      </c>
      <c r="C25" s="103">
        <f t="shared" ca="1" si="6"/>
        <v>0</v>
      </c>
      <c r="D25" s="103">
        <f t="shared" ca="1" si="6"/>
        <v>4</v>
      </c>
      <c r="E25" s="103">
        <f t="shared" ca="1" si="3"/>
        <v>0</v>
      </c>
      <c r="F25" s="103">
        <f t="shared" ca="1" si="3"/>
        <v>13</v>
      </c>
      <c r="G25" s="103">
        <f t="shared" ca="1" si="6"/>
        <v>0</v>
      </c>
      <c r="H25" s="103">
        <f t="shared" ca="1" si="6"/>
        <v>18.905472636815919</v>
      </c>
      <c r="I25" s="103">
        <f t="shared" ca="1" si="6"/>
        <v>28.782500239854166</v>
      </c>
      <c r="J25" s="103">
        <f t="shared" ca="1" si="3"/>
        <v>9</v>
      </c>
      <c r="K25" s="103">
        <f t="shared" ca="1" si="3"/>
        <v>0</v>
      </c>
      <c r="L25" s="103">
        <f t="shared" ca="1" si="3"/>
        <v>0</v>
      </c>
      <c r="M25" s="103">
        <f t="shared" ca="1" si="3"/>
        <v>6</v>
      </c>
      <c r="N25" s="103">
        <f t="shared" ca="1" si="3"/>
        <v>0</v>
      </c>
      <c r="Q25" s="112">
        <v>4.0999999999999996</v>
      </c>
      <c r="R25" s="112" t="s">
        <v>122</v>
      </c>
      <c r="S25" s="112" t="s">
        <v>95</v>
      </c>
      <c r="T25" s="119" t="s">
        <v>129</v>
      </c>
    </row>
    <row r="26" spans="1:20" ht="16.5" customHeight="1">
      <c r="A26" s="123">
        <f t="shared" si="7"/>
        <v>42649</v>
      </c>
      <c r="B26" s="103">
        <f t="shared" ca="1" si="6"/>
        <v>1</v>
      </c>
      <c r="C26" s="103">
        <f t="shared" ca="1" si="6"/>
        <v>0</v>
      </c>
      <c r="D26" s="103">
        <f t="shared" ca="1" si="6"/>
        <v>4</v>
      </c>
      <c r="E26" s="103">
        <f t="shared" ca="1" si="6"/>
        <v>0</v>
      </c>
      <c r="F26" s="103">
        <f t="shared" ca="1" si="6"/>
        <v>14</v>
      </c>
      <c r="G26" s="103">
        <f t="shared" ca="1" si="6"/>
        <v>0</v>
      </c>
      <c r="H26" s="103">
        <f t="shared" ca="1" si="6"/>
        <v>20.73971655720705</v>
      </c>
      <c r="I26" s="103">
        <f t="shared" ca="1" si="6"/>
        <v>27.583968846341065</v>
      </c>
      <c r="J26" s="103">
        <f t="shared" ca="1" si="6"/>
        <v>14</v>
      </c>
      <c r="K26" s="103">
        <f t="shared" ca="1" si="6"/>
        <v>0</v>
      </c>
      <c r="L26" s="103">
        <f t="shared" ca="1" si="6"/>
        <v>0</v>
      </c>
      <c r="M26" s="103">
        <f t="shared" ca="1" si="6"/>
        <v>7</v>
      </c>
      <c r="N26" s="103">
        <f t="shared" ca="1" si="6"/>
        <v>3</v>
      </c>
      <c r="Q26" s="112">
        <v>5.0999999999999996</v>
      </c>
      <c r="R26" s="112" t="s">
        <v>123</v>
      </c>
      <c r="S26" s="113" t="s">
        <v>94</v>
      </c>
      <c r="T26" s="119" t="s">
        <v>129</v>
      </c>
    </row>
    <row r="27" spans="1:20" ht="16.5" customHeight="1">
      <c r="A27" s="123">
        <f t="shared" si="7"/>
        <v>42650</v>
      </c>
      <c r="B27" s="103">
        <f t="shared" ca="1" si="6"/>
        <v>1</v>
      </c>
      <c r="C27" s="103">
        <f t="shared" ca="1" si="6"/>
        <v>0</v>
      </c>
      <c r="D27" s="103">
        <f t="shared" ca="1" si="6"/>
        <v>6</v>
      </c>
      <c r="E27" s="103">
        <f t="shared" ca="1" si="6"/>
        <v>0</v>
      </c>
      <c r="F27" s="103">
        <f t="shared" ca="1" si="6"/>
        <v>15</v>
      </c>
      <c r="G27" s="103">
        <f t="shared" ca="1" si="6"/>
        <v>0</v>
      </c>
      <c r="H27" s="103">
        <f t="shared" ca="1" si="6"/>
        <v>21.492170709241634</v>
      </c>
      <c r="I27" s="103">
        <f t="shared" ca="1" si="6"/>
        <v>28.492057838877411</v>
      </c>
      <c r="J27" s="103">
        <f t="shared" ca="1" si="6"/>
        <v>14</v>
      </c>
      <c r="K27" s="103">
        <f t="shared" ca="1" si="6"/>
        <v>0</v>
      </c>
      <c r="L27" s="103">
        <f t="shared" ca="1" si="6"/>
        <v>0</v>
      </c>
      <c r="M27" s="103">
        <f t="shared" ca="1" si="6"/>
        <v>8</v>
      </c>
      <c r="N27" s="103">
        <f t="shared" ca="1" si="6"/>
        <v>3</v>
      </c>
    </row>
    <row r="28" spans="1:20" ht="16.5" customHeight="1">
      <c r="A28" s="123">
        <f>A27+1</f>
        <v>42651</v>
      </c>
      <c r="B28" s="103">
        <f t="shared" ca="1" si="6"/>
        <v>2</v>
      </c>
      <c r="C28" s="103">
        <f t="shared" ca="1" si="6"/>
        <v>0</v>
      </c>
      <c r="D28" s="103">
        <f t="shared" ca="1" si="6"/>
        <v>6</v>
      </c>
      <c r="E28" s="103">
        <f t="shared" ca="1" si="6"/>
        <v>0</v>
      </c>
      <c r="F28" s="103">
        <f t="shared" ca="1" si="6"/>
        <v>15</v>
      </c>
      <c r="G28" s="103">
        <f t="shared" ca="1" si="6"/>
        <v>0</v>
      </c>
      <c r="H28" s="103">
        <f t="shared" ca="1" si="6"/>
        <v>20.221741859005647</v>
      </c>
      <c r="I28" s="103">
        <f t="shared" ca="1" si="6"/>
        <v>28.907303912121797</v>
      </c>
      <c r="J28" s="103">
        <f t="shared" ca="1" si="6"/>
        <v>15.641802717763222</v>
      </c>
      <c r="K28" s="103">
        <f t="shared" ca="1" si="6"/>
        <v>0</v>
      </c>
      <c r="L28" s="103">
        <f t="shared" ca="1" si="6"/>
        <v>0</v>
      </c>
      <c r="M28" s="103">
        <f t="shared" ca="1" si="6"/>
        <v>8.861756597085467</v>
      </c>
      <c r="N28" s="103">
        <f t="shared" ca="1" si="6"/>
        <v>3</v>
      </c>
    </row>
    <row r="29" spans="1:20" ht="16.5" customHeight="1">
      <c r="A29" s="123">
        <f t="shared" si="7"/>
        <v>42652</v>
      </c>
      <c r="B29" s="103">
        <f t="shared" ca="1" si="6"/>
        <v>2</v>
      </c>
      <c r="C29" s="103">
        <f t="shared" ca="1" si="6"/>
        <v>0</v>
      </c>
      <c r="D29" s="103">
        <f t="shared" ca="1" si="6"/>
        <v>6</v>
      </c>
      <c r="E29" s="103">
        <f t="shared" ca="1" si="6"/>
        <v>0</v>
      </c>
      <c r="F29" s="103">
        <f t="shared" ca="1" si="6"/>
        <v>16</v>
      </c>
      <c r="G29" s="103">
        <f t="shared" ca="1" si="6"/>
        <v>0</v>
      </c>
      <c r="H29" s="103">
        <f t="shared" ca="1" si="6"/>
        <v>22.145509021038237</v>
      </c>
      <c r="I29" s="103">
        <f t="shared" ca="1" si="6"/>
        <v>29.353621278380157</v>
      </c>
      <c r="J29" s="103">
        <f t="shared" ca="1" si="6"/>
        <v>15.523696466076158</v>
      </c>
      <c r="K29" s="103">
        <f t="shared" ca="1" si="6"/>
        <v>0</v>
      </c>
      <c r="L29" s="103">
        <f t="shared" ca="1" si="6"/>
        <v>0</v>
      </c>
      <c r="M29" s="103">
        <f t="shared" ca="1" si="6"/>
        <v>9.2404361485862125</v>
      </c>
      <c r="N29" s="103">
        <f t="shared" ca="1" si="6"/>
        <v>3</v>
      </c>
    </row>
    <row r="30" spans="1:20" ht="16.5" customHeight="1">
      <c r="A30" s="123">
        <f t="shared" si="7"/>
        <v>42653</v>
      </c>
      <c r="B30" s="103">
        <f t="shared" ca="1" si="6"/>
        <v>2</v>
      </c>
      <c r="C30" s="103">
        <f t="shared" ca="1" si="6"/>
        <v>0</v>
      </c>
      <c r="D30" s="103">
        <f t="shared" ca="1" si="6"/>
        <v>8</v>
      </c>
      <c r="E30" s="103">
        <f t="shared" ca="1" si="6"/>
        <v>0</v>
      </c>
      <c r="F30" s="103">
        <f t="shared" ca="1" si="6"/>
        <v>17</v>
      </c>
      <c r="G30" s="103">
        <f t="shared" ca="1" si="6"/>
        <v>0</v>
      </c>
      <c r="H30" s="103">
        <f t="shared" ca="1" si="6"/>
        <v>23.583441941289642</v>
      </c>
      <c r="I30" s="103">
        <f t="shared" ca="1" si="6"/>
        <v>30.036837631056958</v>
      </c>
      <c r="J30" s="103">
        <f t="shared" ca="1" si="6"/>
        <v>15.630427231677665</v>
      </c>
      <c r="K30" s="103">
        <f t="shared" ca="1" si="6"/>
        <v>0</v>
      </c>
      <c r="L30" s="103">
        <f t="shared" ca="1" si="6"/>
        <v>0</v>
      </c>
      <c r="M30" s="103">
        <f t="shared" ca="1" si="6"/>
        <v>9.7207493814068577</v>
      </c>
      <c r="N30" s="103">
        <f t="shared" ca="1" si="6"/>
        <v>3</v>
      </c>
    </row>
    <row r="31" spans="1:20" ht="16.5">
      <c r="A31" s="123">
        <f t="shared" si="7"/>
        <v>42654</v>
      </c>
      <c r="B31" s="103">
        <f t="shared" ref="B31:I31" ca="1" si="8">SUMIF(INDIRECT(B$3&amp;"!$A:$A"),$A31,INDIRECT(B$3&amp;"!$F:$F"))</f>
        <v>2</v>
      </c>
      <c r="C31" s="103">
        <f t="shared" ca="1" si="8"/>
        <v>0</v>
      </c>
      <c r="D31" s="103">
        <f t="shared" ca="1" si="8"/>
        <v>8</v>
      </c>
      <c r="E31" s="103">
        <f t="shared" ca="1" si="6"/>
        <v>0</v>
      </c>
      <c r="F31" s="103">
        <f t="shared" ca="1" si="6"/>
        <v>17</v>
      </c>
      <c r="G31" s="103">
        <f t="shared" ca="1" si="8"/>
        <v>0</v>
      </c>
      <c r="H31" s="103">
        <f t="shared" ca="1" si="8"/>
        <v>23.117960877296976</v>
      </c>
      <c r="I31" s="103">
        <f t="shared" ca="1" si="8"/>
        <v>32.0112853344908</v>
      </c>
      <c r="J31" s="103">
        <f t="shared" ca="1" si="6"/>
        <v>18.585790318492862</v>
      </c>
      <c r="K31" s="103">
        <f t="shared" ca="1" si="6"/>
        <v>0</v>
      </c>
      <c r="L31" s="103">
        <f t="shared" ca="1" si="6"/>
        <v>0</v>
      </c>
      <c r="M31" s="103">
        <f t="shared" ca="1" si="6"/>
        <v>11.00389368545793</v>
      </c>
      <c r="N31" s="103">
        <f t="shared" ca="1" si="6"/>
        <v>3</v>
      </c>
    </row>
    <row r="32" spans="1:20" ht="16.5">
      <c r="A32" s="123">
        <f t="shared" si="7"/>
        <v>42655</v>
      </c>
      <c r="B32" s="103">
        <f t="shared" ref="B32:K46" ca="1" si="9">SUMIF(INDIRECT(B$3&amp;"!$A:$A"),$A32,INDIRECT(B$3&amp;"!$F:$F"))</f>
        <v>2</v>
      </c>
      <c r="C32" s="103">
        <f t="shared" ca="1" si="9"/>
        <v>0</v>
      </c>
      <c r="D32" s="103">
        <f t="shared" ca="1" si="9"/>
        <v>8</v>
      </c>
      <c r="E32" s="103">
        <f t="shared" ca="1" si="6"/>
        <v>0</v>
      </c>
      <c r="F32" s="103">
        <f t="shared" ca="1" si="6"/>
        <v>19</v>
      </c>
      <c r="G32" s="103">
        <f t="shared" ca="1" si="9"/>
        <v>0</v>
      </c>
      <c r="H32" s="103">
        <f t="shared" ca="1" si="9"/>
        <v>23.863636363636367</v>
      </c>
      <c r="I32" s="103">
        <f t="shared" ca="1" si="9"/>
        <v>31.349573440230238</v>
      </c>
      <c r="J32" s="103">
        <f t="shared" ca="1" si="6"/>
        <v>19.064986737400531</v>
      </c>
      <c r="K32" s="103">
        <f t="shared" ca="1" si="6"/>
        <v>0</v>
      </c>
      <c r="L32" s="103">
        <f t="shared" ca="1" si="6"/>
        <v>0</v>
      </c>
      <c r="M32" s="103">
        <f t="shared" ca="1" si="6"/>
        <v>12.203058900097624</v>
      </c>
      <c r="N32" s="103">
        <f t="shared" ca="1" si="6"/>
        <v>3</v>
      </c>
    </row>
    <row r="33" spans="1:17" ht="16.5">
      <c r="A33" s="123">
        <f t="shared" si="7"/>
        <v>42656</v>
      </c>
      <c r="B33" s="103">
        <f t="shared" ca="1" si="9"/>
        <v>4</v>
      </c>
      <c r="C33" s="103">
        <f t="shared" ca="1" si="9"/>
        <v>1</v>
      </c>
      <c r="D33" s="103">
        <f t="shared" ca="1" si="9"/>
        <v>11</v>
      </c>
      <c r="E33" s="103">
        <f t="shared" ca="1" si="6"/>
        <v>0</v>
      </c>
      <c r="F33" s="103">
        <f t="shared" ca="1" si="6"/>
        <v>20</v>
      </c>
      <c r="G33" s="103">
        <f t="shared" ca="1" si="9"/>
        <v>0</v>
      </c>
      <c r="H33" s="103">
        <f t="shared" ca="1" si="9"/>
        <v>25.076319232446576</v>
      </c>
      <c r="I33" s="103">
        <f t="shared" ca="1" si="9"/>
        <v>31.210377450502293</v>
      </c>
      <c r="J33" s="103">
        <f t="shared" ca="1" si="6"/>
        <v>21.133056977972849</v>
      </c>
      <c r="K33" s="103">
        <f t="shared" ca="1" si="6"/>
        <v>0</v>
      </c>
      <c r="L33" s="103">
        <f t="shared" ca="1" si="6"/>
        <v>0</v>
      </c>
      <c r="M33" s="103">
        <f t="shared" ca="1" si="6"/>
        <v>11.851149561507466</v>
      </c>
      <c r="N33" s="103">
        <f t="shared" ca="1" si="6"/>
        <v>3</v>
      </c>
    </row>
    <row r="34" spans="1:17" ht="16.5">
      <c r="A34" s="123">
        <f t="shared" si="7"/>
        <v>42657</v>
      </c>
      <c r="B34" s="103">
        <f t="shared" ca="1" si="9"/>
        <v>4</v>
      </c>
      <c r="C34" s="103">
        <f t="shared" ca="1" si="9"/>
        <v>1</v>
      </c>
      <c r="D34" s="103">
        <f t="shared" ca="1" si="9"/>
        <v>12</v>
      </c>
      <c r="E34" s="103">
        <f t="shared" ca="1" si="6"/>
        <v>0</v>
      </c>
      <c r="F34" s="103">
        <f t="shared" ca="1" si="6"/>
        <v>21</v>
      </c>
      <c r="G34" s="103">
        <f t="shared" ca="1" si="9"/>
        <v>0</v>
      </c>
      <c r="H34" s="103">
        <f t="shared" ca="1" si="9"/>
        <v>25.08230130114438</v>
      </c>
      <c r="I34" s="103">
        <f t="shared" ca="1" si="9"/>
        <v>30.779275287972766</v>
      </c>
      <c r="J34" s="103">
        <f t="shared" ca="1" si="6"/>
        <v>20.60548422887938</v>
      </c>
      <c r="K34" s="103">
        <f t="shared" ca="1" si="6"/>
        <v>0</v>
      </c>
      <c r="L34" s="103">
        <f t="shared" ca="1" si="6"/>
        <v>0</v>
      </c>
      <c r="M34" s="103">
        <f t="shared" ca="1" si="6"/>
        <v>12.305799107829566</v>
      </c>
      <c r="N34" s="103">
        <f t="shared" ca="1" si="6"/>
        <v>3</v>
      </c>
    </row>
    <row r="35" spans="1:17" ht="16.5">
      <c r="A35" s="123">
        <f t="shared" si="7"/>
        <v>42658</v>
      </c>
      <c r="B35" s="103">
        <f t="shared" ca="1" si="9"/>
        <v>0</v>
      </c>
      <c r="C35" s="103">
        <f t="shared" ca="1" si="9"/>
        <v>0</v>
      </c>
      <c r="D35" s="103">
        <f t="shared" ca="1" si="9"/>
        <v>0</v>
      </c>
      <c r="E35" s="103">
        <f t="shared" ca="1" si="6"/>
        <v>0</v>
      </c>
      <c r="F35" s="103">
        <f t="shared" ca="1" si="6"/>
        <v>0</v>
      </c>
      <c r="G35" s="103">
        <f t="shared" ca="1" si="9"/>
        <v>0</v>
      </c>
      <c r="H35" s="103">
        <f t="shared" ca="1" si="9"/>
        <v>0</v>
      </c>
      <c r="I35" s="103">
        <f t="shared" ca="1" si="9"/>
        <v>0</v>
      </c>
      <c r="J35" s="103">
        <f t="shared" ca="1" si="6"/>
        <v>0</v>
      </c>
      <c r="K35" s="103">
        <f t="shared" ca="1" si="6"/>
        <v>0</v>
      </c>
      <c r="L35" s="103">
        <f t="shared" ca="1" si="6"/>
        <v>0</v>
      </c>
      <c r="M35" s="103">
        <f t="shared" ca="1" si="6"/>
        <v>0</v>
      </c>
      <c r="N35" s="103">
        <f t="shared" ca="1" si="6"/>
        <v>0</v>
      </c>
    </row>
    <row r="36" spans="1:17" ht="16.5">
      <c r="A36" s="123">
        <f t="shared" si="7"/>
        <v>42659</v>
      </c>
      <c r="B36" s="103">
        <f t="shared" ca="1" si="9"/>
        <v>0</v>
      </c>
      <c r="C36" s="103">
        <f t="shared" ca="1" si="9"/>
        <v>0</v>
      </c>
      <c r="D36" s="103">
        <f t="shared" ca="1" si="9"/>
        <v>0</v>
      </c>
      <c r="E36" s="103">
        <f t="shared" ca="1" si="6"/>
        <v>0</v>
      </c>
      <c r="F36" s="103">
        <f t="shared" ca="1" si="6"/>
        <v>0</v>
      </c>
      <c r="G36" s="103">
        <f t="shared" ca="1" si="9"/>
        <v>0</v>
      </c>
      <c r="H36" s="103">
        <f t="shared" ca="1" si="9"/>
        <v>0</v>
      </c>
      <c r="I36" s="103">
        <f t="shared" ca="1" si="9"/>
        <v>0</v>
      </c>
      <c r="J36" s="103">
        <f t="shared" ca="1" si="6"/>
        <v>0</v>
      </c>
      <c r="K36" s="103">
        <f t="shared" ca="1" si="6"/>
        <v>0</v>
      </c>
      <c r="L36" s="103">
        <f t="shared" ca="1" si="6"/>
        <v>0</v>
      </c>
      <c r="M36" s="103">
        <f t="shared" ca="1" si="6"/>
        <v>0</v>
      </c>
      <c r="N36" s="103">
        <f t="shared" ca="1" si="6"/>
        <v>0</v>
      </c>
    </row>
    <row r="37" spans="1:17" ht="16.5">
      <c r="A37" s="123">
        <f t="shared" si="7"/>
        <v>42660</v>
      </c>
      <c r="B37" s="103">
        <f t="shared" ca="1" si="9"/>
        <v>0</v>
      </c>
      <c r="C37" s="103">
        <f t="shared" ca="1" si="9"/>
        <v>0</v>
      </c>
      <c r="D37" s="103">
        <f t="shared" ca="1" si="9"/>
        <v>0</v>
      </c>
      <c r="E37" s="103">
        <f t="shared" ca="1" si="6"/>
        <v>0</v>
      </c>
      <c r="F37" s="103">
        <f t="shared" ca="1" si="6"/>
        <v>0</v>
      </c>
      <c r="G37" s="103">
        <f t="shared" ca="1" si="9"/>
        <v>0</v>
      </c>
      <c r="H37" s="103">
        <f t="shared" ca="1" si="9"/>
        <v>0</v>
      </c>
      <c r="I37" s="103">
        <f t="shared" ca="1" si="9"/>
        <v>0</v>
      </c>
      <c r="J37" s="103">
        <f t="shared" ca="1" si="6"/>
        <v>0</v>
      </c>
      <c r="K37" s="103">
        <f t="shared" ca="1" si="6"/>
        <v>0</v>
      </c>
      <c r="L37" s="103">
        <f t="shared" ca="1" si="6"/>
        <v>0</v>
      </c>
      <c r="M37" s="103">
        <f t="shared" ca="1" si="6"/>
        <v>0</v>
      </c>
      <c r="N37" s="103">
        <f t="shared" ca="1" si="6"/>
        <v>0</v>
      </c>
    </row>
    <row r="38" spans="1:17" ht="16.5">
      <c r="A38" s="123">
        <f t="shared" si="7"/>
        <v>42661</v>
      </c>
      <c r="B38" s="103">
        <f t="shared" ca="1" si="9"/>
        <v>0</v>
      </c>
      <c r="C38" s="103">
        <f t="shared" ca="1" si="9"/>
        <v>0</v>
      </c>
      <c r="D38" s="103">
        <f t="shared" ca="1" si="9"/>
        <v>0</v>
      </c>
      <c r="E38" s="103">
        <f t="shared" ca="1" si="6"/>
        <v>0</v>
      </c>
      <c r="F38" s="103">
        <f t="shared" ca="1" si="6"/>
        <v>0</v>
      </c>
      <c r="G38" s="103">
        <f t="shared" ca="1" si="9"/>
        <v>0</v>
      </c>
      <c r="H38" s="103">
        <f t="shared" ca="1" si="9"/>
        <v>0</v>
      </c>
      <c r="I38" s="103">
        <f t="shared" ca="1" si="9"/>
        <v>0</v>
      </c>
      <c r="J38" s="103">
        <f t="shared" ca="1" si="6"/>
        <v>0</v>
      </c>
      <c r="K38" s="103">
        <f t="shared" ca="1" si="6"/>
        <v>0</v>
      </c>
      <c r="L38" s="103">
        <f t="shared" ca="1" si="6"/>
        <v>0</v>
      </c>
      <c r="M38" s="103">
        <f t="shared" ca="1" si="6"/>
        <v>0</v>
      </c>
      <c r="N38" s="103">
        <f t="shared" ca="1" si="6"/>
        <v>0</v>
      </c>
    </row>
    <row r="39" spans="1:17" ht="16.5">
      <c r="A39" s="123">
        <f t="shared" si="7"/>
        <v>42662</v>
      </c>
      <c r="B39" s="103">
        <f t="shared" ca="1" si="9"/>
        <v>0</v>
      </c>
      <c r="C39" s="103">
        <f t="shared" ca="1" si="9"/>
        <v>0</v>
      </c>
      <c r="D39" s="103">
        <f t="shared" ca="1" si="9"/>
        <v>0</v>
      </c>
      <c r="E39" s="103">
        <f t="shared" ca="1" si="6"/>
        <v>0</v>
      </c>
      <c r="F39" s="103">
        <f t="shared" ca="1" si="6"/>
        <v>0</v>
      </c>
      <c r="G39" s="103">
        <f t="shared" ca="1" si="9"/>
        <v>0</v>
      </c>
      <c r="H39" s="103">
        <f t="shared" ca="1" si="9"/>
        <v>0</v>
      </c>
      <c r="I39" s="103">
        <f t="shared" ca="1" si="9"/>
        <v>0</v>
      </c>
      <c r="J39" s="103">
        <f t="shared" ca="1" si="9"/>
        <v>0</v>
      </c>
      <c r="K39" s="104">
        <f t="shared" ca="1" si="9"/>
        <v>0</v>
      </c>
      <c r="L39" s="97"/>
      <c r="M39" s="103">
        <f t="shared" ca="1" si="6"/>
        <v>0</v>
      </c>
      <c r="N39" s="103">
        <f t="shared" ca="1" si="6"/>
        <v>0</v>
      </c>
    </row>
    <row r="40" spans="1:17" ht="16.5">
      <c r="A40" s="123">
        <f t="shared" si="7"/>
        <v>42663</v>
      </c>
      <c r="B40" s="103">
        <f t="shared" ca="1" si="9"/>
        <v>0</v>
      </c>
      <c r="C40" s="103">
        <f t="shared" ca="1" si="9"/>
        <v>0</v>
      </c>
      <c r="D40" s="103">
        <f t="shared" ca="1" si="9"/>
        <v>0</v>
      </c>
      <c r="E40" s="103">
        <f t="shared" ca="1" si="9"/>
        <v>0</v>
      </c>
      <c r="F40" s="103">
        <f t="shared" ca="1" si="9"/>
        <v>0</v>
      </c>
      <c r="G40" s="103">
        <f t="shared" ca="1" si="9"/>
        <v>0</v>
      </c>
      <c r="H40" s="103">
        <f t="shared" ca="1" si="9"/>
        <v>0</v>
      </c>
      <c r="I40" s="103">
        <f t="shared" ca="1" si="9"/>
        <v>0</v>
      </c>
      <c r="J40" s="103">
        <f t="shared" ca="1" si="9"/>
        <v>0</v>
      </c>
      <c r="K40" s="104">
        <f t="shared" ca="1" si="9"/>
        <v>0</v>
      </c>
      <c r="L40" s="97"/>
      <c r="M40" s="103">
        <f t="shared" ref="M40:N50" ca="1" si="10">SUMIF(INDIRECT(M$3&amp;"!$A:$A"),$A40,INDIRECT(M$3&amp;"!$F:$F"))</f>
        <v>0</v>
      </c>
      <c r="N40" s="103">
        <f t="shared" ca="1" si="10"/>
        <v>0</v>
      </c>
    </row>
    <row r="41" spans="1:17" ht="16.5">
      <c r="A41" s="123">
        <f t="shared" si="7"/>
        <v>42664</v>
      </c>
      <c r="B41" s="103">
        <f t="shared" ca="1" si="9"/>
        <v>0</v>
      </c>
      <c r="C41" s="103">
        <f t="shared" ca="1" si="9"/>
        <v>0</v>
      </c>
      <c r="D41" s="103">
        <f t="shared" ca="1" si="9"/>
        <v>0</v>
      </c>
      <c r="E41" s="103">
        <f t="shared" ca="1" si="9"/>
        <v>0</v>
      </c>
      <c r="F41" s="103">
        <f t="shared" ca="1" si="9"/>
        <v>0</v>
      </c>
      <c r="G41" s="103">
        <f t="shared" ca="1" si="9"/>
        <v>0</v>
      </c>
      <c r="H41" s="103">
        <f t="shared" ca="1" si="9"/>
        <v>0</v>
      </c>
      <c r="I41" s="103">
        <f t="shared" ca="1" si="9"/>
        <v>0</v>
      </c>
      <c r="J41" s="103">
        <f t="shared" ca="1" si="9"/>
        <v>0</v>
      </c>
      <c r="K41" s="104">
        <f t="shared" ca="1" si="9"/>
        <v>0</v>
      </c>
      <c r="L41" s="97"/>
      <c r="M41" s="103">
        <f t="shared" ca="1" si="10"/>
        <v>0</v>
      </c>
      <c r="N41" s="103">
        <f t="shared" ca="1" si="10"/>
        <v>0</v>
      </c>
    </row>
    <row r="42" spans="1:17" ht="16.5">
      <c r="A42" s="123">
        <f t="shared" si="7"/>
        <v>42665</v>
      </c>
      <c r="B42" s="103">
        <f t="shared" ca="1" si="9"/>
        <v>0</v>
      </c>
      <c r="C42" s="103">
        <f t="shared" ca="1" si="9"/>
        <v>0</v>
      </c>
      <c r="D42" s="103">
        <f t="shared" ca="1" si="9"/>
        <v>0</v>
      </c>
      <c r="E42" s="103">
        <f t="shared" ca="1" si="9"/>
        <v>0</v>
      </c>
      <c r="F42" s="103">
        <f t="shared" ca="1" si="9"/>
        <v>0</v>
      </c>
      <c r="G42" s="103">
        <f t="shared" ca="1" si="9"/>
        <v>0</v>
      </c>
      <c r="H42" s="103">
        <f t="shared" ca="1" si="9"/>
        <v>0</v>
      </c>
      <c r="I42" s="103">
        <f t="shared" ca="1" si="9"/>
        <v>0</v>
      </c>
      <c r="J42" s="103">
        <f t="shared" ca="1" si="9"/>
        <v>0</v>
      </c>
      <c r="K42" s="104">
        <f t="shared" ca="1" si="9"/>
        <v>0</v>
      </c>
      <c r="L42" s="97"/>
      <c r="M42" s="103">
        <f t="shared" ca="1" si="10"/>
        <v>0</v>
      </c>
      <c r="N42" s="103">
        <f t="shared" ca="1" si="10"/>
        <v>0</v>
      </c>
    </row>
    <row r="43" spans="1:17" ht="16.5">
      <c r="A43" s="123">
        <f t="shared" si="7"/>
        <v>42666</v>
      </c>
      <c r="B43" s="103">
        <f t="shared" ca="1" si="9"/>
        <v>0</v>
      </c>
      <c r="C43" s="103">
        <f t="shared" ca="1" si="9"/>
        <v>0</v>
      </c>
      <c r="D43" s="103">
        <f t="shared" ca="1" si="9"/>
        <v>0</v>
      </c>
      <c r="E43" s="103">
        <f t="shared" ca="1" si="9"/>
        <v>0</v>
      </c>
      <c r="F43" s="103">
        <f t="shared" ca="1" si="9"/>
        <v>0</v>
      </c>
      <c r="G43" s="103">
        <f t="shared" ca="1" si="9"/>
        <v>0</v>
      </c>
      <c r="H43" s="103">
        <f t="shared" ca="1" si="9"/>
        <v>0</v>
      </c>
      <c r="I43" s="103">
        <f t="shared" ca="1" si="9"/>
        <v>0</v>
      </c>
      <c r="J43" s="103">
        <f t="shared" ca="1" si="9"/>
        <v>0</v>
      </c>
      <c r="K43" s="104">
        <f t="shared" ca="1" si="9"/>
        <v>0</v>
      </c>
      <c r="L43" s="97"/>
      <c r="M43" s="103">
        <f t="shared" ca="1" si="10"/>
        <v>0</v>
      </c>
      <c r="N43" s="103">
        <f t="shared" ca="1" si="10"/>
        <v>0</v>
      </c>
    </row>
    <row r="44" spans="1:17" ht="16.5">
      <c r="A44" s="123">
        <f t="shared" si="7"/>
        <v>42667</v>
      </c>
      <c r="B44" s="103">
        <f t="shared" ca="1" si="9"/>
        <v>0</v>
      </c>
      <c r="C44" s="103">
        <f t="shared" ca="1" si="9"/>
        <v>0</v>
      </c>
      <c r="D44" s="103">
        <f t="shared" ca="1" si="9"/>
        <v>0</v>
      </c>
      <c r="E44" s="103">
        <f t="shared" ca="1" si="9"/>
        <v>0</v>
      </c>
      <c r="F44" s="103">
        <f t="shared" ca="1" si="9"/>
        <v>0</v>
      </c>
      <c r="G44" s="103">
        <f t="shared" ca="1" si="9"/>
        <v>0</v>
      </c>
      <c r="H44" s="103">
        <f t="shared" ca="1" si="9"/>
        <v>0</v>
      </c>
      <c r="I44" s="103">
        <f t="shared" ca="1" si="9"/>
        <v>0</v>
      </c>
      <c r="J44" s="103">
        <f t="shared" ca="1" si="9"/>
        <v>0</v>
      </c>
      <c r="K44" s="104">
        <f t="shared" ca="1" si="9"/>
        <v>0</v>
      </c>
      <c r="L44" s="97"/>
      <c r="M44" s="103">
        <f t="shared" ca="1" si="10"/>
        <v>0</v>
      </c>
      <c r="N44" s="103">
        <f t="shared" ca="1" si="10"/>
        <v>0</v>
      </c>
    </row>
    <row r="45" spans="1:17" ht="16.5">
      <c r="A45" s="123">
        <f t="shared" si="7"/>
        <v>42668</v>
      </c>
      <c r="B45" s="103">
        <f t="shared" ca="1" si="9"/>
        <v>0</v>
      </c>
      <c r="C45" s="103">
        <f t="shared" ca="1" si="9"/>
        <v>0</v>
      </c>
      <c r="D45" s="103">
        <f t="shared" ca="1" si="9"/>
        <v>0</v>
      </c>
      <c r="E45" s="103">
        <f t="shared" ca="1" si="9"/>
        <v>0</v>
      </c>
      <c r="F45" s="103">
        <f t="shared" ca="1" si="9"/>
        <v>0</v>
      </c>
      <c r="G45" s="103">
        <f t="shared" ca="1" si="9"/>
        <v>0</v>
      </c>
      <c r="H45" s="103">
        <f t="shared" ca="1" si="9"/>
        <v>0</v>
      </c>
      <c r="I45" s="103">
        <f t="shared" ca="1" si="9"/>
        <v>0</v>
      </c>
      <c r="J45" s="103">
        <f t="shared" ca="1" si="9"/>
        <v>0</v>
      </c>
      <c r="K45" s="104">
        <f t="shared" ca="1" si="9"/>
        <v>0</v>
      </c>
      <c r="L45" s="97"/>
      <c r="M45" s="103">
        <f t="shared" ca="1" si="10"/>
        <v>0</v>
      </c>
      <c r="N45" s="103">
        <f t="shared" ca="1" si="10"/>
        <v>0</v>
      </c>
    </row>
    <row r="46" spans="1:17" ht="16.5">
      <c r="A46" s="123">
        <f>A45+1</f>
        <v>42669</v>
      </c>
      <c r="B46" s="103">
        <f t="shared" ca="1" si="9"/>
        <v>0</v>
      </c>
      <c r="C46" s="103">
        <f t="shared" ca="1" si="9"/>
        <v>0</v>
      </c>
      <c r="D46" s="103">
        <f t="shared" ca="1" si="9"/>
        <v>0</v>
      </c>
      <c r="E46" s="103">
        <f t="shared" ca="1" si="9"/>
        <v>0</v>
      </c>
      <c r="F46" s="103">
        <f t="shared" ca="1" si="9"/>
        <v>0</v>
      </c>
      <c r="G46" s="103">
        <f t="shared" ca="1" si="9"/>
        <v>0</v>
      </c>
      <c r="H46" s="103">
        <f t="shared" ca="1" si="9"/>
        <v>0</v>
      </c>
      <c r="I46" s="103">
        <f t="shared" ca="1" si="9"/>
        <v>0</v>
      </c>
      <c r="J46" s="103">
        <f t="shared" ca="1" si="9"/>
        <v>0</v>
      </c>
      <c r="K46" s="104">
        <f t="shared" ca="1" si="9"/>
        <v>0</v>
      </c>
      <c r="L46" s="97"/>
      <c r="M46" s="103">
        <f t="shared" ca="1" si="10"/>
        <v>0</v>
      </c>
      <c r="N46" s="103">
        <f t="shared" ca="1" si="10"/>
        <v>0</v>
      </c>
      <c r="Q46" s="165"/>
    </row>
    <row r="47" spans="1:17" ht="16.5" hidden="1">
      <c r="A47" s="123">
        <f t="shared" si="7"/>
        <v>42670</v>
      </c>
      <c r="B47" s="103">
        <f t="shared" ref="B47:K49" ca="1" si="11">SUMIF(INDIRECT(B$3&amp;"!$A:$A"),$A47,INDIRECT(B$3&amp;"!$F:$F"))</f>
        <v>0</v>
      </c>
      <c r="C47" s="103">
        <f t="shared" ca="1" si="11"/>
        <v>0</v>
      </c>
      <c r="D47" s="103">
        <f t="shared" ca="1" si="11"/>
        <v>0</v>
      </c>
      <c r="E47" s="103">
        <f t="shared" ca="1" si="11"/>
        <v>0</v>
      </c>
      <c r="F47" s="103"/>
      <c r="G47" s="103">
        <f t="shared" ca="1" si="11"/>
        <v>0</v>
      </c>
      <c r="H47" s="103">
        <f t="shared" ca="1" si="11"/>
        <v>0</v>
      </c>
      <c r="I47" s="103">
        <f t="shared" ca="1" si="11"/>
        <v>0</v>
      </c>
      <c r="J47" s="103">
        <f t="shared" ca="1" si="11"/>
        <v>0</v>
      </c>
      <c r="K47" s="104">
        <f t="shared" ca="1" si="11"/>
        <v>0</v>
      </c>
      <c r="L47" s="97"/>
      <c r="M47" s="103">
        <f t="shared" ca="1" si="10"/>
        <v>0</v>
      </c>
      <c r="N47" s="103">
        <f t="shared" ca="1" si="10"/>
        <v>0</v>
      </c>
    </row>
    <row r="48" spans="1:17" ht="16.5" hidden="1">
      <c r="A48" s="123">
        <f>A47+1</f>
        <v>42671</v>
      </c>
      <c r="B48" s="103">
        <f t="shared" ca="1" si="11"/>
        <v>0</v>
      </c>
      <c r="C48" s="103">
        <f t="shared" ca="1" si="11"/>
        <v>0</v>
      </c>
      <c r="D48" s="103">
        <f t="shared" ca="1" si="11"/>
        <v>0</v>
      </c>
      <c r="E48" s="103">
        <f t="shared" ca="1" si="11"/>
        <v>0</v>
      </c>
      <c r="F48" s="103"/>
      <c r="G48" s="103">
        <f t="shared" ca="1" si="11"/>
        <v>0</v>
      </c>
      <c r="H48" s="103">
        <f t="shared" ca="1" si="11"/>
        <v>0</v>
      </c>
      <c r="I48" s="103">
        <f t="shared" ca="1" si="11"/>
        <v>0</v>
      </c>
      <c r="J48" s="103">
        <f t="shared" ca="1" si="11"/>
        <v>0</v>
      </c>
      <c r="K48" s="104">
        <f t="shared" ca="1" si="11"/>
        <v>0</v>
      </c>
      <c r="L48" s="97"/>
      <c r="M48" s="103">
        <f t="shared" ca="1" si="10"/>
        <v>0</v>
      </c>
      <c r="N48" s="103">
        <f t="shared" ca="1" si="10"/>
        <v>0</v>
      </c>
    </row>
    <row r="49" spans="1:21" ht="16.5" hidden="1">
      <c r="A49" s="123">
        <f t="shared" si="7"/>
        <v>42672</v>
      </c>
      <c r="B49" s="103">
        <f t="shared" ca="1" si="11"/>
        <v>0</v>
      </c>
      <c r="C49" s="103">
        <f t="shared" ca="1" si="11"/>
        <v>0</v>
      </c>
      <c r="D49" s="103">
        <f t="shared" ca="1" si="11"/>
        <v>0</v>
      </c>
      <c r="E49" s="103">
        <f t="shared" ca="1" si="11"/>
        <v>0</v>
      </c>
      <c r="F49" s="103"/>
      <c r="G49" s="103">
        <f t="shared" ca="1" si="11"/>
        <v>0</v>
      </c>
      <c r="H49" s="103">
        <f t="shared" ca="1" si="11"/>
        <v>0</v>
      </c>
      <c r="I49" s="103">
        <f t="shared" ca="1" si="11"/>
        <v>0</v>
      </c>
      <c r="J49" s="103">
        <f t="shared" ca="1" si="11"/>
        <v>0</v>
      </c>
      <c r="K49" s="104">
        <f t="shared" ca="1" si="11"/>
        <v>0</v>
      </c>
      <c r="L49" s="97" t="e">
        <f>IF(#REF!&gt;135,$Q$3,IF(#REF!&gt;90,$Q$4,IF(#REF!&gt;70,$Q$5,IF(#REF!&gt;45,$Q$6,"无"))))</f>
        <v>#REF!</v>
      </c>
      <c r="M49" s="103">
        <f t="shared" ca="1" si="10"/>
        <v>0</v>
      </c>
      <c r="N49" s="103">
        <f t="shared" ca="1" si="10"/>
        <v>0</v>
      </c>
    </row>
    <row r="50" spans="1:21" ht="16.5">
      <c r="A50" s="123"/>
      <c r="B50" s="103"/>
      <c r="C50" s="103"/>
      <c r="D50" s="103"/>
      <c r="E50" s="103"/>
      <c r="F50" s="103"/>
      <c r="G50" s="103"/>
      <c r="H50" s="103"/>
      <c r="I50" s="103"/>
      <c r="J50" s="103"/>
      <c r="K50" s="104"/>
      <c r="L50" s="97"/>
      <c r="M50" s="103">
        <f t="shared" ca="1" si="10"/>
        <v>0</v>
      </c>
      <c r="N50" s="103">
        <f t="shared" ca="1" si="10"/>
        <v>0</v>
      </c>
    </row>
    <row r="51" spans="1:21" ht="15.95" customHeight="1">
      <c r="A51" s="98" t="s">
        <v>77</v>
      </c>
      <c r="B51" s="105">
        <f ca="1">LOOKUP(1,0/(B5:B49&lt;&gt;0),B5:B48)</f>
        <v>4</v>
      </c>
      <c r="C51" s="105">
        <f t="shared" ref="C51:N51" ca="1" si="12">LOOKUP(1,0/(C5:C49&lt;&gt;0),C5:C48)</f>
        <v>1</v>
      </c>
      <c r="D51" s="105">
        <f t="shared" ca="1" si="12"/>
        <v>12</v>
      </c>
      <c r="E51" s="105">
        <f t="shared" ca="1" si="12"/>
        <v>7</v>
      </c>
      <c r="F51" s="105">
        <f t="shared" ca="1" si="12"/>
        <v>21</v>
      </c>
      <c r="G51" s="105">
        <f t="shared" ca="1" si="12"/>
        <v>8</v>
      </c>
      <c r="H51" s="105">
        <f t="shared" ca="1" si="12"/>
        <v>25.08230130114438</v>
      </c>
      <c r="I51" s="105">
        <f t="shared" ca="1" si="12"/>
        <v>30.779275287972766</v>
      </c>
      <c r="J51" s="105">
        <f t="shared" ca="1" si="12"/>
        <v>20.60548422887938</v>
      </c>
      <c r="K51" s="105">
        <f t="shared" ca="1" si="12"/>
        <v>43.434817186321091</v>
      </c>
      <c r="L51" s="105">
        <f t="shared" ca="1" si="12"/>
        <v>29.62962962962963</v>
      </c>
      <c r="M51" s="105">
        <f t="shared" ca="1" si="12"/>
        <v>12.305799107829566</v>
      </c>
      <c r="N51" s="105">
        <f t="shared" ca="1" si="12"/>
        <v>3</v>
      </c>
    </row>
    <row r="52" spans="1:21" ht="15.95" customHeight="1">
      <c r="A52" s="98" t="s">
        <v>91</v>
      </c>
      <c r="B52" s="106" t="str">
        <f ca="1">IF(B51&gt;140,$Q$23,IF(B51&gt;120,$Q$24,IF(B51&gt;100,$Q$25,IF(B51&gt;90,$Q$26,"无"))))</f>
        <v>无</v>
      </c>
      <c r="C52" s="106" t="str">
        <f ca="1">IF(C51&gt;135,$Q$3,IF(C51&gt;90,$Q$4,IF(C51&gt;70,$Q$5,IF(C51&gt;30,$Q$6,"无"))))</f>
        <v>无</v>
      </c>
      <c r="D52" s="106" t="str">
        <f ca="1">IF(D51&gt;140,$Q$23,IF(D51&gt;120,$Q$24,IF(D51&gt;100,$Q$25,IF(D51&gt;90,$Q$26,"无"))))</f>
        <v>无</v>
      </c>
      <c r="E52" s="106" t="str">
        <f ca="1">IF(E51&gt;135,$Q$3,IF(E51&gt;90,$Q$4,IF(E51&gt;70,$Q$5,IF(E51&gt;30,$Q$6,"无"))))</f>
        <v>无</v>
      </c>
      <c r="F52" s="106" t="str">
        <f ca="1">IF(F51&gt;135,$Q$3,IF(F51&gt;90,$Q$4,IF(F51&gt;70,$Q$5,IF(F51&gt;30,$Q$6,"无"))))</f>
        <v>无</v>
      </c>
      <c r="G52" s="106" t="str">
        <f ca="1">IF(G51&gt;135,$Q$3,IF(G51&gt;90,$Q$4,IF(G51&gt;70,$Q$5,IF(G51&gt;30,$Q$6,"无"))))</f>
        <v>无</v>
      </c>
      <c r="H52" s="106" t="str">
        <f ca="1">IF(H51&gt;140,$Q$23,IF(H51&gt;120,$Q$24,IF(H51&gt;100,$Q$25,IF(H51&gt;90,$Q$26,"无"))))</f>
        <v>无</v>
      </c>
      <c r="I52" s="106">
        <f ca="1">IF(I51&gt;135,$Q$3,IF(I51&gt;90,$Q$4,IF(I51&gt;70,$Q$5,IF(I51&gt;30,$Q$6,"无"))))</f>
        <v>5.0999999999999996</v>
      </c>
      <c r="J52" s="106" t="str">
        <f ca="1">IF(J51&gt;135,$Q$3,IF(J51&gt;90,$Q$4,IF(J51&gt;70,$Q$5,IF(J51&gt;30,$Q$6,"无"))))</f>
        <v>无</v>
      </c>
      <c r="K52" s="106" t="str">
        <f ca="1">IF(K51&gt;140,$Q$23,IF(K51&gt;120,$Q$24,IF(K51&gt;100,$Q$25,IF(K51&gt;90,$Q$26,"无"))))</f>
        <v>无</v>
      </c>
      <c r="L52" s="106" t="str">
        <f ca="1">IF(L51&gt;135,$Q$3,IF(L51&gt;90,$Q$4,IF(L51&gt;70,$Q$5,IF(L51&gt;30,$Q$6,"无"))))</f>
        <v>无</v>
      </c>
      <c r="M52" s="106" t="str">
        <f ca="1">IF(M51&gt;140,$Q$23,IF(M51&gt;120,$Q$24,IF(M51&gt;100,$Q$25,IF(M51&gt;90,$Q$26,"无"))))</f>
        <v>无</v>
      </c>
      <c r="N52" s="106" t="str">
        <f ca="1">IF(N51&gt;135,$Q$3,IF(N51&gt;90,$Q$4,IF(N51&gt;70,$Q$5,IF(N51&gt;30,$Q$6,"无"))))</f>
        <v>无</v>
      </c>
    </row>
    <row r="53" spans="1:21" ht="15.95" customHeight="1">
      <c r="A53" s="98" t="s">
        <v>100</v>
      </c>
      <c r="B53" s="107" t="str">
        <f t="shared" ref="B53:J53" ca="1" si="13">IF(B52=$Q$23,$T$23,IF(B52=$Q$24,$T$24,IF(B52=$Q$25,$T$25,IF(B52=$Q$26,$T$26,"无"))))</f>
        <v>无</v>
      </c>
      <c r="C53" s="107" t="str">
        <f t="shared" ca="1" si="13"/>
        <v>无</v>
      </c>
      <c r="D53" s="107" t="str">
        <f t="shared" ca="1" si="13"/>
        <v>无</v>
      </c>
      <c r="E53" s="107" t="str">
        <f t="shared" ca="1" si="13"/>
        <v>无</v>
      </c>
      <c r="F53" s="107" t="str">
        <f t="shared" ref="F53" ca="1" si="14">IF(F52=$Q$23,$T$23,IF(F52=$Q$24,$T$24,IF(F52=$Q$25,$T$25,IF(F52=$Q$26,$T$26,"无"))))</f>
        <v>无</v>
      </c>
      <c r="G53" s="107" t="str">
        <f t="shared" ca="1" si="13"/>
        <v>无</v>
      </c>
      <c r="H53" s="107" t="str">
        <f t="shared" ca="1" si="13"/>
        <v>无</v>
      </c>
      <c r="I53" s="107" t="str">
        <f t="shared" ca="1" si="13"/>
        <v>暂停商品新增及变更30天</v>
      </c>
      <c r="J53" s="107" t="str">
        <f t="shared" ca="1" si="13"/>
        <v>无</v>
      </c>
      <c r="K53" s="107" t="str">
        <f t="shared" ref="K53" ca="1" si="15">IF(K52=$Q$23,$T$23,IF(K52=$Q$24,$T$24,IF(K52=$Q$25,$T$25,IF(K52=$Q$26,$T$26,"无"))))</f>
        <v>无</v>
      </c>
      <c r="L53" s="107" t="str">
        <f t="shared" ref="L53" ca="1" si="16">IF(L52=$Q$23,$T$23,IF(L52=$Q$24,$T$24,IF(L52=$Q$25,$T$25,IF(L52=$Q$26,$T$26,"无"))))</f>
        <v>无</v>
      </c>
      <c r="M53" s="107" t="str">
        <f t="shared" ref="M53" ca="1" si="17">IF(M52=$Q$23,$T$23,IF(M52=$Q$24,$T$24,IF(M52=$Q$25,$T$25,IF(M52=$Q$26,$T$26,"无"))))</f>
        <v>无</v>
      </c>
      <c r="N53" s="107" t="str">
        <f t="shared" ref="N53" ca="1" si="18">IF(N52=$Q$23,$T$23,IF(N52=$Q$24,$T$24,IF(N52=$Q$25,$T$25,IF(N52=$Q$26,$T$26,"无"))))</f>
        <v>无</v>
      </c>
    </row>
    <row r="54" spans="1:21" ht="15.95" customHeight="1">
      <c r="A54" s="99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25"/>
      <c r="M54" s="171"/>
      <c r="N54" s="171"/>
      <c r="P54" s="66" t="s">
        <v>132</v>
      </c>
    </row>
    <row r="55" spans="1:21" ht="15.95" customHeight="1">
      <c r="A55" s="99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37" t="str">
        <f>L$3</f>
        <v>掌上乐游</v>
      </c>
      <c r="M55" s="172"/>
      <c r="N55" s="172"/>
      <c r="Q55" s="114" t="s">
        <v>86</v>
      </c>
      <c r="R55" s="115" t="s">
        <v>78</v>
      </c>
      <c r="S55" s="294" t="s">
        <v>79</v>
      </c>
      <c r="T55" s="295"/>
      <c r="U55" s="296"/>
    </row>
    <row r="56" spans="1:21" ht="15.95" customHeight="1">
      <c r="A56" s="125" t="str">
        <f>MONTH(A97)&amp;"月有理万元投诉率"</f>
        <v>10月有理万元投诉率</v>
      </c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37" t="str">
        <f>L$4</f>
        <v>★</v>
      </c>
      <c r="M56" s="169"/>
      <c r="N56" s="169"/>
      <c r="Q56" s="116" t="s">
        <v>80</v>
      </c>
      <c r="R56" s="111" t="s">
        <v>81</v>
      </c>
      <c r="S56" s="111" t="s">
        <v>172</v>
      </c>
      <c r="T56" s="111" t="s">
        <v>82</v>
      </c>
      <c r="U56" s="111" t="s">
        <v>83</v>
      </c>
    </row>
    <row r="57" spans="1:21" ht="15.95" customHeight="1">
      <c r="A57" s="100" t="s">
        <v>65</v>
      </c>
      <c r="B57" s="157" t="str">
        <f t="shared" ref="B57:H57" si="19">B$3</f>
        <v>趣游</v>
      </c>
      <c r="C57" s="157" t="str">
        <f t="shared" si="19"/>
        <v>前游</v>
      </c>
      <c r="D57" s="157" t="str">
        <f t="shared" si="19"/>
        <v>魔逗</v>
      </c>
      <c r="E57" s="157" t="str">
        <f t="shared" si="19"/>
        <v>中力为</v>
      </c>
      <c r="F57" s="157" t="s">
        <v>561</v>
      </c>
      <c r="G57" s="157" t="str">
        <f t="shared" si="19"/>
        <v>深圳玉璟</v>
      </c>
      <c r="H57" s="157" t="str">
        <f t="shared" si="19"/>
        <v>魔谷</v>
      </c>
      <c r="I57" s="157" t="str">
        <f>I$3</f>
        <v>欧朋</v>
      </c>
      <c r="J57" s="157" t="str">
        <f>J$3</f>
        <v>广州骏伯</v>
      </c>
      <c r="K57" s="109" t="str">
        <f>K$3</f>
        <v>意利恒</v>
      </c>
      <c r="L57" s="176">
        <v>17</v>
      </c>
      <c r="M57" s="127" t="s">
        <v>252</v>
      </c>
      <c r="N57" s="127" t="s">
        <v>253</v>
      </c>
      <c r="Q57" s="116" t="s">
        <v>10</v>
      </c>
      <c r="R57" s="111" t="s">
        <v>84</v>
      </c>
      <c r="S57" s="111" t="s">
        <v>172</v>
      </c>
      <c r="T57" s="111" t="s">
        <v>82</v>
      </c>
      <c r="U57" s="111" t="s">
        <v>83</v>
      </c>
    </row>
    <row r="58" spans="1:21" ht="15.95" customHeight="1">
      <c r="A58" s="100" t="s">
        <v>66</v>
      </c>
      <c r="B58" s="157" t="str">
        <f t="shared" ref="B58:H58" si="20">B$4</f>
        <v>★★★</v>
      </c>
      <c r="C58" s="157" t="str">
        <f t="shared" si="20"/>
        <v>★</v>
      </c>
      <c r="D58" s="157" t="str">
        <f t="shared" si="20"/>
        <v>★★</v>
      </c>
      <c r="E58" s="157" t="str">
        <f t="shared" si="20"/>
        <v>★</v>
      </c>
      <c r="F58" s="157" t="str">
        <f t="shared" si="20"/>
        <v>★★</v>
      </c>
      <c r="G58" s="157" t="str">
        <f t="shared" si="20"/>
        <v>★</v>
      </c>
      <c r="H58" s="157" t="str">
        <f t="shared" si="20"/>
        <v>★★</v>
      </c>
      <c r="I58" s="157" t="str">
        <f>I$4</f>
        <v>★</v>
      </c>
      <c r="J58" s="157" t="str">
        <f>J$4</f>
        <v>★</v>
      </c>
      <c r="K58" s="109" t="str">
        <f>K$4</f>
        <v>★★★</v>
      </c>
      <c r="L58" s="177">
        <f ca="1">SUMIF(INDIRECT(L$3&amp;"!$A:$A"),$A5,INDIRECT(L$3&amp;"!$K:$K"))</f>
        <v>7.1880347348756759</v>
      </c>
      <c r="M58" s="157" t="str">
        <f>M$4</f>
        <v>★</v>
      </c>
      <c r="N58" s="157" t="str">
        <f>N$4</f>
        <v>★</v>
      </c>
      <c r="Q58" s="297" t="s">
        <v>85</v>
      </c>
      <c r="R58" s="298"/>
      <c r="S58" s="111">
        <v>5</v>
      </c>
      <c r="T58" s="111">
        <v>10</v>
      </c>
      <c r="U58" s="111">
        <v>15</v>
      </c>
    </row>
    <row r="59" spans="1:21" ht="15.95" hidden="1" customHeight="1">
      <c r="A59" s="100" t="s">
        <v>102</v>
      </c>
      <c r="B59" s="109">
        <v>100</v>
      </c>
      <c r="C59" s="109">
        <v>100</v>
      </c>
      <c r="D59" s="109">
        <v>65</v>
      </c>
      <c r="E59" s="109">
        <v>75</v>
      </c>
      <c r="F59" s="109"/>
      <c r="G59" s="109">
        <v>85</v>
      </c>
      <c r="H59" s="109">
        <v>100</v>
      </c>
      <c r="I59" s="109">
        <v>100</v>
      </c>
      <c r="J59" s="109">
        <v>100</v>
      </c>
      <c r="K59" s="109">
        <v>70</v>
      </c>
      <c r="L59" s="177">
        <f ca="1">SUMIF(INDIRECT(L$3&amp;"!$A:$A"),$A6,INDIRECT(L$3&amp;"!$K:$K"))</f>
        <v>2.7038838917963703</v>
      </c>
      <c r="M59" s="101"/>
      <c r="N59" s="101"/>
    </row>
    <row r="60" spans="1:21" ht="15.95" hidden="1" customHeight="1">
      <c r="A60" s="128">
        <f>A5</f>
        <v>42185</v>
      </c>
      <c r="B60" s="109">
        <f t="shared" ref="B60:K60" ca="1" si="21">SUMIF(INDIRECT(B$3&amp;"!$A:$A"),$A5,INDIRECT(B$3&amp;"!$K:$K"))</f>
        <v>0</v>
      </c>
      <c r="C60" s="109">
        <f t="shared" ca="1" si="21"/>
        <v>0</v>
      </c>
      <c r="D60" s="109">
        <f t="shared" ca="1" si="21"/>
        <v>0</v>
      </c>
      <c r="E60" s="109">
        <f t="shared" ca="1" si="21"/>
        <v>0</v>
      </c>
      <c r="F60" s="109"/>
      <c r="G60" s="109">
        <f t="shared" ca="1" si="21"/>
        <v>0</v>
      </c>
      <c r="H60" s="109">
        <f t="shared" ca="1" si="21"/>
        <v>0</v>
      </c>
      <c r="I60" s="109">
        <f t="shared" ca="1" si="21"/>
        <v>0</v>
      </c>
      <c r="J60" s="109">
        <f t="shared" ca="1" si="21"/>
        <v>0</v>
      </c>
      <c r="K60" s="109">
        <f t="shared" ca="1" si="21"/>
        <v>4.3187174846629652</v>
      </c>
      <c r="L60" s="177">
        <f ca="1">SUMIF(INDIRECT(L$3&amp;"!$A:$A"),$A7,INDIRECT(L$3&amp;"!$K:$K"))</f>
        <v>2.3176786282218336</v>
      </c>
      <c r="M60" s="101"/>
      <c r="N60" s="101"/>
    </row>
    <row r="61" spans="1:21" ht="15.95" hidden="1" customHeight="1">
      <c r="A61" s="128">
        <v>42216</v>
      </c>
      <c r="B61" s="109">
        <f t="shared" ref="B61:K61" ca="1" si="22">SUMIF(INDIRECT(B$3&amp;"!$A:$A"),$A6,INDIRECT(B$3&amp;"!$K:$K"))</f>
        <v>0</v>
      </c>
      <c r="C61" s="109">
        <f t="shared" ca="1" si="22"/>
        <v>0</v>
      </c>
      <c r="D61" s="109">
        <f t="shared" ca="1" si="22"/>
        <v>0</v>
      </c>
      <c r="E61" s="109">
        <f t="shared" ca="1" si="22"/>
        <v>0</v>
      </c>
      <c r="F61" s="109"/>
      <c r="G61" s="109">
        <f t="shared" ca="1" si="22"/>
        <v>0</v>
      </c>
      <c r="H61" s="109">
        <f t="shared" ca="1" si="22"/>
        <v>0</v>
      </c>
      <c r="I61" s="109">
        <f t="shared" ca="1" si="22"/>
        <v>0</v>
      </c>
      <c r="J61" s="109">
        <f t="shared" ca="1" si="22"/>
        <v>0</v>
      </c>
      <c r="K61" s="109">
        <f t="shared" ca="1" si="22"/>
        <v>5.7798528008611258</v>
      </c>
      <c r="L61" s="177">
        <f ca="1">SUMIF(INDIRECT(L$3&amp;"!$A:$A"),$A5,INDIRECT(L$3&amp;"!$K:$K"))</f>
        <v>7.1880347348756759</v>
      </c>
      <c r="M61" s="101"/>
      <c r="N61" s="101"/>
    </row>
    <row r="62" spans="1:21" ht="15.95" hidden="1" customHeight="1">
      <c r="A62" s="128">
        <v>42247</v>
      </c>
      <c r="B62" s="109">
        <f t="shared" ref="B62:K62" ca="1" si="23">SUMIF(INDIRECT(B$3&amp;"!$A:$A"),$A7,INDIRECT(B$3&amp;"!$K:$K"))</f>
        <v>0</v>
      </c>
      <c r="C62" s="109">
        <f t="shared" ca="1" si="23"/>
        <v>0</v>
      </c>
      <c r="D62" s="109">
        <f t="shared" ca="1" si="23"/>
        <v>0</v>
      </c>
      <c r="E62" s="109">
        <f t="shared" ca="1" si="23"/>
        <v>0</v>
      </c>
      <c r="F62" s="109"/>
      <c r="G62" s="109">
        <f t="shared" ca="1" si="23"/>
        <v>0</v>
      </c>
      <c r="H62" s="109">
        <f t="shared" ca="1" si="23"/>
        <v>0</v>
      </c>
      <c r="I62" s="109">
        <f t="shared" ca="1" si="23"/>
        <v>0</v>
      </c>
      <c r="J62" s="109">
        <f t="shared" ca="1" si="23"/>
        <v>0</v>
      </c>
      <c r="K62" s="109">
        <f t="shared" ca="1" si="23"/>
        <v>7.2599340746129348</v>
      </c>
      <c r="L62" s="178">
        <f ca="1">SUMIF(INDIRECT(L$3&amp;"!$A:$A"),$A9,INDIRECT(L$3&amp;"!$K:$K"))</f>
        <v>0</v>
      </c>
      <c r="M62" s="109"/>
      <c r="N62" s="109"/>
    </row>
    <row r="63" spans="1:21" ht="15.95" hidden="1" customHeight="1">
      <c r="A63" s="128">
        <v>42277</v>
      </c>
      <c r="B63" s="109">
        <f t="shared" ref="B63:K63" ca="1" si="24">SUMIF(INDIRECT(B$3&amp;"!$A:$A"),$A8,INDIRECT(B$3&amp;"!$K:$K"))</f>
        <v>0</v>
      </c>
      <c r="C63" s="109">
        <f t="shared" ca="1" si="24"/>
        <v>0</v>
      </c>
      <c r="D63" s="109">
        <f t="shared" ca="1" si="24"/>
        <v>0</v>
      </c>
      <c r="E63" s="109">
        <f t="shared" ca="1" si="24"/>
        <v>0</v>
      </c>
      <c r="F63" s="109"/>
      <c r="G63" s="109">
        <f t="shared" ca="1" si="24"/>
        <v>0</v>
      </c>
      <c r="H63" s="109">
        <f t="shared" ca="1" si="24"/>
        <v>0</v>
      </c>
      <c r="I63" s="109">
        <f t="shared" ca="1" si="24"/>
        <v>0</v>
      </c>
      <c r="J63" s="109">
        <f t="shared" ca="1" si="24"/>
        <v>0</v>
      </c>
      <c r="K63" s="109">
        <f t="shared" ca="1" si="24"/>
        <v>2.5104722380412055</v>
      </c>
      <c r="L63" s="178"/>
      <c r="M63" s="109"/>
      <c r="N63" s="109"/>
    </row>
    <row r="64" spans="1:21" ht="15.95" hidden="1" customHeight="1">
      <c r="A64" s="128">
        <v>42308</v>
      </c>
      <c r="B64" s="109">
        <f t="shared" ref="B64:K64" ca="1" si="25">SUMIF(INDIRECT(B$3&amp;"!$A:$A"),$A9,INDIRECT(B$3&amp;"!$K:$K"))</f>
        <v>0</v>
      </c>
      <c r="C64" s="109">
        <f t="shared" ca="1" si="25"/>
        <v>0</v>
      </c>
      <c r="D64" s="109">
        <f t="shared" ca="1" si="25"/>
        <v>0</v>
      </c>
      <c r="E64" s="109">
        <f t="shared" ca="1" si="25"/>
        <v>0</v>
      </c>
      <c r="F64" s="109"/>
      <c r="G64" s="109">
        <f t="shared" ca="1" si="25"/>
        <v>0</v>
      </c>
      <c r="H64" s="109">
        <f t="shared" ca="1" si="25"/>
        <v>0</v>
      </c>
      <c r="I64" s="109">
        <f t="shared" ca="1" si="25"/>
        <v>0</v>
      </c>
      <c r="J64" s="109">
        <f t="shared" ca="1" si="25"/>
        <v>0</v>
      </c>
      <c r="K64" s="109">
        <f t="shared" ca="1" si="25"/>
        <v>2.2549021572899481</v>
      </c>
      <c r="L64" s="178"/>
      <c r="M64" s="109"/>
      <c r="N64" s="109"/>
    </row>
    <row r="65" spans="1:14" ht="15.95" hidden="1" customHeight="1">
      <c r="A65" s="128">
        <v>42338</v>
      </c>
      <c r="B65" s="109">
        <f t="shared" ref="B65:K65" ca="1" si="26">SUMIF(INDIRECT(B$3&amp;"!$A:$A"),$A10,INDIRECT(B$3&amp;"!$K:$K"))</f>
        <v>0</v>
      </c>
      <c r="C65" s="109">
        <f t="shared" ca="1" si="26"/>
        <v>0</v>
      </c>
      <c r="D65" s="109">
        <f t="shared" ca="1" si="26"/>
        <v>0</v>
      </c>
      <c r="E65" s="109">
        <f t="shared" ca="1" si="26"/>
        <v>0</v>
      </c>
      <c r="F65" s="109"/>
      <c r="G65" s="109">
        <f t="shared" ca="1" si="26"/>
        <v>0</v>
      </c>
      <c r="H65" s="109">
        <f t="shared" ca="1" si="26"/>
        <v>0</v>
      </c>
      <c r="I65" s="109">
        <f t="shared" ca="1" si="26"/>
        <v>0</v>
      </c>
      <c r="J65" s="109">
        <f t="shared" ca="1" si="26"/>
        <v>0</v>
      </c>
      <c r="K65" s="109">
        <f t="shared" ca="1" si="26"/>
        <v>0.93551347019407305</v>
      </c>
      <c r="L65" s="178"/>
      <c r="M65" s="109"/>
      <c r="N65" s="109"/>
    </row>
    <row r="66" spans="1:14" ht="15.95" hidden="1" customHeight="1">
      <c r="A66" s="128">
        <v>42369</v>
      </c>
      <c r="B66" s="109">
        <f t="shared" ref="B66:K66" ca="1" si="27">SUMIF(INDIRECT(B$3&amp;"!$A:$A"),$A11,INDIRECT(B$3&amp;"!$K:$K"))</f>
        <v>0</v>
      </c>
      <c r="C66" s="109">
        <f t="shared" ca="1" si="27"/>
        <v>0</v>
      </c>
      <c r="D66" s="109">
        <f t="shared" ca="1" si="27"/>
        <v>0</v>
      </c>
      <c r="E66" s="109">
        <f t="shared" ca="1" si="27"/>
        <v>0</v>
      </c>
      <c r="F66" s="109"/>
      <c r="G66" s="109">
        <f t="shared" ca="1" si="27"/>
        <v>0</v>
      </c>
      <c r="H66" s="109">
        <f t="shared" ca="1" si="27"/>
        <v>0</v>
      </c>
      <c r="I66" s="109">
        <f t="shared" ca="1" si="27"/>
        <v>0</v>
      </c>
      <c r="J66" s="109">
        <f t="shared" ca="1" si="27"/>
        <v>0</v>
      </c>
      <c r="K66" s="109">
        <f t="shared" ca="1" si="27"/>
        <v>2.6091116326817407</v>
      </c>
      <c r="L66" s="178"/>
      <c r="M66" s="109"/>
      <c r="N66" s="109"/>
    </row>
    <row r="67" spans="1:14" ht="15.95" hidden="1" customHeight="1">
      <c r="A67" s="128">
        <f>A12</f>
        <v>42400</v>
      </c>
      <c r="B67" s="109">
        <f t="shared" ref="B67:K67" ca="1" si="28">SUMIF(INDIRECT(B$3&amp;"!$A:$A"),$A12,INDIRECT(B$3&amp;"!$K:$K"))</f>
        <v>0</v>
      </c>
      <c r="C67" s="109">
        <f t="shared" ca="1" si="28"/>
        <v>0</v>
      </c>
      <c r="D67" s="109">
        <f t="shared" ca="1" si="28"/>
        <v>0</v>
      </c>
      <c r="E67" s="109">
        <f t="shared" ca="1" si="28"/>
        <v>0</v>
      </c>
      <c r="F67" s="109"/>
      <c r="G67" s="109">
        <f t="shared" ca="1" si="28"/>
        <v>0</v>
      </c>
      <c r="H67" s="109">
        <f t="shared" ca="1" si="28"/>
        <v>0</v>
      </c>
      <c r="I67" s="109">
        <f t="shared" ca="1" si="28"/>
        <v>0</v>
      </c>
      <c r="J67" s="109">
        <f t="shared" ca="1" si="28"/>
        <v>0</v>
      </c>
      <c r="K67" s="109">
        <f t="shared" ca="1" si="28"/>
        <v>0</v>
      </c>
      <c r="L67" s="179">
        <f ca="1">SUMIF(INDIRECT(L$3&amp;"!$A:$A"),$A16,INDIRECT(L$3&amp;"!$K:$K"))</f>
        <v>0</v>
      </c>
      <c r="M67" s="97"/>
      <c r="N67" s="97"/>
    </row>
    <row r="68" spans="1:14" ht="15.95" customHeight="1">
      <c r="A68" s="128">
        <f>A13</f>
        <v>42429</v>
      </c>
      <c r="B68" s="109">
        <f ca="1">SUMIF(INDIRECT(B$3&amp;"!$A:$A"),$A68,INDIRECT(B$3&amp;"!$K:$K"))</f>
        <v>0</v>
      </c>
      <c r="C68" s="109">
        <f t="shared" ref="C68:N83" ca="1" si="29">SUMIF(INDIRECT(C$3&amp;"!$A:$A"),$A68,INDIRECT(C$3&amp;"!$K:$K"))</f>
        <v>0</v>
      </c>
      <c r="D68" s="109">
        <f t="shared" ca="1" si="29"/>
        <v>0</v>
      </c>
      <c r="E68" s="109">
        <f t="shared" ca="1" si="29"/>
        <v>0</v>
      </c>
      <c r="F68" s="109">
        <f t="shared" ca="1" si="29"/>
        <v>0</v>
      </c>
      <c r="G68" s="109">
        <f t="shared" ca="1" si="29"/>
        <v>0</v>
      </c>
      <c r="H68" s="109">
        <f t="shared" ca="1" si="29"/>
        <v>0</v>
      </c>
      <c r="I68" s="109">
        <f t="shared" ca="1" si="29"/>
        <v>0</v>
      </c>
      <c r="J68" s="109">
        <f t="shared" ca="1" si="29"/>
        <v>0</v>
      </c>
      <c r="K68" s="109">
        <f t="shared" ca="1" si="29"/>
        <v>0</v>
      </c>
      <c r="L68" s="109">
        <f t="shared" ca="1" si="29"/>
        <v>0</v>
      </c>
      <c r="M68" s="109">
        <f t="shared" ca="1" si="29"/>
        <v>0</v>
      </c>
      <c r="N68" s="109">
        <f t="shared" ca="1" si="29"/>
        <v>0</v>
      </c>
    </row>
    <row r="69" spans="1:14" ht="15.75" customHeight="1">
      <c r="A69" s="128">
        <f>A14</f>
        <v>42460</v>
      </c>
      <c r="B69" s="109">
        <f t="shared" ref="B69:N101" ca="1" si="30">SUMIF(INDIRECT(B$3&amp;"!$A:$A"),$A69,INDIRECT(B$3&amp;"!$K:$K"))</f>
        <v>0</v>
      </c>
      <c r="C69" s="109">
        <f t="shared" ca="1" si="30"/>
        <v>0</v>
      </c>
      <c r="D69" s="109">
        <f t="shared" ca="1" si="30"/>
        <v>0</v>
      </c>
      <c r="E69" s="109">
        <f t="shared" ca="1" si="30"/>
        <v>0</v>
      </c>
      <c r="F69" s="109">
        <f t="shared" ca="1" si="29"/>
        <v>0</v>
      </c>
      <c r="G69" s="109">
        <f t="shared" ca="1" si="30"/>
        <v>0</v>
      </c>
      <c r="H69" s="109">
        <f t="shared" ca="1" si="30"/>
        <v>0</v>
      </c>
      <c r="I69" s="109">
        <f t="shared" ca="1" si="30"/>
        <v>0</v>
      </c>
      <c r="J69" s="109">
        <f t="shared" ca="1" si="30"/>
        <v>0</v>
      </c>
      <c r="K69" s="109">
        <f t="shared" ca="1" si="30"/>
        <v>0</v>
      </c>
      <c r="L69" s="109">
        <f t="shared" ca="1" si="30"/>
        <v>0</v>
      </c>
      <c r="M69" s="109">
        <f t="shared" ca="1" si="30"/>
        <v>0</v>
      </c>
      <c r="N69" s="109">
        <f t="shared" ca="1" si="30"/>
        <v>0</v>
      </c>
    </row>
    <row r="70" spans="1:14" ht="15.95" customHeight="1">
      <c r="A70" s="128">
        <f>A15</f>
        <v>42490</v>
      </c>
      <c r="B70" s="109">
        <f t="shared" ca="1" si="30"/>
        <v>0.87906772105397968</v>
      </c>
      <c r="C70" s="109">
        <f t="shared" ca="1" si="30"/>
        <v>0.91883051252365988</v>
      </c>
      <c r="D70" s="109">
        <f t="shared" ca="1" si="30"/>
        <v>1.673987859724968</v>
      </c>
      <c r="E70" s="109">
        <f t="shared" ca="1" si="30"/>
        <v>0.8186761869610808</v>
      </c>
      <c r="F70" s="109">
        <f t="shared" ca="1" si="29"/>
        <v>0</v>
      </c>
      <c r="G70" s="109">
        <f t="shared" ca="1" si="30"/>
        <v>0.9587268107952639</v>
      </c>
      <c r="H70" s="109">
        <f t="shared" ca="1" si="30"/>
        <v>1.2047562159268406</v>
      </c>
      <c r="I70" s="109">
        <f t="shared" ca="1" si="30"/>
        <v>2.1328945664510921</v>
      </c>
      <c r="J70" s="109">
        <f t="shared" ca="1" si="30"/>
        <v>1.9482100819871742</v>
      </c>
      <c r="K70" s="109">
        <f t="shared" ca="1" si="30"/>
        <v>0</v>
      </c>
      <c r="L70" s="109">
        <f t="shared" ca="1" si="30"/>
        <v>0</v>
      </c>
      <c r="M70" s="109">
        <f t="shared" ca="1" si="30"/>
        <v>11.2</v>
      </c>
      <c r="N70" s="109">
        <f t="shared" ca="1" si="30"/>
        <v>0</v>
      </c>
    </row>
    <row r="71" spans="1:14" ht="15.95" customHeight="1">
      <c r="A71" s="128">
        <f>A16</f>
        <v>42521</v>
      </c>
      <c r="B71" s="109">
        <f t="shared" ca="1" si="30"/>
        <v>2.2211364230471737</v>
      </c>
      <c r="C71" s="109">
        <f t="shared" ca="1" si="30"/>
        <v>0.89939111221702905</v>
      </c>
      <c r="D71" s="109">
        <f t="shared" ca="1" si="30"/>
        <v>0.88243670777865746</v>
      </c>
      <c r="E71" s="109">
        <f t="shared" ca="1" si="30"/>
        <v>0.93915214471357822</v>
      </c>
      <c r="F71" s="109">
        <f t="shared" ca="1" si="29"/>
        <v>0</v>
      </c>
      <c r="G71" s="109">
        <f t="shared" ca="1" si="30"/>
        <v>4.7934284618644929</v>
      </c>
      <c r="H71" s="109">
        <f t="shared" ca="1" si="30"/>
        <v>1.5569038286454939</v>
      </c>
      <c r="I71" s="109">
        <f t="shared" ca="1" si="30"/>
        <v>1.7885440178568235</v>
      </c>
      <c r="J71" s="109">
        <f t="shared" ca="1" si="30"/>
        <v>2.8364691623932354</v>
      </c>
      <c r="K71" s="109">
        <f t="shared" ca="1" si="30"/>
        <v>0</v>
      </c>
      <c r="L71" s="109">
        <f t="shared" ca="1" si="30"/>
        <v>0</v>
      </c>
      <c r="M71" s="109">
        <f t="shared" ca="1" si="30"/>
        <v>6</v>
      </c>
      <c r="N71" s="109">
        <f t="shared" ca="1" si="30"/>
        <v>0</v>
      </c>
    </row>
    <row r="72" spans="1:14" ht="15.95" customHeight="1">
      <c r="A72" s="128">
        <v>42551</v>
      </c>
      <c r="B72" s="109">
        <f t="shared" ca="1" si="30"/>
        <v>1.5474770305244034</v>
      </c>
      <c r="C72" s="109">
        <f t="shared" ca="1" si="30"/>
        <v>0.6</v>
      </c>
      <c r="D72" s="109">
        <f t="shared" ca="1" si="30"/>
        <v>0.67</v>
      </c>
      <c r="E72" s="109">
        <f t="shared" ca="1" si="30"/>
        <v>1.01</v>
      </c>
      <c r="F72" s="109">
        <f t="shared" ca="1" si="29"/>
        <v>0</v>
      </c>
      <c r="G72" s="109">
        <f t="shared" ca="1" si="30"/>
        <v>0.99879944306943058</v>
      </c>
      <c r="H72" s="109">
        <f t="shared" ca="1" si="30"/>
        <v>1.3446209158936371</v>
      </c>
      <c r="I72" s="109">
        <f t="shared" ca="1" si="30"/>
        <v>1.04</v>
      </c>
      <c r="J72" s="109">
        <f t="shared" ca="1" si="30"/>
        <v>2.14</v>
      </c>
      <c r="K72" s="109">
        <f t="shared" ca="1" si="30"/>
        <v>0</v>
      </c>
      <c r="L72" s="109">
        <f t="shared" ca="1" si="30"/>
        <v>0</v>
      </c>
      <c r="M72" s="109">
        <f t="shared" ca="1" si="30"/>
        <v>0</v>
      </c>
      <c r="N72" s="109">
        <f t="shared" ca="1" si="30"/>
        <v>0</v>
      </c>
    </row>
    <row r="73" spans="1:14" ht="15.95" customHeight="1">
      <c r="A73" s="128">
        <v>42582</v>
      </c>
      <c r="B73" s="109">
        <f t="shared" ca="1" si="30"/>
        <v>0.98</v>
      </c>
      <c r="C73" s="109">
        <f t="shared" ca="1" si="30"/>
        <v>0.55000000000000004</v>
      </c>
      <c r="D73" s="109">
        <f t="shared" ca="1" si="30"/>
        <v>1.05</v>
      </c>
      <c r="E73" s="109">
        <f t="shared" ca="1" si="30"/>
        <v>0.84</v>
      </c>
      <c r="F73" s="109">
        <f t="shared" ca="1" si="29"/>
        <v>0</v>
      </c>
      <c r="G73" s="109">
        <f t="shared" ca="1" si="30"/>
        <v>1.36</v>
      </c>
      <c r="H73" s="109">
        <f t="shared" ca="1" si="30"/>
        <v>1.3</v>
      </c>
      <c r="I73" s="109">
        <f t="shared" ca="1" si="30"/>
        <v>1.55</v>
      </c>
      <c r="J73" s="109">
        <f t="shared" ca="1" si="30"/>
        <v>1.95</v>
      </c>
      <c r="K73" s="109">
        <f t="shared" ca="1" si="30"/>
        <v>0</v>
      </c>
      <c r="L73" s="109">
        <f t="shared" ca="1" si="30"/>
        <v>0</v>
      </c>
      <c r="M73" s="109">
        <f t="shared" ca="1" si="30"/>
        <v>0.53</v>
      </c>
      <c r="N73" s="109">
        <f t="shared" ca="1" si="30"/>
        <v>4.6100000000000003</v>
      </c>
    </row>
    <row r="74" spans="1:14" ht="15.95" customHeight="1">
      <c r="A74" s="128">
        <v>42613</v>
      </c>
      <c r="B74" s="109">
        <f t="shared" ref="B74:N75" ca="1" si="31">SUMIF(INDIRECT(B$3&amp;"!$A:$A"),$A74,INDIRECT(B$3&amp;"!$K:$K"))</f>
        <v>1.7593960345292667</v>
      </c>
      <c r="C74" s="109">
        <f t="shared" ca="1" si="31"/>
        <v>1.52</v>
      </c>
      <c r="D74" s="109">
        <f t="shared" ca="1" si="31"/>
        <v>1.72</v>
      </c>
      <c r="E74" s="109">
        <f t="shared" ca="1" si="31"/>
        <v>1.33</v>
      </c>
      <c r="F74" s="109">
        <f t="shared" ca="1" si="29"/>
        <v>0</v>
      </c>
      <c r="G74" s="109">
        <f t="shared" ca="1" si="31"/>
        <v>1.7</v>
      </c>
      <c r="H74" s="109">
        <f t="shared" ca="1" si="31"/>
        <v>1.44</v>
      </c>
      <c r="I74" s="109">
        <f t="shared" ca="1" si="31"/>
        <v>1.75</v>
      </c>
      <c r="J74" s="109">
        <f t="shared" ca="1" si="31"/>
        <v>3.3406966919767518</v>
      </c>
      <c r="K74" s="109">
        <f t="shared" ca="1" si="31"/>
        <v>0</v>
      </c>
      <c r="L74" s="109">
        <f t="shared" ca="1" si="31"/>
        <v>0</v>
      </c>
      <c r="M74" s="109">
        <f t="shared" ca="1" si="31"/>
        <v>0.92260599658838749</v>
      </c>
      <c r="N74" s="109">
        <f t="shared" ca="1" si="31"/>
        <v>1.66</v>
      </c>
    </row>
    <row r="75" spans="1:14" ht="15.95" customHeight="1">
      <c r="A75" s="128">
        <v>42643</v>
      </c>
      <c r="B75" s="109">
        <f t="shared" ca="1" si="31"/>
        <v>2.9249942313924251</v>
      </c>
      <c r="C75" s="109">
        <f t="shared" ca="1" si="31"/>
        <v>1.2011278590596568</v>
      </c>
      <c r="D75" s="109">
        <f t="shared" ca="1" si="31"/>
        <v>1.7884364806976605</v>
      </c>
      <c r="E75" s="109">
        <f t="shared" ca="1" si="31"/>
        <v>0</v>
      </c>
      <c r="F75" s="109">
        <f t="shared" ca="1" si="29"/>
        <v>0</v>
      </c>
      <c r="G75" s="109">
        <f t="shared" ca="1" si="31"/>
        <v>1</v>
      </c>
      <c r="H75" s="109">
        <f t="shared" ca="1" si="31"/>
        <v>2.9628370309949674</v>
      </c>
      <c r="I75" s="109">
        <f t="shared" ca="1" si="31"/>
        <v>2.4513226207330465</v>
      </c>
      <c r="J75" s="109">
        <f t="shared" ca="1" si="31"/>
        <v>2.2853343952819229</v>
      </c>
      <c r="K75" s="109">
        <f t="shared" ca="1" si="31"/>
        <v>0</v>
      </c>
      <c r="L75" s="109">
        <f t="shared" ca="1" si="31"/>
        <v>0</v>
      </c>
      <c r="M75" s="109">
        <f t="shared" ca="1" si="31"/>
        <v>0.9513378188076983</v>
      </c>
      <c r="N75" s="109">
        <f t="shared" ca="1" si="31"/>
        <v>2.9443459724291445</v>
      </c>
    </row>
    <row r="76" spans="1:14" ht="15.95" customHeight="1">
      <c r="A76" s="128">
        <f t="shared" ref="A76:A104" si="32">A21</f>
        <v>42644</v>
      </c>
      <c r="B76" s="109">
        <f t="shared" ca="1" si="30"/>
        <v>0</v>
      </c>
      <c r="C76" s="109">
        <f t="shared" ca="1" si="30"/>
        <v>0</v>
      </c>
      <c r="D76" s="109">
        <f t="shared" ca="1" si="30"/>
        <v>0</v>
      </c>
      <c r="E76" s="109">
        <f t="shared" ca="1" si="30"/>
        <v>0</v>
      </c>
      <c r="F76" s="109">
        <f t="shared" ca="1" si="29"/>
        <v>6</v>
      </c>
      <c r="G76" s="109">
        <f t="shared" ca="1" si="30"/>
        <v>0</v>
      </c>
      <c r="H76" s="109">
        <f t="shared" ca="1" si="30"/>
        <v>0.23882536134277171</v>
      </c>
      <c r="I76" s="109">
        <f t="shared" ca="1" si="30"/>
        <v>0.74218865000585088</v>
      </c>
      <c r="J76" s="109">
        <f t="shared" ca="1" si="30"/>
        <v>0.74037110361197445</v>
      </c>
      <c r="K76" s="109">
        <f t="shared" ca="1" si="30"/>
        <v>0</v>
      </c>
      <c r="L76" s="109">
        <f t="shared" ca="1" si="30"/>
        <v>0</v>
      </c>
      <c r="M76" s="109">
        <f t="shared" ca="1" si="30"/>
        <v>0.58945697258828589</v>
      </c>
      <c r="N76" s="109">
        <f t="shared" ca="1" si="30"/>
        <v>0</v>
      </c>
    </row>
    <row r="77" spans="1:14" ht="15.95" customHeight="1">
      <c r="A77" s="128">
        <f t="shared" si="32"/>
        <v>42645</v>
      </c>
      <c r="B77" s="109">
        <f t="shared" ca="1" si="30"/>
        <v>1</v>
      </c>
      <c r="C77" s="109">
        <f t="shared" ca="1" si="30"/>
        <v>0</v>
      </c>
      <c r="D77" s="109">
        <f t="shared" ca="1" si="30"/>
        <v>1.7646332209850182</v>
      </c>
      <c r="E77" s="109">
        <f t="shared" ca="1" si="30"/>
        <v>0</v>
      </c>
      <c r="F77" s="109">
        <f t="shared" ca="1" si="29"/>
        <v>9</v>
      </c>
      <c r="G77" s="109">
        <f t="shared" ca="1" si="30"/>
        <v>0</v>
      </c>
      <c r="H77" s="109">
        <f t="shared" ca="1" si="30"/>
        <v>1.1309267630677018</v>
      </c>
      <c r="I77" s="109">
        <f t="shared" ca="1" si="30"/>
        <v>1.3472932373626421</v>
      </c>
      <c r="J77" s="109">
        <f t="shared" ca="1" si="30"/>
        <v>0.80411255324230246</v>
      </c>
      <c r="K77" s="109">
        <f t="shared" ca="1" si="30"/>
        <v>0</v>
      </c>
      <c r="L77" s="109">
        <f t="shared" ca="1" si="30"/>
        <v>0</v>
      </c>
      <c r="M77" s="109">
        <f t="shared" ca="1" si="30"/>
        <v>0.55176736605019538</v>
      </c>
      <c r="N77" s="109">
        <f t="shared" ca="1" si="30"/>
        <v>0</v>
      </c>
    </row>
    <row r="78" spans="1:14" ht="15.95" customHeight="1">
      <c r="A78" s="128">
        <f t="shared" si="32"/>
        <v>42646</v>
      </c>
      <c r="B78" s="109">
        <f t="shared" ca="1" si="30"/>
        <v>1</v>
      </c>
      <c r="C78" s="109">
        <f t="shared" ca="1" si="30"/>
        <v>0</v>
      </c>
      <c r="D78" s="109">
        <f t="shared" ca="1" si="30"/>
        <v>1.1837261331218409</v>
      </c>
      <c r="E78" s="109">
        <f t="shared" ca="1" si="30"/>
        <v>0</v>
      </c>
      <c r="F78" s="109">
        <f t="shared" ca="1" si="29"/>
        <v>10</v>
      </c>
      <c r="G78" s="109">
        <f t="shared" ca="1" si="30"/>
        <v>0</v>
      </c>
      <c r="H78" s="109">
        <f t="shared" ca="1" si="30"/>
        <v>0.9432832104078096</v>
      </c>
      <c r="I78" s="109">
        <f t="shared" ca="1" si="30"/>
        <v>1.7603788335249744</v>
      </c>
      <c r="J78" s="109">
        <f t="shared" ca="1" si="30"/>
        <v>0.67129006510842348</v>
      </c>
      <c r="K78" s="109">
        <f t="shared" ca="1" si="30"/>
        <v>0</v>
      </c>
      <c r="L78" s="109">
        <f t="shared" ca="1" si="30"/>
        <v>0</v>
      </c>
      <c r="M78" s="109">
        <f t="shared" ca="1" si="30"/>
        <v>0.48382219534321136</v>
      </c>
      <c r="N78" s="109">
        <f t="shared" ca="1" si="30"/>
        <v>0.75305174218520565</v>
      </c>
    </row>
    <row r="79" spans="1:14" ht="15.95" customHeight="1">
      <c r="A79" s="128">
        <f t="shared" si="32"/>
        <v>42647</v>
      </c>
      <c r="B79" s="109">
        <f t="shared" ca="1" si="30"/>
        <v>2</v>
      </c>
      <c r="C79" s="109">
        <f t="shared" ca="1" si="30"/>
        <v>0</v>
      </c>
      <c r="D79" s="109">
        <f t="shared" ca="1" si="30"/>
        <v>1.2930337805075158</v>
      </c>
      <c r="E79" s="109">
        <f t="shared" ca="1" si="30"/>
        <v>0</v>
      </c>
      <c r="F79" s="109">
        <f t="shared" ca="1" si="29"/>
        <v>10</v>
      </c>
      <c r="G79" s="109">
        <f t="shared" ca="1" si="30"/>
        <v>0</v>
      </c>
      <c r="H79" s="109">
        <f t="shared" ca="1" si="30"/>
        <v>1.1781893585937133</v>
      </c>
      <c r="I79" s="109">
        <f t="shared" ca="1" si="30"/>
        <v>2.5347585097546377</v>
      </c>
      <c r="J79" s="109">
        <f t="shared" ca="1" si="30"/>
        <v>0.85623952444456808</v>
      </c>
      <c r="K79" s="109">
        <f t="shared" ca="1" si="30"/>
        <v>0</v>
      </c>
      <c r="L79" s="109">
        <f t="shared" ca="1" si="30"/>
        <v>0</v>
      </c>
      <c r="M79" s="109">
        <f t="shared" ca="1" si="30"/>
        <v>0.51507164002673222</v>
      </c>
      <c r="N79" s="109">
        <f t="shared" ca="1" si="30"/>
        <v>0.54797222876744611</v>
      </c>
    </row>
    <row r="80" spans="1:14" ht="15.95" customHeight="1">
      <c r="A80" s="128">
        <f t="shared" si="32"/>
        <v>42648</v>
      </c>
      <c r="B80" s="109">
        <f t="shared" ca="1" si="30"/>
        <v>2</v>
      </c>
      <c r="C80" s="109">
        <f t="shared" ca="1" si="30"/>
        <v>0</v>
      </c>
      <c r="D80" s="109">
        <f t="shared" ca="1" si="30"/>
        <v>1.5189350442617668</v>
      </c>
      <c r="E80" s="109">
        <f t="shared" ca="1" si="30"/>
        <v>0</v>
      </c>
      <c r="F80" s="109">
        <f t="shared" ca="1" si="29"/>
        <v>15</v>
      </c>
      <c r="G80" s="109">
        <f t="shared" ca="1" si="30"/>
        <v>0</v>
      </c>
      <c r="H80" s="109">
        <f t="shared" ca="1" si="30"/>
        <v>1.3067872569947421</v>
      </c>
      <c r="I80" s="109">
        <f t="shared" ca="1" si="30"/>
        <v>2.5215856928589901</v>
      </c>
      <c r="J80" s="109">
        <f t="shared" ca="1" si="30"/>
        <v>1.0665124063122178</v>
      </c>
      <c r="K80" s="109">
        <f t="shared" ca="1" si="30"/>
        <v>0</v>
      </c>
      <c r="L80" s="109">
        <f t="shared" ca="1" si="30"/>
        <v>0</v>
      </c>
      <c r="M80" s="109">
        <f t="shared" ca="1" si="30"/>
        <v>0.64169304292445195</v>
      </c>
      <c r="N80" s="109">
        <f t="shared" ca="1" si="30"/>
        <v>1.0320982557539478</v>
      </c>
    </row>
    <row r="81" spans="1:14" ht="15.95" customHeight="1">
      <c r="A81" s="128">
        <f t="shared" si="32"/>
        <v>42649</v>
      </c>
      <c r="B81" s="109">
        <f t="shared" ca="1" si="30"/>
        <v>2</v>
      </c>
      <c r="C81" s="109">
        <f t="shared" ca="1" si="30"/>
        <v>0</v>
      </c>
      <c r="D81" s="109">
        <f t="shared" ca="1" si="30"/>
        <v>1.4218400316217223</v>
      </c>
      <c r="E81" s="109">
        <f t="shared" ca="1" si="30"/>
        <v>0</v>
      </c>
      <c r="F81" s="109">
        <f t="shared" ca="1" si="29"/>
        <v>17</v>
      </c>
      <c r="G81" s="109">
        <f t="shared" ca="1" si="30"/>
        <v>0</v>
      </c>
      <c r="H81" s="109">
        <f t="shared" ca="1" si="30"/>
        <v>1.4164509254523767</v>
      </c>
      <c r="I81" s="109">
        <f t="shared" ca="1" si="30"/>
        <v>2.3984088422760599</v>
      </c>
      <c r="J81" s="109">
        <f t="shared" ca="1" si="30"/>
        <v>1.2735258428958143</v>
      </c>
      <c r="K81" s="109">
        <f t="shared" ca="1" si="30"/>
        <v>0</v>
      </c>
      <c r="L81" s="109">
        <f t="shared" ca="1" si="30"/>
        <v>0</v>
      </c>
      <c r="M81" s="109">
        <f t="shared" ca="1" si="30"/>
        <v>0.593653117523681</v>
      </c>
      <c r="N81" s="109">
        <f t="shared" ca="1" si="30"/>
        <v>2.0641965115078955</v>
      </c>
    </row>
    <row r="82" spans="1:14" ht="15.95" customHeight="1">
      <c r="A82" s="128">
        <f t="shared" si="32"/>
        <v>42650</v>
      </c>
      <c r="B82" s="109">
        <f t="shared" ca="1" si="30"/>
        <v>2</v>
      </c>
      <c r="C82" s="109">
        <f t="shared" ca="1" si="30"/>
        <v>0</v>
      </c>
      <c r="D82" s="109">
        <f t="shared" ca="1" si="30"/>
        <v>1.627273097107522</v>
      </c>
      <c r="E82" s="109">
        <f t="shared" ca="1" si="30"/>
        <v>0</v>
      </c>
      <c r="F82" s="109">
        <f t="shared" ca="1" si="29"/>
        <v>18</v>
      </c>
      <c r="G82" s="109">
        <f t="shared" ca="1" si="30"/>
        <v>0</v>
      </c>
      <c r="H82" s="109">
        <f t="shared" ca="1" si="30"/>
        <v>1.4182539291890841</v>
      </c>
      <c r="I82" s="109">
        <f t="shared" ca="1" si="30"/>
        <v>2.3874046168256684</v>
      </c>
      <c r="J82" s="109">
        <f t="shared" ca="1" si="30"/>
        <v>1.2098389512205032</v>
      </c>
      <c r="K82" s="109">
        <f t="shared" ca="1" si="30"/>
        <v>0</v>
      </c>
      <c r="L82" s="109">
        <f t="shared" ca="1" si="30"/>
        <v>0</v>
      </c>
      <c r="M82" s="109">
        <f t="shared" ca="1" si="30"/>
        <v>0.56239716166186748</v>
      </c>
      <c r="N82" s="109">
        <f t="shared" ca="1" si="30"/>
        <v>2.0641965115078955</v>
      </c>
    </row>
    <row r="83" spans="1:14" ht="15.95" customHeight="1">
      <c r="A83" s="128">
        <f t="shared" si="32"/>
        <v>42651</v>
      </c>
      <c r="B83" s="109">
        <f t="shared" ca="1" si="30"/>
        <v>4</v>
      </c>
      <c r="C83" s="109">
        <f t="shared" ca="1" si="30"/>
        <v>0</v>
      </c>
      <c r="D83" s="109">
        <f t="shared" ca="1" si="30"/>
        <v>1.4153246636834769</v>
      </c>
      <c r="E83" s="109">
        <f t="shared" ca="1" si="30"/>
        <v>0</v>
      </c>
      <c r="F83" s="109">
        <f t="shared" ca="1" si="29"/>
        <v>18</v>
      </c>
      <c r="G83" s="109">
        <f t="shared" ca="1" si="30"/>
        <v>0</v>
      </c>
      <c r="H83" s="109">
        <f t="shared" ca="1" si="30"/>
        <v>1.3588402751198612</v>
      </c>
      <c r="I83" s="109">
        <f t="shared" ca="1" si="30"/>
        <v>2.3940381970906737</v>
      </c>
      <c r="J83" s="109">
        <f t="shared" ca="1" si="30"/>
        <v>1.1766474132056872</v>
      </c>
      <c r="K83" s="109">
        <f t="shared" ca="1" si="30"/>
        <v>0</v>
      </c>
      <c r="L83" s="109">
        <f t="shared" ca="1" si="30"/>
        <v>0</v>
      </c>
      <c r="M83" s="109">
        <f t="shared" ca="1" si="30"/>
        <v>0.57992950956811207</v>
      </c>
      <c r="N83" s="109">
        <f t="shared" ca="1" si="30"/>
        <v>2.0641965115078955</v>
      </c>
    </row>
    <row r="84" spans="1:14" ht="15.95" customHeight="1">
      <c r="A84" s="128">
        <f t="shared" si="32"/>
        <v>42652</v>
      </c>
      <c r="B84" s="109">
        <f t="shared" ca="1" si="30"/>
        <v>4</v>
      </c>
      <c r="C84" s="109">
        <f t="shared" ca="1" si="30"/>
        <v>0</v>
      </c>
      <c r="D84" s="109">
        <f t="shared" ca="1" si="30"/>
        <v>1.076534420393868</v>
      </c>
      <c r="E84" s="109">
        <f t="shared" ca="1" si="30"/>
        <v>0</v>
      </c>
      <c r="F84" s="109">
        <f t="shared" ref="F84:F104" ca="1" si="33">SUMIF(INDIRECT(F$3&amp;"!$A:$A"),$A84,INDIRECT(F$3&amp;"!$K:$K"))</f>
        <v>19</v>
      </c>
      <c r="G84" s="109">
        <f t="shared" ca="1" si="30"/>
        <v>0</v>
      </c>
      <c r="H84" s="109">
        <f t="shared" ca="1" si="30"/>
        <v>1.3950280780788844</v>
      </c>
      <c r="I84" s="109">
        <f t="shared" ca="1" si="30"/>
        <v>2.4249742461181079</v>
      </c>
      <c r="J84" s="109">
        <f t="shared" ca="1" si="30"/>
        <v>1.138515171283915</v>
      </c>
      <c r="K84" s="109">
        <f t="shared" ca="1" si="30"/>
        <v>0</v>
      </c>
      <c r="L84" s="109">
        <f t="shared" ca="1" si="30"/>
        <v>0</v>
      </c>
      <c r="M84" s="109">
        <f t="shared" ca="1" si="30"/>
        <v>0.57962851267664606</v>
      </c>
      <c r="N84" s="109">
        <f t="shared" ca="1" si="30"/>
        <v>2.0641965115078955</v>
      </c>
    </row>
    <row r="85" spans="1:14" ht="15.95" customHeight="1">
      <c r="A85" s="128">
        <f t="shared" si="32"/>
        <v>42653</v>
      </c>
      <c r="B85" s="109">
        <f t="shared" ca="1" si="30"/>
        <v>5</v>
      </c>
      <c r="C85" s="109">
        <f t="shared" ca="1" si="30"/>
        <v>0</v>
      </c>
      <c r="D85" s="109">
        <f t="shared" ca="1" si="30"/>
        <v>1.3578818250535232</v>
      </c>
      <c r="E85" s="109">
        <f t="shared" ca="1" si="30"/>
        <v>0</v>
      </c>
      <c r="F85" s="109">
        <f t="shared" ca="1" si="33"/>
        <v>10.162159023271345</v>
      </c>
      <c r="G85" s="109">
        <f t="shared" ca="1" si="30"/>
        <v>0</v>
      </c>
      <c r="H85" s="109">
        <f t="shared" ca="1" si="30"/>
        <v>1.4895239299466965</v>
      </c>
      <c r="I85" s="109">
        <f t="shared" ca="1" si="30"/>
        <v>2.4803249771391545</v>
      </c>
      <c r="J85" s="109">
        <f t="shared" ca="1" si="30"/>
        <v>1.172285279032937</v>
      </c>
      <c r="K85" s="109">
        <f t="shared" ca="1" si="30"/>
        <v>0</v>
      </c>
      <c r="L85" s="109">
        <f t="shared" ca="1" si="30"/>
        <v>0</v>
      </c>
      <c r="M85" s="109">
        <f t="shared" ca="1" si="30"/>
        <v>0.58814073031394942</v>
      </c>
      <c r="N85" s="109">
        <f t="shared" ca="1" si="30"/>
        <v>2.0641965115078955</v>
      </c>
    </row>
    <row r="86" spans="1:14" ht="15.95" customHeight="1">
      <c r="A86" s="128">
        <f t="shared" si="32"/>
        <v>42654</v>
      </c>
      <c r="B86" s="109">
        <f t="shared" ca="1" si="30"/>
        <v>5</v>
      </c>
      <c r="C86" s="109">
        <f t="shared" ca="1" si="30"/>
        <v>0</v>
      </c>
      <c r="D86" s="109">
        <f t="shared" ca="1" si="30"/>
        <v>1.3340910970764728</v>
      </c>
      <c r="E86" s="109">
        <f t="shared" ca="1" si="30"/>
        <v>0</v>
      </c>
      <c r="F86" s="109">
        <f t="shared" ca="1" si="33"/>
        <v>7.3646426707396344</v>
      </c>
      <c r="G86" s="109">
        <f t="shared" ca="1" si="30"/>
        <v>0</v>
      </c>
      <c r="H86" s="109">
        <f t="shared" ca="1" si="30"/>
        <v>1.5075648662761696</v>
      </c>
      <c r="I86" s="109">
        <f t="shared" ca="1" si="30"/>
        <v>2.5137136386886199</v>
      </c>
      <c r="J86" s="109">
        <f t="shared" ca="1" si="30"/>
        <v>1.3834490306633793</v>
      </c>
      <c r="K86" s="109">
        <f t="shared" ca="1" si="30"/>
        <v>0</v>
      </c>
      <c r="L86" s="109">
        <f t="shared" ca="1" si="30"/>
        <v>0</v>
      </c>
      <c r="M86" s="109">
        <f t="shared" ca="1" si="30"/>
        <v>0.65983455119939072</v>
      </c>
      <c r="N86" s="109">
        <f t="shared" ca="1" si="30"/>
        <v>2.0641965115078955</v>
      </c>
    </row>
    <row r="87" spans="1:14" ht="15.95" customHeight="1">
      <c r="A87" s="128">
        <f t="shared" si="32"/>
        <v>42655</v>
      </c>
      <c r="B87" s="109">
        <f t="shared" ca="1" si="30"/>
        <v>5</v>
      </c>
      <c r="C87" s="109">
        <f t="shared" ca="1" si="30"/>
        <v>0.18622286034589036</v>
      </c>
      <c r="D87" s="109">
        <f t="shared" ca="1" si="30"/>
        <v>1.2074261538164326</v>
      </c>
      <c r="E87" s="109">
        <f t="shared" ca="1" si="30"/>
        <v>0</v>
      </c>
      <c r="F87" s="109">
        <f t="shared" ca="1" si="33"/>
        <v>6.3167203587897172</v>
      </c>
      <c r="G87" s="109">
        <f t="shared" ca="1" si="30"/>
        <v>0</v>
      </c>
      <c r="H87" s="109">
        <f t="shared" ca="1" si="30"/>
        <v>1.5541276045161274</v>
      </c>
      <c r="I87" s="109">
        <f t="shared" ca="1" si="30"/>
        <v>2.5065172264198408</v>
      </c>
      <c r="J87" s="109">
        <f t="shared" ca="1" si="30"/>
        <v>1.4055647714867934</v>
      </c>
      <c r="K87" s="109">
        <f t="shared" ca="1" si="30"/>
        <v>0</v>
      </c>
      <c r="L87" s="109">
        <f t="shared" ca="1" si="30"/>
        <v>0</v>
      </c>
      <c r="M87" s="109">
        <f t="shared" ca="1" si="30"/>
        <v>0.72547333356508181</v>
      </c>
      <c r="N87" s="109">
        <f t="shared" ca="1" si="30"/>
        <v>2.0599443815016993</v>
      </c>
    </row>
    <row r="88" spans="1:14" ht="15.95" customHeight="1">
      <c r="A88" s="128">
        <f t="shared" si="32"/>
        <v>42656</v>
      </c>
      <c r="B88" s="109">
        <f t="shared" ca="1" si="30"/>
        <v>6</v>
      </c>
      <c r="C88" s="109">
        <f t="shared" ca="1" si="30"/>
        <v>0.34073523849763016</v>
      </c>
      <c r="D88" s="109">
        <f t="shared" ca="1" si="30"/>
        <v>1.4245810361964126</v>
      </c>
      <c r="E88" s="109">
        <f t="shared" ca="1" si="30"/>
        <v>0</v>
      </c>
      <c r="F88" s="109">
        <f t="shared" ca="1" si="33"/>
        <v>6.2697749822542983</v>
      </c>
      <c r="G88" s="109">
        <f t="shared" ca="1" si="30"/>
        <v>0</v>
      </c>
      <c r="H88" s="109">
        <f t="shared" ca="1" si="30"/>
        <v>1.6169619650547284</v>
      </c>
      <c r="I88" s="109">
        <f t="shared" ca="1" si="30"/>
        <v>2.5237477955465728</v>
      </c>
      <c r="J88" s="109">
        <f t="shared" ca="1" si="30"/>
        <v>1.5715830285730983</v>
      </c>
      <c r="K88" s="109">
        <f t="shared" ca="1" si="30"/>
        <v>0</v>
      </c>
      <c r="L88" s="109">
        <f t="shared" ca="1" si="30"/>
        <v>0</v>
      </c>
      <c r="M88" s="109">
        <f t="shared" ca="1" si="30"/>
        <v>0.76491285877355042</v>
      </c>
      <c r="N88" s="109">
        <f t="shared" ca="1" si="30"/>
        <v>2.0539152759948651</v>
      </c>
    </row>
    <row r="89" spans="1:14" ht="15.95" customHeight="1">
      <c r="A89" s="128">
        <f t="shared" si="32"/>
        <v>42657</v>
      </c>
      <c r="B89" s="109">
        <f t="shared" ca="1" si="30"/>
        <v>6</v>
      </c>
      <c r="C89" s="109">
        <f t="shared" ca="1" si="30"/>
        <v>0.31398850174106624</v>
      </c>
      <c r="D89" s="109">
        <f t="shared" ca="1" si="30"/>
        <v>1.5896671634376554</v>
      </c>
      <c r="E89" s="109">
        <f t="shared" ca="1" si="30"/>
        <v>0</v>
      </c>
      <c r="F89" s="109">
        <f t="shared" ca="1" si="33"/>
        <v>6.4887989904323771</v>
      </c>
      <c r="G89" s="109">
        <f t="shared" ca="1" si="30"/>
        <v>0</v>
      </c>
      <c r="H89" s="109">
        <f t="shared" ca="1" si="30"/>
        <v>1.6169468534631943</v>
      </c>
      <c r="I89" s="109">
        <f t="shared" ca="1" si="30"/>
        <v>2.4907356829495817</v>
      </c>
      <c r="J89" s="109">
        <f t="shared" ca="1" si="30"/>
        <v>1.5264148231669892</v>
      </c>
      <c r="K89" s="109">
        <f t="shared" ca="1" si="30"/>
        <v>0</v>
      </c>
      <c r="L89" s="109">
        <f t="shared" ca="1" si="30"/>
        <v>0</v>
      </c>
      <c r="M89" s="109">
        <f t="shared" ca="1" si="30"/>
        <v>0.77527593362604308</v>
      </c>
      <c r="N89" s="109">
        <f t="shared" ca="1" si="30"/>
        <v>2.0452930137903884</v>
      </c>
    </row>
    <row r="90" spans="1:14" ht="15.95" customHeight="1">
      <c r="A90" s="128">
        <f t="shared" si="32"/>
        <v>42658</v>
      </c>
      <c r="B90" s="109">
        <f t="shared" ca="1" si="30"/>
        <v>0</v>
      </c>
      <c r="C90" s="109">
        <f t="shared" ca="1" si="30"/>
        <v>0</v>
      </c>
      <c r="D90" s="109">
        <f t="shared" ca="1" si="30"/>
        <v>0</v>
      </c>
      <c r="E90" s="109">
        <f t="shared" ca="1" si="30"/>
        <v>0</v>
      </c>
      <c r="F90" s="109">
        <f t="shared" ca="1" si="33"/>
        <v>0</v>
      </c>
      <c r="G90" s="109">
        <f t="shared" ca="1" si="30"/>
        <v>0</v>
      </c>
      <c r="H90" s="109">
        <f t="shared" ca="1" si="30"/>
        <v>0</v>
      </c>
      <c r="I90" s="109">
        <f t="shared" ca="1" si="30"/>
        <v>0</v>
      </c>
      <c r="J90" s="109">
        <f t="shared" ca="1" si="30"/>
        <v>0</v>
      </c>
      <c r="K90" s="109">
        <f t="shared" ca="1" si="30"/>
        <v>0</v>
      </c>
      <c r="L90" s="109">
        <f t="shared" ca="1" si="30"/>
        <v>0</v>
      </c>
      <c r="M90" s="109">
        <f t="shared" ca="1" si="30"/>
        <v>0</v>
      </c>
      <c r="N90" s="109">
        <f t="shared" ca="1" si="30"/>
        <v>0</v>
      </c>
    </row>
    <row r="91" spans="1:14" ht="15.95" customHeight="1">
      <c r="A91" s="128">
        <f t="shared" si="32"/>
        <v>42659</v>
      </c>
      <c r="B91" s="109">
        <f t="shared" ca="1" si="30"/>
        <v>0</v>
      </c>
      <c r="C91" s="109">
        <f t="shared" ca="1" si="30"/>
        <v>0</v>
      </c>
      <c r="D91" s="109">
        <f t="shared" ca="1" si="30"/>
        <v>0</v>
      </c>
      <c r="E91" s="109">
        <f t="shared" ca="1" si="30"/>
        <v>0</v>
      </c>
      <c r="F91" s="109">
        <f t="shared" ca="1" si="33"/>
        <v>0</v>
      </c>
      <c r="G91" s="109">
        <f t="shared" ca="1" si="30"/>
        <v>0</v>
      </c>
      <c r="H91" s="109">
        <f t="shared" ref="C91:N101" ca="1" si="34">SUMIF(INDIRECT(H$3&amp;"!$A:$A"),$A91,INDIRECT(H$3&amp;"!$K:$K"))</f>
        <v>0</v>
      </c>
      <c r="I91" s="109">
        <f t="shared" ca="1" si="34"/>
        <v>0</v>
      </c>
      <c r="J91" s="109">
        <f t="shared" ca="1" si="34"/>
        <v>0</v>
      </c>
      <c r="K91" s="109">
        <f t="shared" ca="1" si="34"/>
        <v>0</v>
      </c>
      <c r="L91" s="109">
        <f t="shared" ca="1" si="34"/>
        <v>0</v>
      </c>
      <c r="M91" s="109">
        <f t="shared" ca="1" si="34"/>
        <v>0</v>
      </c>
      <c r="N91" s="109">
        <f t="shared" ca="1" si="34"/>
        <v>0</v>
      </c>
    </row>
    <row r="92" spans="1:14" ht="15.95" customHeight="1">
      <c r="A92" s="128">
        <f t="shared" si="32"/>
        <v>42660</v>
      </c>
      <c r="B92" s="109">
        <f t="shared" ca="1" si="30"/>
        <v>0</v>
      </c>
      <c r="C92" s="109">
        <f t="shared" ca="1" si="34"/>
        <v>0</v>
      </c>
      <c r="D92" s="109">
        <f t="shared" ca="1" si="34"/>
        <v>0</v>
      </c>
      <c r="E92" s="109">
        <f t="shared" ca="1" si="34"/>
        <v>0</v>
      </c>
      <c r="F92" s="109">
        <f t="shared" ca="1" si="33"/>
        <v>0</v>
      </c>
      <c r="G92" s="109">
        <f t="shared" ca="1" si="34"/>
        <v>0</v>
      </c>
      <c r="H92" s="109">
        <f t="shared" ca="1" si="34"/>
        <v>0</v>
      </c>
      <c r="I92" s="109">
        <f t="shared" ca="1" si="34"/>
        <v>0</v>
      </c>
      <c r="J92" s="109">
        <f t="shared" ca="1" si="34"/>
        <v>0</v>
      </c>
      <c r="K92" s="109">
        <f t="shared" ca="1" si="34"/>
        <v>0</v>
      </c>
      <c r="L92" s="109">
        <f t="shared" ca="1" si="34"/>
        <v>0</v>
      </c>
      <c r="M92" s="109">
        <f t="shared" ca="1" si="34"/>
        <v>0</v>
      </c>
      <c r="N92" s="109">
        <f t="shared" ca="1" si="34"/>
        <v>0</v>
      </c>
    </row>
    <row r="93" spans="1:14" ht="15.95" customHeight="1">
      <c r="A93" s="128">
        <f t="shared" si="32"/>
        <v>42661</v>
      </c>
      <c r="B93" s="109">
        <f t="shared" ca="1" si="30"/>
        <v>0</v>
      </c>
      <c r="C93" s="109">
        <f t="shared" ca="1" si="34"/>
        <v>0</v>
      </c>
      <c r="D93" s="109">
        <f t="shared" ca="1" si="34"/>
        <v>0</v>
      </c>
      <c r="E93" s="109">
        <f t="shared" ca="1" si="34"/>
        <v>0</v>
      </c>
      <c r="F93" s="109">
        <f t="shared" ca="1" si="33"/>
        <v>0</v>
      </c>
      <c r="G93" s="109">
        <f t="shared" ca="1" si="34"/>
        <v>0</v>
      </c>
      <c r="H93" s="109">
        <f t="shared" ca="1" si="34"/>
        <v>0</v>
      </c>
      <c r="I93" s="109">
        <f t="shared" ca="1" si="34"/>
        <v>0</v>
      </c>
      <c r="J93" s="109">
        <f t="shared" ca="1" si="34"/>
        <v>0</v>
      </c>
      <c r="K93" s="109">
        <f t="shared" ca="1" si="34"/>
        <v>0</v>
      </c>
      <c r="L93" s="109">
        <f t="shared" ca="1" si="34"/>
        <v>0</v>
      </c>
      <c r="M93" s="109">
        <f t="shared" ca="1" si="34"/>
        <v>0</v>
      </c>
      <c r="N93" s="109">
        <f t="shared" ca="1" si="34"/>
        <v>0</v>
      </c>
    </row>
    <row r="94" spans="1:14" ht="15.95" customHeight="1">
      <c r="A94" s="128">
        <f t="shared" si="32"/>
        <v>42662</v>
      </c>
      <c r="B94" s="109">
        <f t="shared" ca="1" si="30"/>
        <v>0</v>
      </c>
      <c r="C94" s="109">
        <f t="shared" ca="1" si="34"/>
        <v>0</v>
      </c>
      <c r="D94" s="109">
        <f t="shared" ca="1" si="34"/>
        <v>0</v>
      </c>
      <c r="E94" s="109">
        <f t="shared" ca="1" si="34"/>
        <v>0</v>
      </c>
      <c r="F94" s="109">
        <f t="shared" ca="1" si="33"/>
        <v>0</v>
      </c>
      <c r="G94" s="109">
        <f t="shared" ca="1" si="34"/>
        <v>0</v>
      </c>
      <c r="H94" s="109">
        <f t="shared" ca="1" si="34"/>
        <v>0</v>
      </c>
      <c r="I94" s="109">
        <f t="shared" ca="1" si="34"/>
        <v>0</v>
      </c>
      <c r="J94" s="109">
        <f t="shared" ca="1" si="34"/>
        <v>0</v>
      </c>
      <c r="K94" s="109">
        <f t="shared" ca="1" si="34"/>
        <v>0</v>
      </c>
      <c r="L94" s="109">
        <f t="shared" ca="1" si="34"/>
        <v>0</v>
      </c>
      <c r="M94" s="109">
        <f t="shared" ca="1" si="34"/>
        <v>0</v>
      </c>
      <c r="N94" s="109">
        <f t="shared" ca="1" si="34"/>
        <v>0</v>
      </c>
    </row>
    <row r="95" spans="1:14" ht="15.95" customHeight="1">
      <c r="A95" s="128">
        <f t="shared" si="32"/>
        <v>42663</v>
      </c>
      <c r="B95" s="109">
        <f t="shared" ca="1" si="30"/>
        <v>0</v>
      </c>
      <c r="C95" s="109">
        <f t="shared" ca="1" si="34"/>
        <v>0</v>
      </c>
      <c r="D95" s="109">
        <f t="shared" ca="1" si="34"/>
        <v>0</v>
      </c>
      <c r="E95" s="109">
        <f t="shared" ca="1" si="34"/>
        <v>0</v>
      </c>
      <c r="F95" s="109">
        <f t="shared" ca="1" si="33"/>
        <v>0</v>
      </c>
      <c r="G95" s="109">
        <f t="shared" ca="1" si="34"/>
        <v>0</v>
      </c>
      <c r="H95" s="109">
        <f t="shared" ca="1" si="34"/>
        <v>0</v>
      </c>
      <c r="I95" s="109">
        <f t="shared" ca="1" si="34"/>
        <v>0</v>
      </c>
      <c r="J95" s="109">
        <f t="shared" ca="1" si="34"/>
        <v>0</v>
      </c>
      <c r="K95" s="109">
        <f t="shared" ca="1" si="34"/>
        <v>0</v>
      </c>
      <c r="L95" s="109">
        <f t="shared" ca="1" si="34"/>
        <v>0</v>
      </c>
      <c r="M95" s="109">
        <f t="shared" ca="1" si="34"/>
        <v>0</v>
      </c>
      <c r="N95" s="109">
        <f t="shared" ca="1" si="34"/>
        <v>0</v>
      </c>
    </row>
    <row r="96" spans="1:14" ht="15.95" customHeight="1">
      <c r="A96" s="128">
        <f t="shared" si="32"/>
        <v>42664</v>
      </c>
      <c r="B96" s="109">
        <f t="shared" ca="1" si="30"/>
        <v>0</v>
      </c>
      <c r="C96" s="109">
        <f t="shared" ca="1" si="34"/>
        <v>0</v>
      </c>
      <c r="D96" s="109">
        <f t="shared" ca="1" si="34"/>
        <v>0</v>
      </c>
      <c r="E96" s="109">
        <f t="shared" ca="1" si="34"/>
        <v>0</v>
      </c>
      <c r="F96" s="109">
        <f t="shared" ca="1" si="33"/>
        <v>0</v>
      </c>
      <c r="G96" s="109">
        <f t="shared" ca="1" si="34"/>
        <v>0</v>
      </c>
      <c r="H96" s="109">
        <f t="shared" ca="1" si="34"/>
        <v>0</v>
      </c>
      <c r="I96" s="109">
        <f t="shared" ca="1" si="34"/>
        <v>0</v>
      </c>
      <c r="J96" s="109">
        <f t="shared" ca="1" si="34"/>
        <v>0</v>
      </c>
      <c r="K96" s="109">
        <f t="shared" ca="1" si="34"/>
        <v>0</v>
      </c>
      <c r="L96" s="109">
        <f t="shared" ca="1" si="34"/>
        <v>0</v>
      </c>
      <c r="M96" s="109">
        <f t="shared" ca="1" si="34"/>
        <v>0</v>
      </c>
      <c r="N96" s="109">
        <f t="shared" ca="1" si="34"/>
        <v>0</v>
      </c>
    </row>
    <row r="97" spans="1:21" ht="15.95" customHeight="1">
      <c r="A97" s="128">
        <f t="shared" si="32"/>
        <v>42665</v>
      </c>
      <c r="B97" s="109">
        <f t="shared" ca="1" si="30"/>
        <v>0</v>
      </c>
      <c r="C97" s="109">
        <f t="shared" ca="1" si="34"/>
        <v>0</v>
      </c>
      <c r="D97" s="109">
        <f t="shared" ca="1" si="34"/>
        <v>0</v>
      </c>
      <c r="E97" s="109">
        <f t="shared" ca="1" si="34"/>
        <v>0</v>
      </c>
      <c r="F97" s="109">
        <f t="shared" ca="1" si="33"/>
        <v>0</v>
      </c>
      <c r="G97" s="109">
        <f t="shared" ca="1" si="34"/>
        <v>0</v>
      </c>
      <c r="H97" s="109">
        <f t="shared" ca="1" si="34"/>
        <v>0</v>
      </c>
      <c r="I97" s="109">
        <f t="shared" ca="1" si="34"/>
        <v>0</v>
      </c>
      <c r="J97" s="109">
        <f t="shared" ca="1" si="34"/>
        <v>0</v>
      </c>
      <c r="K97" s="109">
        <f t="shared" ca="1" si="34"/>
        <v>0</v>
      </c>
      <c r="L97" s="109">
        <f t="shared" ca="1" si="34"/>
        <v>0</v>
      </c>
      <c r="M97" s="109">
        <f t="shared" ca="1" si="34"/>
        <v>0</v>
      </c>
      <c r="N97" s="109">
        <f t="shared" ca="1" si="34"/>
        <v>0</v>
      </c>
    </row>
    <row r="98" spans="1:21" ht="15.95" customHeight="1">
      <c r="A98" s="128">
        <f t="shared" si="32"/>
        <v>42666</v>
      </c>
      <c r="B98" s="109">
        <f t="shared" ca="1" si="30"/>
        <v>0</v>
      </c>
      <c r="C98" s="109">
        <f t="shared" ca="1" si="34"/>
        <v>0</v>
      </c>
      <c r="D98" s="109">
        <f t="shared" ca="1" si="34"/>
        <v>0</v>
      </c>
      <c r="E98" s="109">
        <f t="shared" ca="1" si="34"/>
        <v>0</v>
      </c>
      <c r="F98" s="109">
        <f t="shared" ca="1" si="33"/>
        <v>0</v>
      </c>
      <c r="G98" s="109">
        <f t="shared" ca="1" si="34"/>
        <v>0</v>
      </c>
      <c r="H98" s="109">
        <f t="shared" ca="1" si="34"/>
        <v>0</v>
      </c>
      <c r="I98" s="109">
        <f t="shared" ca="1" si="34"/>
        <v>0</v>
      </c>
      <c r="J98" s="109">
        <f t="shared" ca="1" si="34"/>
        <v>0</v>
      </c>
      <c r="K98" s="109">
        <f t="shared" ca="1" si="34"/>
        <v>0</v>
      </c>
      <c r="L98" s="109">
        <f t="shared" ca="1" si="34"/>
        <v>0</v>
      </c>
      <c r="M98" s="109">
        <f t="shared" ca="1" si="34"/>
        <v>0</v>
      </c>
      <c r="N98" s="109">
        <f t="shared" ca="1" si="34"/>
        <v>0</v>
      </c>
    </row>
    <row r="99" spans="1:21" ht="15.95" customHeight="1">
      <c r="A99" s="128">
        <f t="shared" si="32"/>
        <v>42667</v>
      </c>
      <c r="B99" s="109">
        <f t="shared" ca="1" si="30"/>
        <v>0</v>
      </c>
      <c r="C99" s="109">
        <f t="shared" ca="1" si="34"/>
        <v>0</v>
      </c>
      <c r="D99" s="109">
        <f t="shared" ca="1" si="34"/>
        <v>0</v>
      </c>
      <c r="E99" s="109">
        <f t="shared" ca="1" si="34"/>
        <v>0</v>
      </c>
      <c r="F99" s="109">
        <f t="shared" ca="1" si="33"/>
        <v>0</v>
      </c>
      <c r="G99" s="109">
        <f t="shared" ca="1" si="34"/>
        <v>0</v>
      </c>
      <c r="H99" s="109">
        <f t="shared" ca="1" si="34"/>
        <v>0</v>
      </c>
      <c r="I99" s="109">
        <f t="shared" ca="1" si="34"/>
        <v>0</v>
      </c>
      <c r="J99" s="109">
        <f t="shared" ca="1" si="34"/>
        <v>0</v>
      </c>
      <c r="K99" s="109">
        <f t="shared" ca="1" si="34"/>
        <v>0</v>
      </c>
      <c r="L99" s="109">
        <f t="shared" ca="1" si="34"/>
        <v>0</v>
      </c>
      <c r="M99" s="109">
        <f t="shared" ca="1" si="34"/>
        <v>0</v>
      </c>
      <c r="N99" s="109">
        <f t="shared" ca="1" si="34"/>
        <v>0</v>
      </c>
    </row>
    <row r="100" spans="1:21" ht="15.95" customHeight="1">
      <c r="A100" s="128">
        <f t="shared" si="32"/>
        <v>42668</v>
      </c>
      <c r="B100" s="109">
        <f t="shared" ca="1" si="30"/>
        <v>0</v>
      </c>
      <c r="C100" s="109">
        <f t="shared" ca="1" si="34"/>
        <v>0</v>
      </c>
      <c r="D100" s="109">
        <f t="shared" ca="1" si="34"/>
        <v>0</v>
      </c>
      <c r="E100" s="109">
        <f t="shared" ca="1" si="34"/>
        <v>0</v>
      </c>
      <c r="F100" s="109">
        <f t="shared" ca="1" si="33"/>
        <v>0</v>
      </c>
      <c r="G100" s="109">
        <f t="shared" ca="1" si="34"/>
        <v>0</v>
      </c>
      <c r="H100" s="109">
        <f t="shared" ca="1" si="34"/>
        <v>0</v>
      </c>
      <c r="I100" s="109">
        <f t="shared" ca="1" si="34"/>
        <v>0</v>
      </c>
      <c r="J100" s="109">
        <f t="shared" ca="1" si="34"/>
        <v>0</v>
      </c>
      <c r="K100" s="109">
        <f t="shared" ca="1" si="34"/>
        <v>0</v>
      </c>
      <c r="L100" s="109">
        <f t="shared" ca="1" si="34"/>
        <v>0</v>
      </c>
      <c r="M100" s="109">
        <f t="shared" ca="1" si="34"/>
        <v>0</v>
      </c>
      <c r="N100" s="109">
        <f t="shared" ca="1" si="34"/>
        <v>0</v>
      </c>
    </row>
    <row r="101" spans="1:21" ht="15.95" customHeight="1">
      <c r="A101" s="128">
        <f t="shared" si="32"/>
        <v>42669</v>
      </c>
      <c r="B101" s="109">
        <f t="shared" ca="1" si="30"/>
        <v>0</v>
      </c>
      <c r="C101" s="109">
        <f t="shared" ca="1" si="34"/>
        <v>0</v>
      </c>
      <c r="D101" s="109">
        <f t="shared" ca="1" si="34"/>
        <v>0</v>
      </c>
      <c r="E101" s="109">
        <f t="shared" ca="1" si="34"/>
        <v>0</v>
      </c>
      <c r="F101" s="109">
        <f t="shared" ca="1" si="33"/>
        <v>0</v>
      </c>
      <c r="G101" s="109">
        <f t="shared" ca="1" si="34"/>
        <v>0</v>
      </c>
      <c r="H101" s="109">
        <f t="shared" ca="1" si="34"/>
        <v>0</v>
      </c>
      <c r="I101" s="109">
        <f t="shared" ca="1" si="34"/>
        <v>0</v>
      </c>
      <c r="J101" s="109">
        <f t="shared" ca="1" si="34"/>
        <v>0</v>
      </c>
      <c r="K101" s="109">
        <f t="shared" ca="1" si="34"/>
        <v>0</v>
      </c>
      <c r="L101" s="109">
        <f t="shared" ca="1" si="34"/>
        <v>0</v>
      </c>
      <c r="M101" s="109">
        <f t="shared" ca="1" si="34"/>
        <v>0</v>
      </c>
      <c r="N101" s="109">
        <f t="shared" ca="1" si="34"/>
        <v>0</v>
      </c>
    </row>
    <row r="102" spans="1:21" ht="15.95" hidden="1" customHeight="1">
      <c r="A102" s="128">
        <f t="shared" si="32"/>
        <v>42670</v>
      </c>
      <c r="B102" s="109">
        <f t="shared" ref="B102:K102" ca="1" si="35">SUMIF(INDIRECT(B$3&amp;"!$A:$A"),$A47,INDIRECT(B$3&amp;"!$K:$K"))</f>
        <v>0</v>
      </c>
      <c r="C102" s="109">
        <f t="shared" ca="1" si="35"/>
        <v>0</v>
      </c>
      <c r="D102" s="109">
        <f t="shared" ca="1" si="35"/>
        <v>0</v>
      </c>
      <c r="E102" s="109">
        <f t="shared" ca="1" si="35"/>
        <v>0</v>
      </c>
      <c r="F102" s="109">
        <f t="shared" ca="1" si="33"/>
        <v>0</v>
      </c>
      <c r="G102" s="109">
        <f t="shared" ca="1" si="35"/>
        <v>0</v>
      </c>
      <c r="H102" s="109">
        <f t="shared" ca="1" si="35"/>
        <v>0</v>
      </c>
      <c r="I102" s="109">
        <f t="shared" ca="1" si="35"/>
        <v>0</v>
      </c>
      <c r="J102" s="109">
        <f t="shared" ca="1" si="35"/>
        <v>0</v>
      </c>
      <c r="K102" s="109">
        <f t="shared" ca="1" si="35"/>
        <v>0</v>
      </c>
      <c r="L102" s="179"/>
      <c r="M102" s="97"/>
      <c r="N102" s="97"/>
    </row>
    <row r="103" spans="1:21" ht="15.95" hidden="1" customHeight="1">
      <c r="A103" s="128">
        <f t="shared" si="32"/>
        <v>42671</v>
      </c>
      <c r="B103" s="109">
        <f t="shared" ref="B103:K103" ca="1" si="36">SUMIF(INDIRECT(B$3&amp;"!$A:$A"),$A48,INDIRECT(B$3&amp;"!$K:$K"))</f>
        <v>0</v>
      </c>
      <c r="C103" s="109">
        <f t="shared" ca="1" si="36"/>
        <v>0</v>
      </c>
      <c r="D103" s="109">
        <f t="shared" ca="1" si="36"/>
        <v>0</v>
      </c>
      <c r="E103" s="109">
        <f t="shared" ca="1" si="36"/>
        <v>0</v>
      </c>
      <c r="F103" s="109">
        <f t="shared" ca="1" si="33"/>
        <v>0</v>
      </c>
      <c r="G103" s="109">
        <f t="shared" ca="1" si="36"/>
        <v>0</v>
      </c>
      <c r="H103" s="109">
        <f t="shared" ca="1" si="36"/>
        <v>0</v>
      </c>
      <c r="I103" s="109">
        <f t="shared" ca="1" si="36"/>
        <v>0</v>
      </c>
      <c r="J103" s="109">
        <f t="shared" ca="1" si="36"/>
        <v>0</v>
      </c>
      <c r="K103" s="109">
        <f t="shared" ca="1" si="36"/>
        <v>0</v>
      </c>
      <c r="L103" s="179" t="e">
        <f>IF(#REF!&gt;35,-15,IF(#REF!&gt;25,-10,IF(#REF!&gt;8,-5,0)))</f>
        <v>#REF!</v>
      </c>
      <c r="M103" s="97"/>
      <c r="N103" s="97"/>
    </row>
    <row r="104" spans="1:21" ht="15.95" hidden="1" customHeight="1">
      <c r="A104" s="128">
        <f t="shared" si="32"/>
        <v>42672</v>
      </c>
      <c r="B104" s="109">
        <f t="shared" ref="B104:K104" ca="1" si="37">SUMIF(INDIRECT(B$3&amp;"!$A:$A"),$A49,INDIRECT(B$3&amp;"!$K:$K"))</f>
        <v>0</v>
      </c>
      <c r="C104" s="109">
        <f t="shared" ca="1" si="37"/>
        <v>0</v>
      </c>
      <c r="D104" s="109">
        <f t="shared" ca="1" si="37"/>
        <v>0</v>
      </c>
      <c r="E104" s="109">
        <f t="shared" ca="1" si="37"/>
        <v>0</v>
      </c>
      <c r="F104" s="109">
        <f t="shared" ca="1" si="33"/>
        <v>0</v>
      </c>
      <c r="G104" s="109">
        <f t="shared" ca="1" si="37"/>
        <v>0</v>
      </c>
      <c r="H104" s="109">
        <f t="shared" ca="1" si="37"/>
        <v>0</v>
      </c>
      <c r="I104" s="109">
        <f t="shared" ca="1" si="37"/>
        <v>0</v>
      </c>
      <c r="J104" s="109">
        <f t="shared" ca="1" si="37"/>
        <v>0</v>
      </c>
      <c r="K104" s="109">
        <f t="shared" ca="1" si="37"/>
        <v>0</v>
      </c>
      <c r="L104" s="179"/>
      <c r="M104" s="97"/>
      <c r="N104" s="97"/>
    </row>
    <row r="105" spans="1:21" ht="15.95" customHeight="1">
      <c r="A105" s="102" t="s">
        <v>88</v>
      </c>
      <c r="B105" s="105">
        <f t="shared" ref="B105:N105" ca="1" si="38">LOOKUP(1,0/(B60:B104&lt;&gt;0),B60:B103)</f>
        <v>6</v>
      </c>
      <c r="C105" s="105">
        <f t="shared" ca="1" si="38"/>
        <v>0.31398850174106624</v>
      </c>
      <c r="D105" s="105">
        <f t="shared" ca="1" si="38"/>
        <v>1.5896671634376554</v>
      </c>
      <c r="E105" s="105">
        <f t="shared" ca="1" si="38"/>
        <v>1.33</v>
      </c>
      <c r="F105" s="105">
        <f t="shared" ca="1" si="38"/>
        <v>6.4887989904323771</v>
      </c>
      <c r="G105" s="105">
        <f t="shared" ca="1" si="38"/>
        <v>1</v>
      </c>
      <c r="H105" s="105">
        <f t="shared" ca="1" si="38"/>
        <v>1.6169468534631943</v>
      </c>
      <c r="I105" s="105">
        <f t="shared" ca="1" si="38"/>
        <v>2.4907356829495817</v>
      </c>
      <c r="J105" s="105">
        <f t="shared" ca="1" si="38"/>
        <v>1.5264148231669892</v>
      </c>
      <c r="K105" s="105">
        <f t="shared" ca="1" si="38"/>
        <v>2.6091116326817407</v>
      </c>
      <c r="L105" s="105">
        <f t="shared" ca="1" si="38"/>
        <v>7.1880347348756759</v>
      </c>
      <c r="M105" s="105">
        <f t="shared" ca="1" si="38"/>
        <v>0.77527593362604308</v>
      </c>
      <c r="N105" s="105">
        <f t="shared" ca="1" si="38"/>
        <v>2.0452930137903884</v>
      </c>
    </row>
    <row r="106" spans="1:21" ht="15.95" customHeight="1">
      <c r="A106" s="102" t="s">
        <v>89</v>
      </c>
      <c r="B106" s="110">
        <f t="shared" ref="B106:N106" ca="1" si="39">IF(B105&gt;35,-15,IF(B105&gt;25,-10,IF(B105&gt;7,-5,0)))</f>
        <v>0</v>
      </c>
      <c r="C106" s="110">
        <f t="shared" ca="1" si="39"/>
        <v>0</v>
      </c>
      <c r="D106" s="110">
        <f t="shared" ca="1" si="39"/>
        <v>0</v>
      </c>
      <c r="E106" s="110">
        <f t="shared" ca="1" si="39"/>
        <v>0</v>
      </c>
      <c r="F106" s="110">
        <f t="shared" ref="F106" ca="1" si="40">IF(F105&gt;35,-15,IF(F105&gt;25,-10,IF(F105&gt;7,-5,0)))</f>
        <v>0</v>
      </c>
      <c r="G106" s="110">
        <f t="shared" ca="1" si="39"/>
        <v>0</v>
      </c>
      <c r="H106" s="110">
        <f t="shared" ca="1" si="39"/>
        <v>0</v>
      </c>
      <c r="I106" s="110">
        <f t="shared" ca="1" si="39"/>
        <v>0</v>
      </c>
      <c r="J106" s="110">
        <f t="shared" ca="1" si="39"/>
        <v>0</v>
      </c>
      <c r="K106" s="110">
        <f t="shared" ca="1" si="39"/>
        <v>0</v>
      </c>
      <c r="L106" s="110">
        <f t="shared" ca="1" si="39"/>
        <v>-5</v>
      </c>
      <c r="M106" s="110">
        <f t="shared" ca="1" si="39"/>
        <v>0</v>
      </c>
      <c r="N106" s="110">
        <f t="shared" ca="1" si="39"/>
        <v>0</v>
      </c>
      <c r="P106" s="117"/>
      <c r="U106" s="66"/>
    </row>
    <row r="107" spans="1:21" ht="15.95" customHeight="1">
      <c r="L107" s="136" t="str">
        <f>L$3</f>
        <v>掌上乐游</v>
      </c>
      <c r="M107" s="172"/>
      <c r="N107" s="172"/>
      <c r="P107" s="117"/>
      <c r="U107" s="66"/>
    </row>
    <row r="108" spans="1:21" ht="15.95" customHeight="1">
      <c r="L108" s="136" t="str">
        <f>L$4</f>
        <v>★</v>
      </c>
      <c r="M108" s="172"/>
      <c r="N108" s="172"/>
      <c r="P108" s="117"/>
      <c r="U108" s="66"/>
    </row>
    <row r="109" spans="1:21" ht="15.95" customHeight="1">
      <c r="A109" s="133" t="s">
        <v>347</v>
      </c>
      <c r="B109" s="303"/>
      <c r="C109" s="303"/>
      <c r="D109" s="135"/>
      <c r="E109" s="134"/>
      <c r="F109" s="134"/>
      <c r="G109" s="134"/>
      <c r="H109" s="134"/>
      <c r="I109" s="134"/>
      <c r="J109" s="134"/>
      <c r="K109" s="134"/>
      <c r="L109" s="84" t="e">
        <f>VLOOKUP(#REF!,掌上乐游!$A:$K,3,0)</f>
        <v>#REF!</v>
      </c>
      <c r="M109" s="174"/>
      <c r="N109" s="174"/>
      <c r="P109" s="117"/>
      <c r="U109" s="66"/>
    </row>
    <row r="110" spans="1:21" ht="15.95" customHeight="1">
      <c r="A110" s="96" t="s">
        <v>75</v>
      </c>
      <c r="B110" s="103" t="str">
        <f t="shared" ref="B110:K110" si="41">B$3</f>
        <v>趣游</v>
      </c>
      <c r="C110" s="103" t="str">
        <f t="shared" si="41"/>
        <v>前游</v>
      </c>
      <c r="D110" s="103" t="str">
        <f t="shared" si="41"/>
        <v>魔逗</v>
      </c>
      <c r="E110" s="103" t="str">
        <f t="shared" si="41"/>
        <v>中力为</v>
      </c>
      <c r="F110" s="103" t="s">
        <v>561</v>
      </c>
      <c r="G110" s="103" t="str">
        <f t="shared" si="41"/>
        <v>深圳玉璟</v>
      </c>
      <c r="H110" s="103" t="str">
        <f t="shared" si="41"/>
        <v>魔谷</v>
      </c>
      <c r="I110" s="103" t="str">
        <f t="shared" si="41"/>
        <v>欧朋</v>
      </c>
      <c r="J110" s="103" t="str">
        <f t="shared" si="41"/>
        <v>广州骏伯</v>
      </c>
      <c r="K110" s="103" t="str">
        <f t="shared" si="41"/>
        <v>意利恒</v>
      </c>
      <c r="L110" s="173" t="e">
        <f>VLOOKUP(#REF!,掌上乐游!$A:$K,2,0)</f>
        <v>#REF!</v>
      </c>
      <c r="M110" s="175" t="s">
        <v>252</v>
      </c>
      <c r="N110" s="175" t="s">
        <v>254</v>
      </c>
      <c r="P110" s="117"/>
      <c r="U110" s="66"/>
    </row>
    <row r="111" spans="1:21" ht="15.95" customHeight="1">
      <c r="A111" s="96" t="s">
        <v>76</v>
      </c>
      <c r="B111" s="103" t="str">
        <f t="shared" ref="B111:N111" si="42">B$4</f>
        <v>★★★</v>
      </c>
      <c r="C111" s="103" t="str">
        <f t="shared" si="42"/>
        <v>★</v>
      </c>
      <c r="D111" s="103" t="str">
        <f t="shared" si="42"/>
        <v>★★</v>
      </c>
      <c r="E111" s="103" t="str">
        <f t="shared" si="42"/>
        <v>★</v>
      </c>
      <c r="F111" s="103" t="str">
        <f t="shared" si="42"/>
        <v>★★</v>
      </c>
      <c r="G111" s="103" t="str">
        <f t="shared" si="42"/>
        <v>★</v>
      </c>
      <c r="H111" s="103" t="str">
        <f t="shared" si="42"/>
        <v>★★</v>
      </c>
      <c r="I111" s="103" t="str">
        <f t="shared" si="42"/>
        <v>★</v>
      </c>
      <c r="J111" s="103" t="str">
        <f t="shared" si="42"/>
        <v>★</v>
      </c>
      <c r="K111" s="103" t="str">
        <f t="shared" si="42"/>
        <v>★★★</v>
      </c>
      <c r="L111" s="173" t="e">
        <f>VLOOKUP(#REF!,掌上乐游!$A:$K,8,0)</f>
        <v>#REF!</v>
      </c>
      <c r="M111" s="103" t="str">
        <f t="shared" si="42"/>
        <v>★</v>
      </c>
      <c r="N111" s="103" t="str">
        <f t="shared" si="42"/>
        <v>★</v>
      </c>
      <c r="P111" s="117"/>
      <c r="U111" s="66"/>
    </row>
    <row r="112" spans="1:21" ht="15.95" customHeight="1">
      <c r="A112" s="129" t="s">
        <v>106</v>
      </c>
      <c r="B112" s="82">
        <f ca="1">VLOOKUP((TODAY()-1),INDIRECT(B$110&amp;"!$A:$K"),3,0)</f>
        <v>0</v>
      </c>
      <c r="C112" s="82">
        <f t="shared" ref="C112:N112" ca="1" si="43">VLOOKUP((TODAY()-1),INDIRECT(C$110&amp;"!$A:$K"),3,0)</f>
        <v>0</v>
      </c>
      <c r="D112" s="82">
        <f t="shared" ca="1" si="43"/>
        <v>0</v>
      </c>
      <c r="E112" s="82">
        <f t="shared" ca="1" si="43"/>
        <v>0</v>
      </c>
      <c r="F112" s="82">
        <f t="shared" ca="1" si="43"/>
        <v>0</v>
      </c>
      <c r="G112" s="82">
        <f t="shared" ca="1" si="43"/>
        <v>0</v>
      </c>
      <c r="H112" s="82">
        <f t="shared" ca="1" si="43"/>
        <v>0</v>
      </c>
      <c r="I112" s="82">
        <f t="shared" ca="1" si="43"/>
        <v>0</v>
      </c>
      <c r="J112" s="82">
        <f t="shared" ca="1" si="43"/>
        <v>0</v>
      </c>
      <c r="K112" s="82" t="e">
        <f t="shared" ca="1" si="43"/>
        <v>#N/A</v>
      </c>
      <c r="L112" s="82" t="e">
        <f t="shared" ca="1" si="43"/>
        <v>#REF!</v>
      </c>
      <c r="M112" s="82">
        <f t="shared" ca="1" si="43"/>
        <v>0</v>
      </c>
      <c r="N112" s="82">
        <f t="shared" ca="1" si="43"/>
        <v>0</v>
      </c>
      <c r="P112" s="117"/>
      <c r="U112" s="66"/>
    </row>
    <row r="113" spans="1:21" ht="15.95" customHeight="1">
      <c r="A113" s="129" t="s">
        <v>107</v>
      </c>
      <c r="B113" s="82">
        <f ca="1">VLOOKUP((TODAY()-1),INDIRECT(B$110&amp;"!$A:$K"),2,0)</f>
        <v>0</v>
      </c>
      <c r="C113" s="82">
        <f t="shared" ref="C113:N113" ca="1" si="44">VLOOKUP((TODAY()-1),INDIRECT(C$110&amp;"!$A:$K"),2,0)</f>
        <v>0</v>
      </c>
      <c r="D113" s="82">
        <f t="shared" ca="1" si="44"/>
        <v>0</v>
      </c>
      <c r="E113" s="82">
        <f t="shared" ca="1" si="44"/>
        <v>0</v>
      </c>
      <c r="F113" s="82">
        <f t="shared" ca="1" si="44"/>
        <v>0</v>
      </c>
      <c r="G113" s="82">
        <f t="shared" ca="1" si="44"/>
        <v>0</v>
      </c>
      <c r="H113" s="82">
        <f t="shared" ca="1" si="44"/>
        <v>0</v>
      </c>
      <c r="I113" s="82">
        <f t="shared" ca="1" si="44"/>
        <v>0</v>
      </c>
      <c r="J113" s="82">
        <f t="shared" ca="1" si="44"/>
        <v>0</v>
      </c>
      <c r="K113" s="82" t="e">
        <f t="shared" ca="1" si="44"/>
        <v>#N/A</v>
      </c>
      <c r="L113" s="82" t="e">
        <f t="shared" ca="1" si="44"/>
        <v>#REF!</v>
      </c>
      <c r="M113" s="82">
        <f t="shared" ca="1" si="44"/>
        <v>4</v>
      </c>
      <c r="N113" s="82">
        <f t="shared" ca="1" si="44"/>
        <v>0</v>
      </c>
      <c r="P113" s="117"/>
      <c r="U113" s="66"/>
    </row>
    <row r="114" spans="1:21" ht="15.95" customHeight="1">
      <c r="A114" s="129" t="s">
        <v>109</v>
      </c>
      <c r="B114" s="82">
        <f ca="1">VLOOKUP((TODAY()-1),INDIRECT(B$110&amp;"!$A:$K"),8,0)</f>
        <v>0</v>
      </c>
      <c r="C114" s="82">
        <f t="shared" ref="C114:N114" ca="1" si="45">VLOOKUP((TODAY()-1),INDIRECT(C$110&amp;"!$A:$K"),8,0)</f>
        <v>0</v>
      </c>
      <c r="D114" s="82">
        <f t="shared" ca="1" si="45"/>
        <v>0</v>
      </c>
      <c r="E114" s="82">
        <f t="shared" ca="1" si="45"/>
        <v>0</v>
      </c>
      <c r="F114" s="82">
        <f t="shared" ca="1" si="45"/>
        <v>0</v>
      </c>
      <c r="G114" s="82">
        <f t="shared" ca="1" si="45"/>
        <v>0</v>
      </c>
      <c r="H114" s="82">
        <f t="shared" ca="1" si="45"/>
        <v>0</v>
      </c>
      <c r="I114" s="82">
        <f t="shared" ca="1" si="45"/>
        <v>0</v>
      </c>
      <c r="J114" s="82">
        <f t="shared" ca="1" si="45"/>
        <v>0</v>
      </c>
      <c r="K114" s="82" t="e">
        <f t="shared" ca="1" si="45"/>
        <v>#N/A</v>
      </c>
      <c r="L114" s="82" t="e">
        <f t="shared" ca="1" si="45"/>
        <v>#REF!</v>
      </c>
      <c r="M114" s="82">
        <f t="shared" ca="1" si="45"/>
        <v>0</v>
      </c>
      <c r="N114" s="82">
        <f t="shared" ca="1" si="45"/>
        <v>0</v>
      </c>
    </row>
    <row r="115" spans="1:21" ht="15.95" customHeight="1">
      <c r="A115" s="129" t="s">
        <v>108</v>
      </c>
      <c r="B115" s="82">
        <f ca="1">SUM(B112:B114)</f>
        <v>0</v>
      </c>
      <c r="C115" s="82">
        <f t="shared" ref="C115:J115" ca="1" si="46">SUM(C112:C114)</f>
        <v>0</v>
      </c>
      <c r="D115" s="82">
        <f t="shared" ca="1" si="46"/>
        <v>0</v>
      </c>
      <c r="E115" s="82">
        <f t="shared" ca="1" si="46"/>
        <v>0</v>
      </c>
      <c r="F115" s="82">
        <f t="shared" ref="F115" ca="1" si="47">SUM(F112:F114)</f>
        <v>0</v>
      </c>
      <c r="G115" s="82">
        <f t="shared" ca="1" si="46"/>
        <v>0</v>
      </c>
      <c r="H115" s="82">
        <f t="shared" ca="1" si="46"/>
        <v>0</v>
      </c>
      <c r="I115" s="82">
        <f t="shared" ca="1" si="46"/>
        <v>0</v>
      </c>
      <c r="J115" s="82">
        <f t="shared" ca="1" si="46"/>
        <v>0</v>
      </c>
      <c r="K115" s="82" t="e">
        <f t="shared" ref="K115:N115" ca="1" si="48">SUM(K112:K114)</f>
        <v>#N/A</v>
      </c>
      <c r="L115" s="82" t="e">
        <f t="shared" ca="1" si="48"/>
        <v>#REF!</v>
      </c>
      <c r="M115" s="82">
        <f t="shared" ca="1" si="48"/>
        <v>4</v>
      </c>
      <c r="N115" s="82">
        <f t="shared" ca="1" si="48"/>
        <v>0</v>
      </c>
    </row>
    <row r="120" spans="1:21" ht="15.95" customHeight="1">
      <c r="O120" s="166"/>
    </row>
    <row r="121" spans="1:21" ht="15.95" customHeight="1">
      <c r="O121" s="167"/>
    </row>
  </sheetData>
  <mergeCells count="5">
    <mergeCell ref="S55:U55"/>
    <mergeCell ref="Q58:R58"/>
    <mergeCell ref="Q1:T1"/>
    <mergeCell ref="Q21:T21"/>
    <mergeCell ref="B109:C109"/>
  </mergeCells>
  <phoneticPr fontId="1" type="noConversion"/>
  <conditionalFormatting sqref="L49:L50 O49:O50 B52:N52">
    <cfRule type="cellIs" dxfId="3" priority="27" stopIfTrue="1" operator="equal">
      <formula>"无"</formula>
    </cfRule>
  </conditionalFormatting>
  <conditionalFormatting sqref="L103:O103 B106:N106">
    <cfRule type="cellIs" dxfId="2" priority="25" operator="notEqual">
      <formula>0</formula>
    </cfRule>
  </conditionalFormatting>
  <pageMargins left="0.7" right="0.7" top="0.75" bottom="0.75" header="0.3" footer="0.3"/>
  <pageSetup paperSize="9" orientation="portrait" r:id="rId1"/>
  <ignoredErrors>
    <ignoredError sqref="H52 C5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J50"/>
  <sheetViews>
    <sheetView workbookViewId="0">
      <pane ySplit="1" topLeftCell="A2" activePane="bottomLeft" state="frozen"/>
      <selection pane="bottomLeft" activeCell="K17" sqref="K17"/>
    </sheetView>
  </sheetViews>
  <sheetFormatPr defaultRowHeight="14.25"/>
  <cols>
    <col min="1" max="1" width="12.85546875" style="197" customWidth="1"/>
    <col min="2" max="2" width="16" style="206" customWidth="1"/>
    <col min="3" max="3" width="21.5703125" style="197" customWidth="1"/>
    <col min="4" max="4" width="18.7109375" customWidth="1"/>
    <col min="5" max="5" width="15.42578125" customWidth="1"/>
    <col min="6" max="6" width="14.7109375" customWidth="1"/>
    <col min="7" max="7" width="16.5703125" customWidth="1"/>
    <col min="8" max="8" width="14.42578125" customWidth="1"/>
    <col min="9" max="9" width="13.42578125" style="161" customWidth="1"/>
    <col min="10" max="10" width="12.5703125" customWidth="1"/>
  </cols>
  <sheetData>
    <row r="1" spans="1:10" s="47" customFormat="1" ht="30.75" customHeight="1">
      <c r="A1" s="193" t="s">
        <v>273</v>
      </c>
      <c r="B1" s="200" t="s">
        <v>178</v>
      </c>
      <c r="C1" s="193" t="s">
        <v>179</v>
      </c>
      <c r="D1" s="158" t="s">
        <v>180</v>
      </c>
      <c r="E1" s="158" t="s">
        <v>181</v>
      </c>
      <c r="F1" s="158" t="s">
        <v>182</v>
      </c>
      <c r="G1" s="158" t="s">
        <v>183</v>
      </c>
      <c r="H1" s="158" t="s">
        <v>184</v>
      </c>
      <c r="I1" s="191" t="s">
        <v>185</v>
      </c>
      <c r="J1" s="191" t="s">
        <v>186</v>
      </c>
    </row>
    <row r="2" spans="1:10">
      <c r="A2" s="198" t="s">
        <v>270</v>
      </c>
      <c r="B2" s="201">
        <v>300008875665</v>
      </c>
      <c r="C2" s="185" t="s">
        <v>189</v>
      </c>
      <c r="D2" s="47">
        <f t="array" ref="D2">MAX(IF((应用投诉!$B:$B=应用投诉汇总!$A2)*(应用投诉!$D:$D=应用投诉汇总!$C2),应用投诉!$E:$E))</f>
        <v>0</v>
      </c>
      <c r="E2" s="47">
        <f t="array" ref="E2">MAX(IF((应用投诉!$B:$B=应用投诉汇总!$A2)*(应用投诉!$D:$D=应用投诉汇总!$C2),应用投诉!$F:$F))</f>
        <v>0</v>
      </c>
      <c r="F2" s="47">
        <f t="array" ref="F2">MAX(IF((应用投诉!$B:$B=应用投诉汇总!$A2)*(应用投诉!$D:$D=应用投诉汇总!$C2),应用投诉!$G:$G))</f>
        <v>0</v>
      </c>
      <c r="G2" s="47">
        <f t="array" ref="G2">MAX(IF((应用投诉!$B:$B=应用投诉汇总!$A2)*(应用投诉!$D:$D=应用投诉汇总!$C2),应用投诉!$H:$H))</f>
        <v>0</v>
      </c>
      <c r="H2" s="47">
        <f t="array" ref="H2">MAX(IF((应用投诉!$B:$B=应用投诉汇总!$A2)*(应用投诉!$D:$D=应用投诉汇总!$C2),应用投诉!$I:$I))</f>
        <v>0</v>
      </c>
      <c r="I2" s="47">
        <f t="array" ref="I2">MAX(IF((应用投诉!$B:$B=应用投诉汇总!$A2)*(应用投诉!$D:$D=应用投诉汇总!$C2),应用投诉!$J:$J))</f>
        <v>0</v>
      </c>
      <c r="J2" s="47">
        <f t="array" ref="J2">MAX(IF((应用投诉!$B:$B=应用投诉汇总!$A2)*(应用投诉!$D:$D=应用投诉汇总!$C2),应用投诉!$K:$K))</f>
        <v>0</v>
      </c>
    </row>
    <row r="3" spans="1:10">
      <c r="A3" s="198" t="s">
        <v>270</v>
      </c>
      <c r="B3" s="201">
        <v>300008839381</v>
      </c>
      <c r="C3" s="185" t="s">
        <v>190</v>
      </c>
      <c r="D3" s="47">
        <f t="array" ref="D3">MAX(IF((应用投诉!$B:$B=应用投诉汇总!$A3)*(应用投诉!$D:$D=应用投诉汇总!$C3),应用投诉!$E:$E))</f>
        <v>0</v>
      </c>
      <c r="E3" s="47">
        <f t="array" ref="E3">MAX(IF((应用投诉!$B:$B=应用投诉汇总!$A3)*(应用投诉!$D:$D=应用投诉汇总!$C3),应用投诉!$F:$F))</f>
        <v>0</v>
      </c>
      <c r="F3" s="47">
        <f t="array" ref="F3">MAX(IF((应用投诉!$B:$B=应用投诉汇总!$A3)*(应用投诉!$D:$D=应用投诉汇总!$C3),应用投诉!$G:$G))</f>
        <v>0</v>
      </c>
      <c r="G3" s="47">
        <f t="array" ref="G3">MAX(IF((应用投诉!$B:$B=应用投诉汇总!$A3)*(应用投诉!$D:$D=应用投诉汇总!$C3),应用投诉!$H:$H))</f>
        <v>0</v>
      </c>
      <c r="H3" s="47">
        <f t="array" ref="H3">MAX(IF((应用投诉!$B:$B=应用投诉汇总!$A3)*(应用投诉!$D:$D=应用投诉汇总!$C3),应用投诉!$I:$I))</f>
        <v>0</v>
      </c>
      <c r="I3" s="47">
        <f t="array" ref="I3">MAX(IF((应用投诉!$B:$B=应用投诉汇总!$A3)*(应用投诉!$D:$D=应用投诉汇总!$C3),应用投诉!$J:$J))</f>
        <v>0</v>
      </c>
      <c r="J3" s="47">
        <f t="array" ref="J3">MAX(IF((应用投诉!$B:$B=应用投诉汇总!$A3)*(应用投诉!$D:$D=应用投诉汇总!$C3),应用投诉!$K:$K))</f>
        <v>0</v>
      </c>
    </row>
    <row r="4" spans="1:10">
      <c r="A4" s="198" t="s">
        <v>270</v>
      </c>
      <c r="B4" s="201">
        <v>300009235974</v>
      </c>
      <c r="C4" s="185" t="s">
        <v>187</v>
      </c>
      <c r="D4" s="47">
        <f t="array" ref="D4">MAX(IF((应用投诉!$B:$B=应用投诉汇总!$A4)*(应用投诉!$D:$D=应用投诉汇总!$C4),应用投诉!$E:$E))</f>
        <v>0</v>
      </c>
      <c r="E4" s="47">
        <f t="array" ref="E4">MAX(IF((应用投诉!$B:$B=应用投诉汇总!$A4)*(应用投诉!$D:$D=应用投诉汇总!$C4),应用投诉!$F:$F))</f>
        <v>0</v>
      </c>
      <c r="F4" s="47">
        <f t="array" ref="F4">MAX(IF((应用投诉!$B:$B=应用投诉汇总!$A4)*(应用投诉!$D:$D=应用投诉汇总!$C4),应用投诉!$G:$G))</f>
        <v>0</v>
      </c>
      <c r="G4" s="47">
        <f t="array" ref="G4">MAX(IF((应用投诉!$B:$B=应用投诉汇总!$A4)*(应用投诉!$D:$D=应用投诉汇总!$C4),应用投诉!$H:$H))</f>
        <v>0</v>
      </c>
      <c r="H4" s="47">
        <f t="array" ref="H4">MAX(IF((应用投诉!$B:$B=应用投诉汇总!$A4)*(应用投诉!$D:$D=应用投诉汇总!$C4),应用投诉!$I:$I))</f>
        <v>0</v>
      </c>
      <c r="I4" s="47">
        <f t="array" ref="I4">MAX(IF((应用投诉!$B:$B=应用投诉汇总!$A4)*(应用投诉!$D:$D=应用投诉汇总!$C4),应用投诉!$J:$J))</f>
        <v>0</v>
      </c>
      <c r="J4" s="47">
        <f t="array" ref="J4">MAX(IF((应用投诉!$B:$B=应用投诉汇总!$A4)*(应用投诉!$D:$D=应用投诉汇总!$C4),应用投诉!$K:$K))</f>
        <v>0</v>
      </c>
    </row>
    <row r="5" spans="1:10">
      <c r="A5" s="198" t="s">
        <v>270</v>
      </c>
      <c r="B5" s="201">
        <v>300009235971</v>
      </c>
      <c r="C5" s="185" t="s">
        <v>241</v>
      </c>
      <c r="D5" s="47">
        <f t="array" ref="D5">MAX(IF((应用投诉!$B:$B=应用投诉汇总!$A5)*(应用投诉!$D:$D=应用投诉汇总!$C5),应用投诉!$E:$E))</f>
        <v>0</v>
      </c>
      <c r="E5" s="47">
        <f t="array" ref="E5">MAX(IF((应用投诉!$B:$B=应用投诉汇总!$A5)*(应用投诉!$D:$D=应用投诉汇总!$C5),应用投诉!$F:$F))</f>
        <v>0</v>
      </c>
      <c r="F5" s="47">
        <f t="array" ref="F5">MAX(IF((应用投诉!$B:$B=应用投诉汇总!$A5)*(应用投诉!$D:$D=应用投诉汇总!$C5),应用投诉!$G:$G))</f>
        <v>0</v>
      </c>
      <c r="G5" s="47">
        <f t="array" ref="G5">MAX(IF((应用投诉!$B:$B=应用投诉汇总!$A5)*(应用投诉!$D:$D=应用投诉汇总!$C5),应用投诉!$H:$H))</f>
        <v>0</v>
      </c>
      <c r="H5" s="47">
        <f t="array" ref="H5">MAX(IF((应用投诉!$B:$B=应用投诉汇总!$A5)*(应用投诉!$D:$D=应用投诉汇总!$C5),应用投诉!$I:$I))</f>
        <v>0</v>
      </c>
      <c r="I5" s="47">
        <f t="array" ref="I5">MAX(IF((应用投诉!$B:$B=应用投诉汇总!$A5)*(应用投诉!$D:$D=应用投诉汇总!$C5),应用投诉!$J:$J))</f>
        <v>0</v>
      </c>
      <c r="J5" s="47">
        <f t="array" ref="J5">MAX(IF((应用投诉!$B:$B=应用投诉汇总!$A5)*(应用投诉!$D:$D=应用投诉汇总!$C5),应用投诉!$K:$K))</f>
        <v>0</v>
      </c>
    </row>
    <row r="6" spans="1:10">
      <c r="A6" s="198" t="s">
        <v>270</v>
      </c>
      <c r="B6" s="201">
        <v>300009003496</v>
      </c>
      <c r="C6" s="185" t="s">
        <v>240</v>
      </c>
      <c r="D6" s="47">
        <f t="array" ref="D6">MAX(IF((应用投诉!$B:$B=应用投诉汇总!$A6)*(应用投诉!$D:$D=应用投诉汇总!$C6),应用投诉!$E:$E))</f>
        <v>0</v>
      </c>
      <c r="E6" s="47">
        <f t="array" ref="E6">MAX(IF((应用投诉!$B:$B=应用投诉汇总!$A6)*(应用投诉!$D:$D=应用投诉汇总!$C6),应用投诉!$F:$F))</f>
        <v>0</v>
      </c>
      <c r="F6" s="47">
        <f t="array" ref="F6">MAX(IF((应用投诉!$B:$B=应用投诉汇总!$A6)*(应用投诉!$D:$D=应用投诉汇总!$C6),应用投诉!$G:$G))</f>
        <v>0</v>
      </c>
      <c r="G6" s="47">
        <f t="array" ref="G6">MAX(IF((应用投诉!$B:$B=应用投诉汇总!$A6)*(应用投诉!$D:$D=应用投诉汇总!$C6),应用投诉!$H:$H))</f>
        <v>0</v>
      </c>
      <c r="H6" s="47">
        <f t="array" ref="H6">MAX(IF((应用投诉!$B:$B=应用投诉汇总!$A6)*(应用投诉!$D:$D=应用投诉汇总!$C6),应用投诉!$I:$I))</f>
        <v>0</v>
      </c>
      <c r="I6" s="47">
        <f t="array" ref="I6">MAX(IF((应用投诉!$B:$B=应用投诉汇总!$A6)*(应用投诉!$D:$D=应用投诉汇总!$C6),应用投诉!$J:$J))</f>
        <v>0</v>
      </c>
      <c r="J6" s="47">
        <f t="array" ref="J6">MAX(IF((应用投诉!$B:$B=应用投诉汇总!$A6)*(应用投诉!$D:$D=应用投诉汇总!$C6),应用投诉!$K:$K))</f>
        <v>0</v>
      </c>
    </row>
    <row r="7" spans="1:10">
      <c r="A7" s="198" t="s">
        <v>270</v>
      </c>
      <c r="B7" s="201">
        <v>300008579657</v>
      </c>
      <c r="C7" s="185" t="s">
        <v>188</v>
      </c>
      <c r="D7" s="47">
        <f t="array" ref="D7">MAX(IF((应用投诉!$B:$B=应用投诉汇总!$A7)*(应用投诉!$D:$D=应用投诉汇总!$C7),应用投诉!$E:$E))</f>
        <v>0</v>
      </c>
      <c r="E7" s="47">
        <f t="array" ref="E7">MAX(IF((应用投诉!$B:$B=应用投诉汇总!$A7)*(应用投诉!$D:$D=应用投诉汇总!$C7),应用投诉!$F:$F))</f>
        <v>1</v>
      </c>
      <c r="F7" s="47">
        <f t="array" ref="F7">MAX(IF((应用投诉!$B:$B=应用投诉汇总!$A7)*(应用投诉!$D:$D=应用投诉汇总!$C7),应用投诉!$G:$G))</f>
        <v>0</v>
      </c>
      <c r="G7" s="47">
        <f t="array" ref="G7">MAX(IF((应用投诉!$B:$B=应用投诉汇总!$A7)*(应用投诉!$D:$D=应用投诉汇总!$C7),应用投诉!$H:$H))</f>
        <v>1</v>
      </c>
      <c r="H7" s="47">
        <f t="array" ref="H7">MAX(IF((应用投诉!$B:$B=应用投诉汇总!$A7)*(应用投诉!$D:$D=应用投诉汇总!$C7),应用投诉!$I:$I))</f>
        <v>0</v>
      </c>
      <c r="I7" s="47">
        <f t="array" ref="I7">MAX(IF((应用投诉!$B:$B=应用投诉汇总!$A7)*(应用投诉!$D:$D=应用投诉汇总!$C7),应用投诉!$J:$J))</f>
        <v>1</v>
      </c>
      <c r="J7" s="47">
        <f t="array" ref="J7">MAX(IF((应用投诉!$B:$B=应用投诉汇总!$A7)*(应用投诉!$D:$D=应用投诉汇总!$C7),应用投诉!$K:$K))</f>
        <v>1</v>
      </c>
    </row>
    <row r="8" spans="1:10">
      <c r="A8" s="198" t="s">
        <v>270</v>
      </c>
      <c r="B8" s="201">
        <v>300009000071</v>
      </c>
      <c r="C8" s="185" t="s">
        <v>192</v>
      </c>
      <c r="D8" s="47">
        <f t="array" ref="D8">MAX(IF((应用投诉!$B:$B=应用投诉汇总!$A8)*(应用投诉!$D:$D=应用投诉汇总!$C8),应用投诉!$E:$E))</f>
        <v>0</v>
      </c>
      <c r="E8" s="47">
        <f t="array" ref="E8">MAX(IF((应用投诉!$B:$B=应用投诉汇总!$A8)*(应用投诉!$D:$D=应用投诉汇总!$C8),应用投诉!$F:$F))</f>
        <v>1</v>
      </c>
      <c r="F8" s="47">
        <f t="array" ref="F8">MAX(IF((应用投诉!$B:$B=应用投诉汇总!$A8)*(应用投诉!$D:$D=应用投诉汇总!$C8),应用投诉!$G:$G))</f>
        <v>0</v>
      </c>
      <c r="G8" s="47">
        <f t="array" ref="G8">MAX(IF((应用投诉!$B:$B=应用投诉汇总!$A8)*(应用投诉!$D:$D=应用投诉汇总!$C8),应用投诉!$H:$H))</f>
        <v>1</v>
      </c>
      <c r="H8" s="47">
        <f t="array" ref="H8">MAX(IF((应用投诉!$B:$B=应用投诉汇总!$A8)*(应用投诉!$D:$D=应用投诉汇总!$C8),应用投诉!$I:$I))</f>
        <v>0</v>
      </c>
      <c r="I8" s="47">
        <f t="array" ref="I8">MAX(IF((应用投诉!$B:$B=应用投诉汇总!$A8)*(应用投诉!$D:$D=应用投诉汇总!$C8),应用投诉!$J:$J))</f>
        <v>1</v>
      </c>
      <c r="J8" s="47">
        <f t="array" ref="J8">MAX(IF((应用投诉!$B:$B=应用投诉汇总!$A8)*(应用投诉!$D:$D=应用投诉汇总!$C8),应用投诉!$K:$K))</f>
        <v>1</v>
      </c>
    </row>
    <row r="9" spans="1:10">
      <c r="A9" s="198" t="s">
        <v>244</v>
      </c>
      <c r="B9" s="201">
        <v>300009358277</v>
      </c>
      <c r="C9" s="185" t="s">
        <v>266</v>
      </c>
      <c r="D9" s="47">
        <f t="array" ref="D9">MAX(IF((应用投诉!$B:$B=应用投诉汇总!$A9)*(应用投诉!$D:$D=应用投诉汇总!$C9),应用投诉!$E:$E))</f>
        <v>13</v>
      </c>
      <c r="E9" s="47">
        <f t="array" ref="E9">MAX(IF((应用投诉!$B:$B=应用投诉汇总!$A9)*(应用投诉!$D:$D=应用投诉汇总!$C9),应用投诉!$F:$F))</f>
        <v>116</v>
      </c>
      <c r="F9" s="47">
        <f t="array" ref="F9">MAX(IF((应用投诉!$B:$B=应用投诉汇总!$A9)*(应用投诉!$D:$D=应用投诉汇总!$C9),应用投诉!$G:$G))</f>
        <v>2</v>
      </c>
      <c r="G9" s="47">
        <f t="array" ref="G9">MAX(IF((应用投诉!$B:$B=应用投诉汇总!$A9)*(应用投诉!$D:$D=应用投诉汇总!$C9),应用投诉!$H:$H))</f>
        <v>16</v>
      </c>
      <c r="H9" s="47">
        <f t="array" ref="H9">MAX(IF((应用投诉!$B:$B=应用投诉汇总!$A9)*(应用投诉!$D:$D=应用投诉汇总!$C9),应用投诉!$I:$I))</f>
        <v>13002</v>
      </c>
      <c r="I9" s="47">
        <f t="array" ref="I9">MAX(IF((应用投诉!$B:$B=应用投诉汇总!$A9)*(应用投诉!$D:$D=应用投诉汇总!$C9),应用投诉!$J:$J))</f>
        <v>89.22</v>
      </c>
      <c r="J9" s="47">
        <f t="array" ref="J9">MAX(IF((应用投诉!$B:$B=应用投诉汇总!$A9)*(应用投诉!$D:$D=应用投诉汇总!$C9),应用投诉!$K:$K))</f>
        <v>12.31</v>
      </c>
    </row>
    <row r="10" spans="1:10">
      <c r="A10" s="198" t="s">
        <v>167</v>
      </c>
      <c r="B10" s="201">
        <v>300009374215</v>
      </c>
      <c r="C10" s="185" t="s">
        <v>236</v>
      </c>
      <c r="D10" s="47">
        <f t="array" ref="D10">MAX(IF((应用投诉!$B:$B=应用投诉汇总!$A10)*(应用投诉!$D:$D=应用投诉汇总!$C10),应用投诉!$E:$E))</f>
        <v>1</v>
      </c>
      <c r="E10" s="47">
        <f t="array" ref="E10">MAX(IF((应用投诉!$B:$B=应用投诉汇总!$A10)*(应用投诉!$D:$D=应用投诉汇总!$C10),应用投诉!$F:$F))</f>
        <v>2</v>
      </c>
      <c r="F10" s="47">
        <f t="array" ref="F10">MAX(IF((应用投诉!$B:$B=应用投诉汇总!$A10)*(应用投诉!$D:$D=应用投诉汇总!$C10),应用投诉!$G:$G))</f>
        <v>0</v>
      </c>
      <c r="G10" s="47">
        <f t="array" ref="G10">MAX(IF((应用投诉!$B:$B=应用投诉汇总!$A10)*(应用投诉!$D:$D=应用投诉汇总!$C10),应用投诉!$H:$H))</f>
        <v>0</v>
      </c>
      <c r="H10" s="47">
        <f t="array" ref="H10">MAX(IF((应用投诉!$B:$B=应用投诉汇总!$A10)*(应用投诉!$D:$D=应用投诉汇总!$C10),应用投诉!$I:$I))</f>
        <v>0</v>
      </c>
      <c r="I10" s="47">
        <f t="array" ref="I10">MAX(IF((应用投诉!$B:$B=应用投诉汇总!$A10)*(应用投诉!$D:$D=应用投诉汇总!$C10),应用投诉!$J:$J))</f>
        <v>2</v>
      </c>
      <c r="J10" s="47">
        <f t="array" ref="J10">MAX(IF((应用投诉!$B:$B=应用投诉汇总!$A10)*(应用投诉!$D:$D=应用投诉汇总!$C10),应用投诉!$K:$K))</f>
        <v>0</v>
      </c>
    </row>
    <row r="11" spans="1:10">
      <c r="A11" s="198" t="s">
        <v>167</v>
      </c>
      <c r="B11" s="201">
        <v>300009406201</v>
      </c>
      <c r="C11" s="185" t="s">
        <v>234</v>
      </c>
      <c r="D11" s="47">
        <f t="array" ref="D11">MAX(IF((应用投诉!$B:$B=应用投诉汇总!$A11)*(应用投诉!$D:$D=应用投诉汇总!$C11),应用投诉!$E:$E))</f>
        <v>2</v>
      </c>
      <c r="E11" s="47">
        <f t="array" ref="E11">MAX(IF((应用投诉!$B:$B=应用投诉汇总!$A11)*(应用投诉!$D:$D=应用投诉汇总!$C11),应用投诉!$F:$F))</f>
        <v>11</v>
      </c>
      <c r="F11" s="47">
        <f t="array" ref="F11">MAX(IF((应用投诉!$B:$B=应用投诉汇总!$A11)*(应用投诉!$D:$D=应用投诉汇总!$C11),应用投诉!$G:$G))</f>
        <v>1</v>
      </c>
      <c r="G11" s="47">
        <f t="array" ref="G11">MAX(IF((应用投诉!$B:$B=应用投诉汇总!$A11)*(应用投诉!$D:$D=应用投诉汇总!$C11),应用投诉!$H:$H))</f>
        <v>4</v>
      </c>
      <c r="H11" s="47">
        <f t="array" ref="H11">MAX(IF((应用投诉!$B:$B=应用投诉汇总!$A11)*(应用投诉!$D:$D=应用投诉汇总!$C11),应用投诉!$I:$I))</f>
        <v>2007</v>
      </c>
      <c r="I11" s="47">
        <f t="array" ref="I11">MAX(IF((应用投诉!$B:$B=应用投诉汇总!$A11)*(应用投诉!$D:$D=应用投诉汇总!$C11),应用投诉!$J:$J))</f>
        <v>11</v>
      </c>
      <c r="J11" s="47">
        <f t="array" ref="J11">MAX(IF((应用投诉!$B:$B=应用投诉汇总!$A11)*(应用投诉!$D:$D=应用投诉汇总!$C11),应用投诉!$K:$K))</f>
        <v>4</v>
      </c>
    </row>
    <row r="12" spans="1:10">
      <c r="A12" s="198" t="s">
        <v>167</v>
      </c>
      <c r="B12" s="201">
        <v>300009406202</v>
      </c>
      <c r="C12" s="185" t="s">
        <v>232</v>
      </c>
      <c r="D12" s="47">
        <f t="array" ref="D12">MAX(IF((应用投诉!$B:$B=应用投诉汇总!$A12)*(应用投诉!$D:$D=应用投诉汇总!$C12),应用投诉!$E:$E))</f>
        <v>1</v>
      </c>
      <c r="E12" s="47">
        <f t="array" ref="E12">MAX(IF((应用投诉!$B:$B=应用投诉汇总!$A12)*(应用投诉!$D:$D=应用投诉汇总!$C12),应用投诉!$F:$F))</f>
        <v>6</v>
      </c>
      <c r="F12" s="47">
        <f t="array" ref="F12">MAX(IF((应用投诉!$B:$B=应用投诉汇总!$A12)*(应用投诉!$D:$D=应用投诉汇总!$C12),应用投诉!$G:$G))</f>
        <v>0</v>
      </c>
      <c r="G12" s="47">
        <f t="array" ref="G12">MAX(IF((应用投诉!$B:$B=应用投诉汇总!$A12)*(应用投诉!$D:$D=应用投诉汇总!$C12),应用投诉!$H:$H))</f>
        <v>2</v>
      </c>
      <c r="H12" s="47">
        <f t="array" ref="H12">MAX(IF((应用投诉!$B:$B=应用投诉汇总!$A12)*(应用投诉!$D:$D=应用投诉汇总!$C12),应用投诉!$I:$I))</f>
        <v>1367</v>
      </c>
      <c r="I12" s="47">
        <f t="array" ref="I12">MAX(IF((应用投诉!$B:$B=应用投诉汇总!$A12)*(应用投诉!$D:$D=应用投诉汇总!$C12),应用投诉!$J:$J))</f>
        <v>6</v>
      </c>
      <c r="J12" s="47">
        <f t="array" ref="J12">MAX(IF((应用投诉!$B:$B=应用投诉汇总!$A12)*(应用投诉!$D:$D=应用投诉汇总!$C12),应用投诉!$K:$K))</f>
        <v>2</v>
      </c>
    </row>
    <row r="13" spans="1:10">
      <c r="A13" s="198" t="s">
        <v>167</v>
      </c>
      <c r="B13" s="201">
        <v>300009185572</v>
      </c>
      <c r="C13" s="185" t="s">
        <v>237</v>
      </c>
      <c r="D13" s="47">
        <f t="array" ref="D13">MAX(IF((应用投诉!$B:$B=应用投诉汇总!$A13)*(应用投诉!$D:$D=应用投诉汇总!$C13),应用投诉!$E:$E))</f>
        <v>3</v>
      </c>
      <c r="E13" s="47">
        <f t="array" ref="E13">MAX(IF((应用投诉!$B:$B=应用投诉汇总!$A13)*(应用投诉!$D:$D=应用投诉汇总!$C13),应用投诉!$F:$F))</f>
        <v>19</v>
      </c>
      <c r="F13" s="47">
        <f t="array" ref="F13">MAX(IF((应用投诉!$B:$B=应用投诉汇总!$A13)*(应用投诉!$D:$D=应用投诉汇总!$C13),应用投诉!$G:$G))</f>
        <v>1</v>
      </c>
      <c r="G13" s="47">
        <f t="array" ref="G13">MAX(IF((应用投诉!$B:$B=应用投诉汇总!$A13)*(应用投诉!$D:$D=应用投诉汇总!$C13),应用投诉!$H:$H))</f>
        <v>3</v>
      </c>
      <c r="H13" s="47">
        <f t="array" ref="H13">MAX(IF((应用投诉!$B:$B=应用投诉汇总!$A13)*(应用投诉!$D:$D=应用投诉汇总!$C13),应用投诉!$I:$I))</f>
        <v>1734</v>
      </c>
      <c r="I13" s="47">
        <f t="array" ref="I13">MAX(IF((应用投诉!$B:$B=应用投诉汇总!$A13)*(应用投诉!$D:$D=应用投诉汇总!$C13),应用投诉!$J:$J))</f>
        <v>19</v>
      </c>
      <c r="J13" s="47">
        <f t="array" ref="J13">MAX(IF((应用投诉!$B:$B=应用投诉汇总!$A13)*(应用投诉!$D:$D=应用投诉汇总!$C13),应用投诉!$K:$K))</f>
        <v>3</v>
      </c>
    </row>
    <row r="14" spans="1:10">
      <c r="A14" s="198" t="s">
        <v>167</v>
      </c>
      <c r="B14" s="201">
        <v>300009184067</v>
      </c>
      <c r="C14" s="185" t="s">
        <v>233</v>
      </c>
      <c r="D14" s="47">
        <f t="array" ref="D14">MAX(IF((应用投诉!$B:$B=应用投诉汇总!$A14)*(应用投诉!$D:$D=应用投诉汇总!$C14),应用投诉!$E:$E))</f>
        <v>0</v>
      </c>
      <c r="E14" s="47">
        <f t="array" ref="E14">MAX(IF((应用投诉!$B:$B=应用投诉汇总!$A14)*(应用投诉!$D:$D=应用投诉汇总!$C14),应用投诉!$F:$F))</f>
        <v>0</v>
      </c>
      <c r="F14" s="47">
        <f t="array" ref="F14">MAX(IF((应用投诉!$B:$B=应用投诉汇总!$A14)*(应用投诉!$D:$D=应用投诉汇总!$C14),应用投诉!$G:$G))</f>
        <v>0</v>
      </c>
      <c r="G14" s="47">
        <f t="array" ref="G14">MAX(IF((应用投诉!$B:$B=应用投诉汇总!$A14)*(应用投诉!$D:$D=应用投诉汇总!$C14),应用投诉!$H:$H))</f>
        <v>0</v>
      </c>
      <c r="H14" s="47">
        <f t="array" ref="H14">MAX(IF((应用投诉!$B:$B=应用投诉汇总!$A14)*(应用投诉!$D:$D=应用投诉汇总!$C14),应用投诉!$I:$I))</f>
        <v>68</v>
      </c>
      <c r="I14" s="47">
        <f t="array" ref="I14">MAX(IF((应用投诉!$B:$B=应用投诉汇总!$A14)*(应用投诉!$D:$D=应用投诉汇总!$C14),应用投诉!$J:$J))</f>
        <v>0</v>
      </c>
      <c r="J14" s="47">
        <f t="array" ref="J14">MAX(IF((应用投诉!$B:$B=应用投诉汇总!$A14)*(应用投诉!$D:$D=应用投诉汇总!$C14),应用投诉!$K:$K))</f>
        <v>0</v>
      </c>
    </row>
    <row r="15" spans="1:10">
      <c r="A15" s="198" t="s">
        <v>167</v>
      </c>
      <c r="B15" s="201">
        <v>300009374212</v>
      </c>
      <c r="C15" s="185" t="s">
        <v>235</v>
      </c>
      <c r="D15" s="47">
        <f t="array" ref="D15">MAX(IF((应用投诉!$B:$B=应用投诉汇总!$A15)*(应用投诉!$D:$D=应用投诉汇总!$C15),应用投诉!$E:$E))</f>
        <v>2</v>
      </c>
      <c r="E15" s="47">
        <f t="array" ref="E15">MAX(IF((应用投诉!$B:$B=应用投诉汇总!$A15)*(应用投诉!$D:$D=应用投诉汇总!$C15),应用投诉!$F:$F))</f>
        <v>6</v>
      </c>
      <c r="F15" s="47">
        <f t="array" ref="F15">MAX(IF((应用投诉!$B:$B=应用投诉汇总!$A15)*(应用投诉!$D:$D=应用投诉汇总!$C15),应用投诉!$G:$G))</f>
        <v>0</v>
      </c>
      <c r="G15" s="47">
        <f t="array" ref="G15">MAX(IF((应用投诉!$B:$B=应用投诉汇总!$A15)*(应用投诉!$D:$D=应用投诉汇总!$C15),应用投诉!$H:$H))</f>
        <v>1</v>
      </c>
      <c r="H15" s="47">
        <f t="array" ref="H15">MAX(IF((应用投诉!$B:$B=应用投诉汇总!$A15)*(应用投诉!$D:$D=应用投诉汇总!$C15),应用投诉!$I:$I))</f>
        <v>1235</v>
      </c>
      <c r="I15" s="47">
        <f t="array" ref="I15">MAX(IF((应用投诉!$B:$B=应用投诉汇总!$A15)*(应用投诉!$D:$D=应用投诉汇总!$C15),应用投诉!$J:$J))</f>
        <v>6</v>
      </c>
      <c r="J15" s="47">
        <f t="array" ref="J15">MAX(IF((应用投诉!$B:$B=应用投诉汇总!$A15)*(应用投诉!$D:$D=应用投诉汇总!$C15),应用投诉!$K:$K))</f>
        <v>1</v>
      </c>
    </row>
    <row r="16" spans="1:10">
      <c r="A16" s="185" t="s">
        <v>255</v>
      </c>
      <c r="B16" s="202">
        <v>300009192151</v>
      </c>
      <c r="C16" s="192" t="s">
        <v>230</v>
      </c>
      <c r="D16" s="47">
        <f t="array" ref="D16">MAX(IF((应用投诉!$B:$B=应用投诉汇总!$A16)*(应用投诉!$D:$D=应用投诉汇总!$C16),应用投诉!$E:$E))</f>
        <v>2</v>
      </c>
      <c r="E16" s="47">
        <f t="array" ref="E16">MAX(IF((应用投诉!$B:$B=应用投诉汇总!$A16)*(应用投诉!$D:$D=应用投诉汇总!$C16),应用投诉!$F:$F))</f>
        <v>5</v>
      </c>
      <c r="F16" s="47">
        <f t="array" ref="F16">MAX(IF((应用投诉!$B:$B=应用投诉汇总!$A16)*(应用投诉!$D:$D=应用投诉汇总!$C16),应用投诉!$G:$G))</f>
        <v>1</v>
      </c>
      <c r="G16" s="47">
        <f t="array" ref="G16">MAX(IF((应用投诉!$B:$B=应用投诉汇总!$A16)*(应用投诉!$D:$D=应用投诉汇总!$C16),应用投诉!$H:$H))</f>
        <v>1</v>
      </c>
      <c r="H16" s="47">
        <f t="array" ref="H16">MAX(IF((应用投诉!$B:$B=应用投诉汇总!$A16)*(应用投诉!$D:$D=应用投诉汇总!$C16),应用投诉!$I:$I))</f>
        <v>2064</v>
      </c>
      <c r="I16" s="47">
        <f t="array" ref="I16">MAX(IF((应用投诉!$B:$B=应用投诉汇总!$A16)*(应用投诉!$D:$D=应用投诉汇总!$C16),应用投诉!$J:$J))</f>
        <v>5</v>
      </c>
      <c r="J16" s="47">
        <f t="array" ref="J16">MAX(IF((应用投诉!$B:$B=应用投诉汇总!$A16)*(应用投诉!$D:$D=应用投诉汇总!$C16),应用投诉!$K:$K))</f>
        <v>1</v>
      </c>
    </row>
    <row r="17" spans="1:10">
      <c r="A17" s="198" t="s">
        <v>264</v>
      </c>
      <c r="B17" s="201">
        <v>300009480238</v>
      </c>
      <c r="C17" s="185" t="s">
        <v>263</v>
      </c>
      <c r="D17" s="47">
        <f t="array" ref="D17">MAX(IF((应用投诉!$B:$B=应用投诉汇总!$A17)*(应用投诉!$D:$D=应用投诉汇总!$C17),应用投诉!$E:$E))</f>
        <v>5</v>
      </c>
      <c r="E17" s="47">
        <f t="array" ref="E17">MAX(IF((应用投诉!$B:$B=应用投诉汇总!$A17)*(应用投诉!$D:$D=应用投诉汇总!$C17),应用投诉!$F:$F))</f>
        <v>22</v>
      </c>
      <c r="F17" s="47">
        <f t="array" ref="F17">MAX(IF((应用投诉!$B:$B=应用投诉汇总!$A17)*(应用投诉!$D:$D=应用投诉汇总!$C17),应用投诉!$G:$G))</f>
        <v>2</v>
      </c>
      <c r="G17" s="47">
        <f t="array" ref="G17">MAX(IF((应用投诉!$B:$B=应用投诉汇总!$A17)*(应用投诉!$D:$D=应用投诉汇总!$C17),应用投诉!$H:$H))</f>
        <v>3</v>
      </c>
      <c r="H17" s="47">
        <f t="array" ref="H17">MAX(IF((应用投诉!$B:$B=应用投诉汇总!$A17)*(应用投诉!$D:$D=应用投诉汇总!$C17),应用投诉!$I:$I))</f>
        <v>1176</v>
      </c>
      <c r="I17" s="47">
        <f t="array" ref="I17">MAX(IF((应用投诉!$B:$B=应用投诉汇总!$A17)*(应用投诉!$D:$D=应用投诉汇总!$C17),应用投诉!$J:$J))</f>
        <v>22</v>
      </c>
      <c r="J17" s="47">
        <f t="array" ref="J17">MAX(IF((应用投诉!$B:$B=应用投诉汇总!$A17)*(应用投诉!$D:$D=应用投诉汇总!$C17),应用投诉!$K:$K))</f>
        <v>3</v>
      </c>
    </row>
    <row r="18" spans="1:10">
      <c r="A18" s="198" t="s">
        <v>268</v>
      </c>
      <c r="B18" s="201">
        <v>300008823388</v>
      </c>
      <c r="C18" s="185" t="s">
        <v>231</v>
      </c>
      <c r="D18" s="47">
        <f t="array" ref="D18">MAX(IF((应用投诉!$B:$B=应用投诉汇总!$A18)*(应用投诉!$D:$D=应用投诉汇总!$C18),应用投诉!$E:$E))</f>
        <v>0</v>
      </c>
      <c r="E18" s="47">
        <f t="array" ref="E18">MAX(IF((应用投诉!$B:$B=应用投诉汇总!$A18)*(应用投诉!$D:$D=应用投诉汇总!$C18),应用投诉!$F:$F))</f>
        <v>0</v>
      </c>
      <c r="F18" s="47">
        <f t="array" ref="F18">MAX(IF((应用投诉!$B:$B=应用投诉汇总!$A18)*(应用投诉!$D:$D=应用投诉汇总!$C18),应用投诉!$G:$G))</f>
        <v>0</v>
      </c>
      <c r="G18" s="47">
        <f t="array" ref="G18">MAX(IF((应用投诉!$B:$B=应用投诉汇总!$A18)*(应用投诉!$D:$D=应用投诉汇总!$C18),应用投诉!$H:$H))</f>
        <v>0</v>
      </c>
      <c r="H18" s="47">
        <f t="array" ref="H18">MAX(IF((应用投诉!$B:$B=应用投诉汇总!$A18)*(应用投诉!$D:$D=应用投诉汇总!$C18),应用投诉!$I:$I))</f>
        <v>0</v>
      </c>
      <c r="I18" s="47">
        <f t="array" ref="I18">MAX(IF((应用投诉!$B:$B=应用投诉汇总!$A18)*(应用投诉!$D:$D=应用投诉汇总!$C18),应用投诉!$J:$J))</f>
        <v>0</v>
      </c>
      <c r="J18" s="47">
        <f t="array" ref="J18">MAX(IF((应用投诉!$B:$B=应用投诉汇总!$A18)*(应用投诉!$D:$D=应用投诉汇总!$C18),应用投诉!$K:$K))</f>
        <v>0</v>
      </c>
    </row>
    <row r="19" spans="1:10">
      <c r="A19" s="198" t="s">
        <v>271</v>
      </c>
      <c r="B19" s="201">
        <v>300009290321</v>
      </c>
      <c r="C19" s="185" t="s">
        <v>194</v>
      </c>
      <c r="D19" s="47">
        <f t="array" ref="D19">MAX(IF((应用投诉!$B:$B=应用投诉汇总!$A19)*(应用投诉!$D:$D=应用投诉汇总!$C19),应用投诉!$E:$E))</f>
        <v>0</v>
      </c>
      <c r="E19" s="47">
        <f t="array" ref="E19">MAX(IF((应用投诉!$B:$B=应用投诉汇总!$A19)*(应用投诉!$D:$D=应用投诉汇总!$C19),应用投诉!$F:$F))</f>
        <v>0</v>
      </c>
      <c r="F19" s="47">
        <f t="array" ref="F19">MAX(IF((应用投诉!$B:$B=应用投诉汇总!$A19)*(应用投诉!$D:$D=应用投诉汇总!$C19),应用投诉!$G:$G))</f>
        <v>0</v>
      </c>
      <c r="G19" s="47">
        <f t="array" ref="G19">MAX(IF((应用投诉!$B:$B=应用投诉汇总!$A19)*(应用投诉!$D:$D=应用投诉汇总!$C19),应用投诉!$H:$H))</f>
        <v>0</v>
      </c>
      <c r="H19" s="47">
        <f t="array" ref="H19">MAX(IF((应用投诉!$B:$B=应用投诉汇总!$A19)*(应用投诉!$D:$D=应用投诉汇总!$C19),应用投诉!$I:$I))</f>
        <v>0</v>
      </c>
      <c r="I19" s="47">
        <f t="array" ref="I19">MAX(IF((应用投诉!$B:$B=应用投诉汇总!$A19)*(应用投诉!$D:$D=应用投诉汇总!$C19),应用投诉!$J:$J))</f>
        <v>0</v>
      </c>
      <c r="J19" s="47">
        <f t="array" ref="J19">MAX(IF((应用投诉!$B:$B=应用投诉汇总!$A19)*(应用投诉!$D:$D=应用投诉汇总!$C19),应用投诉!$K:$K))</f>
        <v>0</v>
      </c>
    </row>
    <row r="20" spans="1:10" s="47" customFormat="1">
      <c r="A20" s="198"/>
      <c r="B20" s="201"/>
      <c r="C20" s="185"/>
      <c r="I20" s="187"/>
    </row>
    <row r="21" spans="1:10" s="47" customFormat="1">
      <c r="A21" s="207" t="s">
        <v>274</v>
      </c>
      <c r="B21" s="201">
        <v>300008508327</v>
      </c>
      <c r="C21" s="185" t="s">
        <v>275</v>
      </c>
      <c r="D21" s="47">
        <f t="array" ref="D21">MAX(IF((渠道应用投诉!$B:$B=应用投诉汇总!$A21)*(渠道应用投诉!$D:$D=应用投诉汇总!$C21),渠道应用投诉!$E:$E))</f>
        <v>0</v>
      </c>
      <c r="E21" s="47">
        <f t="array" ref="E21">MAX(IF((渠道应用投诉!$B:$B=应用投诉汇总!$A21)*(渠道应用投诉!$D:$D=应用投诉汇总!$C21),渠道应用投诉!$F:$F))</f>
        <v>1</v>
      </c>
      <c r="F21" s="47">
        <f t="array" ref="F21">MAX(IF((渠道应用投诉!$B:$B=应用投诉汇总!$A21)*(渠道应用投诉!$D:$D=应用投诉汇总!$C21),渠道应用投诉!$H:$H))</f>
        <v>0</v>
      </c>
      <c r="G21" s="47">
        <f t="array" ref="G21">MAX(IF((渠道应用投诉!$B:$B=应用投诉汇总!$A21)*(渠道应用投诉!$D:$D=应用投诉汇总!$C21),渠道应用投诉!$I:$I))</f>
        <v>1</v>
      </c>
      <c r="H21" s="47">
        <f t="array" ref="H21">MAX(IF((渠道应用投诉!$B:$B=应用投诉汇总!$A21)*(渠道应用投诉!$D:$D=应用投诉汇总!$C21),渠道应用投诉!$K:$K))</f>
        <v>1159</v>
      </c>
      <c r="I21" s="47">
        <f t="array" ref="I21">MAX(IF((渠道应用投诉!$B:$B=应用投诉汇总!$A21)*(渠道应用投诉!$D:$D=应用投诉汇总!$C21),渠道应用投诉!$G:$G))</f>
        <v>1</v>
      </c>
      <c r="J21" s="47">
        <f t="array" ref="J21">MAX(IF((渠道应用投诉!$B:$B=应用投诉汇总!$A21)*(渠道应用投诉!$D:$D=应用投诉汇总!$C21),渠道应用投诉!$J:$J))</f>
        <v>1</v>
      </c>
    </row>
    <row r="22" spans="1:10" s="47" customFormat="1" ht="15">
      <c r="A22" s="207" t="s">
        <v>274</v>
      </c>
      <c r="B22" s="203">
        <v>300008868585</v>
      </c>
      <c r="C22" s="194" t="s">
        <v>276</v>
      </c>
      <c r="D22" s="47">
        <f t="array" ref="D22">MAX(IF((渠道应用投诉!$B:$B=应用投诉汇总!$A22)*(渠道应用投诉!$D:$D=应用投诉汇总!$C22),渠道应用投诉!$E:$E))</f>
        <v>0</v>
      </c>
      <c r="E22" s="47">
        <f t="array" ref="E22">MAX(IF((渠道应用投诉!$B:$B=应用投诉汇总!$A22)*(渠道应用投诉!$D:$D=应用投诉汇总!$C22),渠道应用投诉!$F:$F))</f>
        <v>0</v>
      </c>
      <c r="F22" s="47">
        <f t="array" ref="F22">MAX(IF((渠道应用投诉!$B:$B=应用投诉汇总!$A22)*(渠道应用投诉!$D:$D=应用投诉汇总!$C22),渠道应用投诉!$H:$H))</f>
        <v>0</v>
      </c>
      <c r="G22" s="47">
        <f t="array" ref="G22">MAX(IF((渠道应用投诉!$B:$B=应用投诉汇总!$A22)*(渠道应用投诉!$D:$D=应用投诉汇总!$C22),渠道应用投诉!$I:$I))</f>
        <v>0</v>
      </c>
      <c r="H22" s="47">
        <f t="array" ref="H22">MAX(IF((渠道应用投诉!$B:$B=应用投诉汇总!$A22)*(渠道应用投诉!$D:$D=应用投诉汇总!$C22),渠道应用投诉!$K:$K))</f>
        <v>0</v>
      </c>
      <c r="I22" s="47">
        <f t="array" ref="I22">MAX(IF((渠道应用投诉!$B:$B=应用投诉汇总!$A22)*(渠道应用投诉!$D:$D=应用投诉汇总!$C22),渠道应用投诉!$G:$G))</f>
        <v>0</v>
      </c>
      <c r="J22" s="47">
        <f t="array" ref="J22">MAX(IF((渠道应用投诉!$B:$B=应用投诉汇总!$A22)*(渠道应用投诉!$D:$D=应用投诉汇总!$C22),渠道应用投诉!$J:$J))</f>
        <v>0</v>
      </c>
    </row>
    <row r="23" spans="1:10" s="47" customFormat="1" ht="15">
      <c r="A23" s="207" t="s">
        <v>274</v>
      </c>
      <c r="B23" s="204">
        <v>300008841062</v>
      </c>
      <c r="C23" s="195" t="s">
        <v>277</v>
      </c>
      <c r="D23" s="47">
        <f t="array" ref="D23">MAX(IF((渠道应用投诉!$B:$B=应用投诉汇总!$A23)*(渠道应用投诉!$D:$D=应用投诉汇总!$C23),渠道应用投诉!$E:$E))</f>
        <v>1</v>
      </c>
      <c r="E23" s="47">
        <f t="array" ref="E23">MAX(IF((渠道应用投诉!$B:$B=应用投诉汇总!$A23)*(渠道应用投诉!$D:$D=应用投诉汇总!$C23),渠道应用投诉!$F:$F))</f>
        <v>5</v>
      </c>
      <c r="F23" s="47">
        <f t="array" ref="F23">MAX(IF((渠道应用投诉!$B:$B=应用投诉汇总!$A23)*(渠道应用投诉!$D:$D=应用投诉汇总!$C23),渠道应用投诉!$H:$H))</f>
        <v>1</v>
      </c>
      <c r="G23" s="47">
        <f t="array" ref="G23">MAX(IF((渠道应用投诉!$B:$B=应用投诉汇总!$A23)*(渠道应用投诉!$D:$D=应用投诉汇总!$C23),渠道应用投诉!$I:$I))</f>
        <v>3</v>
      </c>
      <c r="H23" s="47">
        <f t="array" ref="H23">MAX(IF((渠道应用投诉!$B:$B=应用投诉汇总!$A23)*(渠道应用投诉!$D:$D=应用投诉汇总!$C23),渠道应用投诉!$K:$K))</f>
        <v>2968</v>
      </c>
      <c r="I23" s="47">
        <f t="array" ref="I23">MAX(IF((渠道应用投诉!$B:$B=应用投诉汇总!$A23)*(渠道应用投诉!$D:$D=应用投诉汇总!$C23),渠道应用投诉!$G:$G))</f>
        <v>5</v>
      </c>
      <c r="J23" s="47">
        <f t="array" ref="J23">MAX(IF((渠道应用投诉!$B:$B=应用投诉汇总!$A23)*(渠道应用投诉!$D:$D=应用投诉汇总!$C23),渠道应用投诉!$J:$J))</f>
        <v>3</v>
      </c>
    </row>
    <row r="24" spans="1:10" s="47" customFormat="1" ht="15">
      <c r="A24" s="207" t="s">
        <v>274</v>
      </c>
      <c r="B24" s="203">
        <v>300009193471</v>
      </c>
      <c r="C24" s="194" t="s">
        <v>278</v>
      </c>
      <c r="D24" s="47">
        <f t="array" ref="D24">MAX(IF((渠道应用投诉!$B:$B=应用投诉汇总!$A24)*(渠道应用投诉!$D:$D=应用投诉汇总!$C24),渠道应用投诉!$E:$E))</f>
        <v>0</v>
      </c>
      <c r="E24" s="47">
        <f t="array" ref="E24">MAX(IF((渠道应用投诉!$B:$B=应用投诉汇总!$A24)*(渠道应用投诉!$D:$D=应用投诉汇总!$C24),渠道应用投诉!$F:$F))</f>
        <v>0</v>
      </c>
      <c r="F24" s="47">
        <f t="array" ref="F24">MAX(IF((渠道应用投诉!$B:$B=应用投诉汇总!$A24)*(渠道应用投诉!$D:$D=应用投诉汇总!$C24),渠道应用投诉!$H:$H))</f>
        <v>0</v>
      </c>
      <c r="G24" s="47">
        <f t="array" ref="G24">MAX(IF((渠道应用投诉!$B:$B=应用投诉汇总!$A24)*(渠道应用投诉!$D:$D=应用投诉汇总!$C24),渠道应用投诉!$I:$I))</f>
        <v>0</v>
      </c>
      <c r="H24" s="47">
        <f t="array" ref="H24">MAX(IF((渠道应用投诉!$B:$B=应用投诉汇总!$A24)*(渠道应用投诉!$D:$D=应用投诉汇总!$C24),渠道应用投诉!$K:$K))</f>
        <v>0</v>
      </c>
      <c r="I24" s="47">
        <f t="array" ref="I24">MAX(IF((渠道应用投诉!$B:$B=应用投诉汇总!$A24)*(渠道应用投诉!$D:$D=应用投诉汇总!$C24),渠道应用投诉!$G:$G))</f>
        <v>0</v>
      </c>
      <c r="J24" s="47">
        <f t="array" ref="J24">MAX(IF((渠道应用投诉!$B:$B=应用投诉汇总!$A24)*(渠道应用投诉!$D:$D=应用投诉汇总!$C24),渠道应用投诉!$J:$J))</f>
        <v>0</v>
      </c>
    </row>
    <row r="25" spans="1:10" s="47" customFormat="1" ht="15">
      <c r="A25" s="207" t="s">
        <v>274</v>
      </c>
      <c r="B25" s="204">
        <v>300009410229</v>
      </c>
      <c r="C25" s="195" t="s">
        <v>279</v>
      </c>
      <c r="D25" s="47">
        <f t="array" ref="D25">MAX(IF((渠道应用投诉!$B:$B=应用投诉汇总!$A25)*(渠道应用投诉!$D:$D=应用投诉汇总!$C25),渠道应用投诉!$E:$E))</f>
        <v>0</v>
      </c>
      <c r="E25" s="47">
        <f t="array" ref="E25">MAX(IF((渠道应用投诉!$B:$B=应用投诉汇总!$A25)*(渠道应用投诉!$D:$D=应用投诉汇总!$C25),渠道应用投诉!$F:$F))</f>
        <v>0</v>
      </c>
      <c r="F25" s="47">
        <f t="array" ref="F25">MAX(IF((渠道应用投诉!$B:$B=应用投诉汇总!$A25)*(渠道应用投诉!$D:$D=应用投诉汇总!$C25),渠道应用投诉!$H:$H))</f>
        <v>0</v>
      </c>
      <c r="G25" s="47">
        <f t="array" ref="G25">MAX(IF((渠道应用投诉!$B:$B=应用投诉汇总!$A25)*(渠道应用投诉!$D:$D=应用投诉汇总!$C25),渠道应用投诉!$I:$I))</f>
        <v>0</v>
      </c>
      <c r="H25" s="47">
        <f t="array" ref="H25">MAX(IF((渠道应用投诉!$B:$B=应用投诉汇总!$A25)*(渠道应用投诉!$D:$D=应用投诉汇总!$C25),渠道应用投诉!$K:$K))</f>
        <v>64</v>
      </c>
      <c r="I25" s="47">
        <f t="array" ref="I25">MAX(IF((渠道应用投诉!$B:$B=应用投诉汇总!$A25)*(渠道应用投诉!$D:$D=应用投诉汇总!$C25),渠道应用投诉!$G:$G))</f>
        <v>0</v>
      </c>
      <c r="J25" s="47">
        <f t="array" ref="J25">MAX(IF((渠道应用投诉!$B:$B=应用投诉汇总!$A25)*(渠道应用投诉!$D:$D=应用投诉汇总!$C25),渠道应用投诉!$J:$J))</f>
        <v>0</v>
      </c>
    </row>
    <row r="26" spans="1:10" s="47" customFormat="1" ht="15">
      <c r="A26" s="207" t="s">
        <v>274</v>
      </c>
      <c r="B26" s="203">
        <v>300008366824</v>
      </c>
      <c r="C26" s="194" t="s">
        <v>280</v>
      </c>
      <c r="D26" s="47">
        <f t="array" ref="D26">MAX(IF((渠道应用投诉!$B:$B=应用投诉汇总!$A26)*(渠道应用投诉!$D:$D=应用投诉汇总!$C26),渠道应用投诉!$E:$E))</f>
        <v>0</v>
      </c>
      <c r="E26" s="47">
        <f t="array" ref="E26">MAX(IF((渠道应用投诉!$B:$B=应用投诉汇总!$A26)*(渠道应用投诉!$D:$D=应用投诉汇总!$C26),渠道应用投诉!$F:$F))</f>
        <v>0</v>
      </c>
      <c r="F26" s="47">
        <f t="array" ref="F26">MAX(IF((渠道应用投诉!$B:$B=应用投诉汇总!$A26)*(渠道应用投诉!$D:$D=应用投诉汇总!$C26),渠道应用投诉!$H:$H))</f>
        <v>0</v>
      </c>
      <c r="G26" s="47">
        <f t="array" ref="G26">MAX(IF((渠道应用投诉!$B:$B=应用投诉汇总!$A26)*(渠道应用投诉!$D:$D=应用投诉汇总!$C26),渠道应用投诉!$I:$I))</f>
        <v>0</v>
      </c>
      <c r="H26" s="47">
        <f t="array" ref="H26">MAX(IF((渠道应用投诉!$B:$B=应用投诉汇总!$A26)*(渠道应用投诉!$D:$D=应用投诉汇总!$C26),渠道应用投诉!$K:$K))</f>
        <v>0</v>
      </c>
      <c r="I26" s="47">
        <f t="array" ref="I26">MAX(IF((渠道应用投诉!$B:$B=应用投诉汇总!$A26)*(渠道应用投诉!$D:$D=应用投诉汇总!$C26),渠道应用投诉!$G:$G))</f>
        <v>0</v>
      </c>
      <c r="J26" s="47">
        <f t="array" ref="J26">MAX(IF((渠道应用投诉!$B:$B=应用投诉汇总!$A26)*(渠道应用投诉!$D:$D=应用投诉汇总!$C26),渠道应用投诉!$J:$J))</f>
        <v>0</v>
      </c>
    </row>
    <row r="27" spans="1:10" s="47" customFormat="1" ht="15">
      <c r="A27" s="207" t="s">
        <v>274</v>
      </c>
      <c r="B27" s="205">
        <v>300008999972</v>
      </c>
      <c r="C27" s="196" t="s">
        <v>281</v>
      </c>
      <c r="D27" s="47">
        <f t="array" ref="D27">MAX(IF((渠道应用投诉!$B:$B=应用投诉汇总!$A27)*(渠道应用投诉!$D:$D=应用投诉汇总!$C27),渠道应用投诉!$E:$E))</f>
        <v>0</v>
      </c>
      <c r="E27" s="47">
        <f t="array" ref="E27">MAX(IF((渠道应用投诉!$B:$B=应用投诉汇总!$A27)*(渠道应用投诉!$D:$D=应用投诉汇总!$C27),渠道应用投诉!$F:$F))</f>
        <v>0</v>
      </c>
      <c r="F27" s="47">
        <f t="array" ref="F27">MAX(IF((渠道应用投诉!$B:$B=应用投诉汇总!$A27)*(渠道应用投诉!$D:$D=应用投诉汇总!$C27),渠道应用投诉!$H:$H))</f>
        <v>0</v>
      </c>
      <c r="G27" s="47">
        <f t="array" ref="G27">MAX(IF((渠道应用投诉!$B:$B=应用投诉汇总!$A27)*(渠道应用投诉!$D:$D=应用投诉汇总!$C27),渠道应用投诉!$I:$I))</f>
        <v>0</v>
      </c>
      <c r="H27" s="47">
        <f t="array" ref="H27">MAX(IF((渠道应用投诉!$B:$B=应用投诉汇总!$A27)*(渠道应用投诉!$D:$D=应用投诉汇总!$C27),渠道应用投诉!$K:$K))</f>
        <v>0</v>
      </c>
      <c r="I27" s="47">
        <f t="array" ref="I27">MAX(IF((渠道应用投诉!$B:$B=应用投诉汇总!$A27)*(渠道应用投诉!$D:$D=应用投诉汇总!$C27),渠道应用投诉!$G:$G))</f>
        <v>0</v>
      </c>
      <c r="J27" s="47">
        <f t="array" ref="J27">MAX(IF((渠道应用投诉!$B:$B=应用投诉汇总!$A27)*(渠道应用投诉!$D:$D=应用投诉汇总!$C27),渠道应用投诉!$J:$J))</f>
        <v>0</v>
      </c>
    </row>
    <row r="28" spans="1:10" ht="15">
      <c r="A28" s="207" t="s">
        <v>274</v>
      </c>
      <c r="B28" s="203">
        <v>300009197635</v>
      </c>
      <c r="C28" s="194" t="s">
        <v>282</v>
      </c>
      <c r="D28" s="47">
        <f t="array" ref="D28">MAX(IF((渠道应用投诉!$B:$B=应用投诉汇总!$A28)*(渠道应用投诉!$D:$D=应用投诉汇总!$C28),渠道应用投诉!$E:$E))</f>
        <v>4</v>
      </c>
      <c r="E28" s="47">
        <f t="array" ref="E28">MAX(IF((渠道应用投诉!$B:$B=应用投诉汇总!$A28)*(渠道应用投诉!$D:$D=应用投诉汇总!$C28),渠道应用投诉!$F:$F))</f>
        <v>14</v>
      </c>
      <c r="F28" s="47">
        <f t="array" ref="F28">MAX(IF((渠道应用投诉!$B:$B=应用投诉汇总!$A28)*(渠道应用投诉!$D:$D=应用投诉汇总!$C28),渠道应用投诉!$H:$H))</f>
        <v>1</v>
      </c>
      <c r="G28" s="47">
        <f t="array" ref="G28">MAX(IF((渠道应用投诉!$B:$B=应用投诉汇总!$A28)*(渠道应用投诉!$D:$D=应用投诉汇总!$C28),渠道应用投诉!$I:$I))</f>
        <v>3</v>
      </c>
      <c r="H28" s="47">
        <f t="array" ref="H28">MAX(IF((渠道应用投诉!$B:$B=应用投诉汇总!$A28)*(渠道应用投诉!$D:$D=应用投诉汇总!$C28),渠道应用投诉!$K:$K))</f>
        <v>3121</v>
      </c>
      <c r="I28" s="47">
        <f t="array" ref="I28">MAX(IF((渠道应用投诉!$B:$B=应用投诉汇总!$A28)*(渠道应用投诉!$D:$D=应用投诉汇总!$C28),渠道应用投诉!$G:$G))</f>
        <v>14</v>
      </c>
      <c r="J28" s="47">
        <f t="array" ref="J28">MAX(IF((渠道应用投诉!$B:$B=应用投诉汇总!$A28)*(渠道应用投诉!$D:$D=应用投诉汇总!$C28),渠道应用投诉!$J:$J))</f>
        <v>3</v>
      </c>
    </row>
    <row r="29" spans="1:10" ht="15">
      <c r="A29" s="207" t="s">
        <v>274</v>
      </c>
      <c r="B29" s="204">
        <v>300009232016</v>
      </c>
      <c r="C29" s="195" t="s">
        <v>283</v>
      </c>
      <c r="D29" s="47">
        <f t="array" ref="D29">MAX(IF((渠道应用投诉!$B:$B=应用投诉汇总!$A29)*(渠道应用投诉!$D:$D=应用投诉汇总!$C29),渠道应用投诉!$E:$E))</f>
        <v>0</v>
      </c>
      <c r="E29" s="47">
        <f t="array" ref="E29">MAX(IF((渠道应用投诉!$B:$B=应用投诉汇总!$A29)*(渠道应用投诉!$D:$D=应用投诉汇总!$C29),渠道应用投诉!$F:$F))</f>
        <v>0</v>
      </c>
      <c r="F29" s="47">
        <f t="array" ref="F29">MAX(IF((渠道应用投诉!$B:$B=应用投诉汇总!$A29)*(渠道应用投诉!$D:$D=应用投诉汇总!$C29),渠道应用投诉!$H:$H))</f>
        <v>0</v>
      </c>
      <c r="G29" s="47">
        <f t="array" ref="G29">MAX(IF((渠道应用投诉!$B:$B=应用投诉汇总!$A29)*(渠道应用投诉!$D:$D=应用投诉汇总!$C29),渠道应用投诉!$I:$I))</f>
        <v>0</v>
      </c>
      <c r="H29" s="47">
        <f t="array" ref="H29">MAX(IF((渠道应用投诉!$B:$B=应用投诉汇总!$A29)*(渠道应用投诉!$D:$D=应用投诉汇总!$C29),渠道应用投诉!$K:$K))</f>
        <v>0</v>
      </c>
      <c r="I29" s="47">
        <f t="array" ref="I29">MAX(IF((渠道应用投诉!$B:$B=应用投诉汇总!$A29)*(渠道应用投诉!$D:$D=应用投诉汇总!$C29),渠道应用投诉!$G:$G))</f>
        <v>0</v>
      </c>
      <c r="J29" s="47">
        <f t="array" ref="J29">MAX(IF((渠道应用投诉!$B:$B=应用投诉汇总!$A29)*(渠道应用投诉!$D:$D=应用投诉汇总!$C29),渠道应用投诉!$J:$J))</f>
        <v>0</v>
      </c>
    </row>
    <row r="30" spans="1:10" ht="15">
      <c r="A30" s="199" t="s">
        <v>284</v>
      </c>
      <c r="B30" s="204">
        <v>300008868585</v>
      </c>
      <c r="C30" s="195" t="s">
        <v>276</v>
      </c>
      <c r="D30" s="47">
        <f t="array" ref="D30">MAX(IF((渠道应用投诉!$B:$B=应用投诉汇总!$A30)*(渠道应用投诉!$D:$D=应用投诉汇总!$C30),渠道应用投诉!$E:$E))</f>
        <v>0</v>
      </c>
      <c r="E30" s="47">
        <f t="array" ref="E30">MAX(IF((渠道应用投诉!$B:$B=应用投诉汇总!$A30)*(渠道应用投诉!$D:$D=应用投诉汇总!$C30),渠道应用投诉!$F:$F))</f>
        <v>0</v>
      </c>
      <c r="F30" s="47">
        <f t="array" ref="F30">MAX(IF((渠道应用投诉!$B:$B=应用投诉汇总!$A30)*(渠道应用投诉!$D:$D=应用投诉汇总!$C30),渠道应用投诉!$H:$H))</f>
        <v>0</v>
      </c>
      <c r="G30" s="47">
        <f t="array" ref="G30">MAX(IF((渠道应用投诉!$B:$B=应用投诉汇总!$A30)*(渠道应用投诉!$D:$D=应用投诉汇总!$C30),渠道应用投诉!$I:$I))</f>
        <v>0</v>
      </c>
      <c r="H30" s="47">
        <f t="array" ref="H30">MAX(IF((渠道应用投诉!$B:$B=应用投诉汇总!$A30)*(渠道应用投诉!$D:$D=应用投诉汇总!$C30),渠道应用投诉!$K:$K))</f>
        <v>0</v>
      </c>
      <c r="I30" s="47">
        <f t="array" ref="I30">MAX(IF((渠道应用投诉!$B:$B=应用投诉汇总!$A30)*(渠道应用投诉!$D:$D=应用投诉汇总!$C30),渠道应用投诉!$G:$G))</f>
        <v>0</v>
      </c>
      <c r="J30" s="47">
        <f t="array" ref="J30">MAX(IF((渠道应用投诉!$B:$B=应用投诉汇总!$A30)*(渠道应用投诉!$D:$D=应用投诉汇总!$C30),渠道应用投诉!$J:$J))</f>
        <v>0</v>
      </c>
    </row>
    <row r="31" spans="1:10" ht="15">
      <c r="A31" s="199" t="s">
        <v>284</v>
      </c>
      <c r="B31" s="203">
        <v>300009193471</v>
      </c>
      <c r="C31" s="194" t="s">
        <v>278</v>
      </c>
      <c r="D31" s="47">
        <f t="array" ref="D31">MAX(IF((渠道应用投诉!$B:$B=应用投诉汇总!$A31)*(渠道应用投诉!$D:$D=应用投诉汇总!$C31),渠道应用投诉!$E:$E))</f>
        <v>0</v>
      </c>
      <c r="E31" s="47">
        <f t="array" ref="E31">MAX(IF((渠道应用投诉!$B:$B=应用投诉汇总!$A31)*(渠道应用投诉!$D:$D=应用投诉汇总!$C31),渠道应用投诉!$F:$F))</f>
        <v>0</v>
      </c>
      <c r="F31" s="47">
        <f t="array" ref="F31">MAX(IF((渠道应用投诉!$B:$B=应用投诉汇总!$A31)*(渠道应用投诉!$D:$D=应用投诉汇总!$C31),渠道应用投诉!$H:$H))</f>
        <v>0</v>
      </c>
      <c r="G31" s="47">
        <f t="array" ref="G31">MAX(IF((渠道应用投诉!$B:$B=应用投诉汇总!$A31)*(渠道应用投诉!$D:$D=应用投诉汇总!$C31),渠道应用投诉!$I:$I))</f>
        <v>0</v>
      </c>
      <c r="H31" s="47">
        <f t="array" ref="H31">MAX(IF((渠道应用投诉!$B:$B=应用投诉汇总!$A31)*(渠道应用投诉!$D:$D=应用投诉汇总!$C31),渠道应用投诉!$K:$K))</f>
        <v>0</v>
      </c>
      <c r="I31" s="47">
        <f t="array" ref="I31">MAX(IF((渠道应用投诉!$B:$B=应用投诉汇总!$A31)*(渠道应用投诉!$D:$D=应用投诉汇总!$C31),渠道应用投诉!$G:$G))</f>
        <v>0</v>
      </c>
      <c r="J31" s="47">
        <f t="array" ref="J31">MAX(IF((渠道应用投诉!$B:$B=应用投诉汇总!$A31)*(渠道应用投诉!$D:$D=应用投诉汇总!$C31),渠道应用投诉!$J:$J))</f>
        <v>0</v>
      </c>
    </row>
    <row r="32" spans="1:10" ht="15">
      <c r="A32" s="199" t="s">
        <v>284</v>
      </c>
      <c r="B32" s="204">
        <v>300008508327</v>
      </c>
      <c r="C32" s="195" t="s">
        <v>275</v>
      </c>
      <c r="D32" s="47">
        <f t="array" ref="D32">MAX(IF((渠道应用投诉!$B:$B=应用投诉汇总!$A32)*(渠道应用投诉!$D:$D=应用投诉汇总!$C32),渠道应用投诉!$E:$E))</f>
        <v>2</v>
      </c>
      <c r="E32" s="47">
        <f t="array" ref="E32">MAX(IF((渠道应用投诉!$B:$B=应用投诉汇总!$A32)*(渠道应用投诉!$D:$D=应用投诉汇总!$C32),渠道应用投诉!$F:$F))</f>
        <v>4</v>
      </c>
      <c r="F32" s="47">
        <f t="array" ref="F32">MAX(IF((渠道应用投诉!$B:$B=应用投诉汇总!$A32)*(渠道应用投诉!$D:$D=应用投诉汇总!$C32),渠道应用投诉!$H:$H))</f>
        <v>4</v>
      </c>
      <c r="G32" s="47">
        <f t="array" ref="G32">MAX(IF((渠道应用投诉!$B:$B=应用投诉汇总!$A32)*(渠道应用投诉!$D:$D=应用投诉汇总!$C32),渠道应用投诉!$I:$I))</f>
        <v>4</v>
      </c>
      <c r="H32" s="47">
        <f t="array" ref="H32">MAX(IF((渠道应用投诉!$B:$B=应用投诉汇总!$A32)*(渠道应用投诉!$D:$D=应用投诉汇总!$C32),渠道应用投诉!$K:$K))</f>
        <v>20012</v>
      </c>
      <c r="I32" s="47">
        <f t="array" ref="I32">MAX(IF((渠道应用投诉!$B:$B=应用投诉汇总!$A32)*(渠道应用投诉!$D:$D=应用投诉汇总!$C32),渠道应用投诉!$G:$G))</f>
        <v>4</v>
      </c>
      <c r="J32" s="47">
        <f t="array" ref="J32">MAX(IF((渠道应用投诉!$B:$B=应用投诉汇总!$A32)*(渠道应用投诉!$D:$D=应用投诉汇总!$C32),渠道应用投诉!$J:$J))</f>
        <v>4</v>
      </c>
    </row>
    <row r="33" spans="1:10" ht="15">
      <c r="A33" s="199" t="s">
        <v>284</v>
      </c>
      <c r="B33" s="203">
        <v>300008366824</v>
      </c>
      <c r="C33" s="194" t="s">
        <v>280</v>
      </c>
      <c r="D33" s="47">
        <f t="array" ref="D33">MAX(IF((渠道应用投诉!$B:$B=应用投诉汇总!$A33)*(渠道应用投诉!$D:$D=应用投诉汇总!$C33),渠道应用投诉!$E:$E))</f>
        <v>0</v>
      </c>
      <c r="E33" s="47">
        <f t="array" ref="E33">MAX(IF((渠道应用投诉!$B:$B=应用投诉汇总!$A33)*(渠道应用投诉!$D:$D=应用投诉汇总!$C33),渠道应用投诉!$F:$F))</f>
        <v>0</v>
      </c>
      <c r="F33" s="47">
        <f t="array" ref="F33">MAX(IF((渠道应用投诉!$B:$B=应用投诉汇总!$A33)*(渠道应用投诉!$D:$D=应用投诉汇总!$C33),渠道应用投诉!$H:$H))</f>
        <v>0</v>
      </c>
      <c r="G33" s="47">
        <f t="array" ref="G33">MAX(IF((渠道应用投诉!$B:$B=应用投诉汇总!$A33)*(渠道应用投诉!$D:$D=应用投诉汇总!$C33),渠道应用投诉!$I:$I))</f>
        <v>0</v>
      </c>
      <c r="H33" s="47">
        <f t="array" ref="H33">MAX(IF((渠道应用投诉!$B:$B=应用投诉汇总!$A33)*(渠道应用投诉!$D:$D=应用投诉汇总!$C33),渠道应用投诉!$K:$K))</f>
        <v>0</v>
      </c>
      <c r="I33" s="47">
        <f t="array" ref="I33">MAX(IF((渠道应用投诉!$B:$B=应用投诉汇总!$A33)*(渠道应用投诉!$D:$D=应用投诉汇总!$C33),渠道应用投诉!$G:$G))</f>
        <v>0</v>
      </c>
      <c r="J33" s="47">
        <f t="array" ref="J33">MAX(IF((渠道应用投诉!$B:$B=应用投诉汇总!$A33)*(渠道应用投诉!$D:$D=应用投诉汇总!$C33),渠道应用投诉!$J:$J))</f>
        <v>0</v>
      </c>
    </row>
    <row r="34" spans="1:10" ht="15">
      <c r="A34" s="199" t="s">
        <v>284</v>
      </c>
      <c r="B34" s="204">
        <v>300009410229</v>
      </c>
      <c r="C34" s="195" t="s">
        <v>279</v>
      </c>
      <c r="D34" s="47">
        <f t="array" ref="D34">MAX(IF((渠道应用投诉!$B:$B=应用投诉汇总!$A34)*(渠道应用投诉!$D:$D=应用投诉汇总!$C34),渠道应用投诉!$E:$E))</f>
        <v>1</v>
      </c>
      <c r="E34" s="47">
        <f t="array" ref="E34">MAX(IF((渠道应用投诉!$B:$B=应用投诉汇总!$A34)*(渠道应用投诉!$D:$D=应用投诉汇总!$C34),渠道应用投诉!$F:$F))</f>
        <v>1</v>
      </c>
      <c r="F34" s="47">
        <f t="array" ref="F34">MAX(IF((渠道应用投诉!$B:$B=应用投诉汇总!$A34)*(渠道应用投诉!$D:$D=应用投诉汇总!$C34),渠道应用投诉!$H:$H))</f>
        <v>0</v>
      </c>
      <c r="G34" s="47">
        <f t="array" ref="G34">MAX(IF((渠道应用投诉!$B:$B=应用投诉汇总!$A34)*(渠道应用投诉!$D:$D=应用投诉汇总!$C34),渠道应用投诉!$I:$I))</f>
        <v>0</v>
      </c>
      <c r="H34" s="47">
        <f t="array" ref="H34">MAX(IF((渠道应用投诉!$B:$B=应用投诉汇总!$A34)*(渠道应用投诉!$D:$D=应用投诉汇总!$C34),渠道应用投诉!$K:$K))</f>
        <v>1060.2</v>
      </c>
      <c r="I34" s="47">
        <f t="array" ref="I34">MAX(IF((渠道应用投诉!$B:$B=应用投诉汇总!$A34)*(渠道应用投诉!$D:$D=应用投诉汇总!$C34),渠道应用投诉!$G:$G))</f>
        <v>1</v>
      </c>
      <c r="J34" s="47">
        <f t="array" ref="J34">MAX(IF((渠道应用投诉!$B:$B=应用投诉汇总!$A34)*(渠道应用投诉!$D:$D=应用投诉汇总!$C34),渠道应用投诉!$J:$J))</f>
        <v>0</v>
      </c>
    </row>
    <row r="35" spans="1:10" ht="15">
      <c r="A35" s="199" t="s">
        <v>284</v>
      </c>
      <c r="B35" s="205">
        <v>300008841062</v>
      </c>
      <c r="C35" s="196" t="s">
        <v>277</v>
      </c>
      <c r="D35" s="47">
        <f t="array" ref="D35">MAX(IF((渠道应用投诉!$B:$B=应用投诉汇总!$A35)*(渠道应用投诉!$D:$D=应用投诉汇总!$C35),渠道应用投诉!$E:$E))</f>
        <v>1</v>
      </c>
      <c r="E35" s="47">
        <f t="array" ref="E35">MAX(IF((渠道应用投诉!$B:$B=应用投诉汇总!$A35)*(渠道应用投诉!$D:$D=应用投诉汇总!$C35),渠道应用投诉!$F:$F))</f>
        <v>11</v>
      </c>
      <c r="F35" s="47">
        <f t="array" ref="F35">MAX(IF((渠道应用投诉!$B:$B=应用投诉汇总!$A35)*(渠道应用投诉!$D:$D=应用投诉汇总!$C35),渠道应用投诉!$H:$H))</f>
        <v>4</v>
      </c>
      <c r="G35" s="47">
        <f t="array" ref="G35">MAX(IF((渠道应用投诉!$B:$B=应用投诉汇总!$A35)*(渠道应用投诉!$D:$D=应用投诉汇总!$C35),渠道应用投诉!$I:$I))</f>
        <v>7</v>
      </c>
      <c r="H35" s="47">
        <f t="array" ref="H35">MAX(IF((渠道应用投诉!$B:$B=应用投诉汇总!$A35)*(渠道应用投诉!$D:$D=应用投诉汇总!$C35),渠道应用投诉!$K:$K))</f>
        <v>16937.75</v>
      </c>
      <c r="I35" s="47">
        <f t="array" ref="I35">MAX(IF((渠道应用投诉!$B:$B=应用投诉汇总!$A35)*(渠道应用投诉!$D:$D=应用投诉汇总!$C35),渠道应用投诉!$G:$G))</f>
        <v>11</v>
      </c>
      <c r="J35" s="47">
        <f t="array" ref="J35">MAX(IF((渠道应用投诉!$B:$B=应用投诉汇总!$A35)*(渠道应用投诉!$D:$D=应用投诉汇总!$C35),渠道应用投诉!$J:$J))</f>
        <v>7</v>
      </c>
    </row>
    <row r="36" spans="1:10" ht="15">
      <c r="A36" s="199" t="s">
        <v>284</v>
      </c>
      <c r="B36" s="204">
        <v>300008999972</v>
      </c>
      <c r="C36" s="195" t="s">
        <v>281</v>
      </c>
      <c r="D36" s="47">
        <f t="array" ref="D36">MAX(IF((渠道应用投诉!$B:$B=应用投诉汇总!$A36)*(渠道应用投诉!$D:$D=应用投诉汇总!$C36),渠道应用投诉!$E:$E))</f>
        <v>0</v>
      </c>
      <c r="E36" s="47">
        <f t="array" ref="E36">MAX(IF((渠道应用投诉!$B:$B=应用投诉汇总!$A36)*(渠道应用投诉!$D:$D=应用投诉汇总!$C36),渠道应用投诉!$F:$F))</f>
        <v>0</v>
      </c>
      <c r="F36" s="47">
        <f t="array" ref="F36">MAX(IF((渠道应用投诉!$B:$B=应用投诉汇总!$A36)*(渠道应用投诉!$D:$D=应用投诉汇总!$C36),渠道应用投诉!$H:$H))</f>
        <v>0</v>
      </c>
      <c r="G36" s="47">
        <f t="array" ref="G36">MAX(IF((渠道应用投诉!$B:$B=应用投诉汇总!$A36)*(渠道应用投诉!$D:$D=应用投诉汇总!$C36),渠道应用投诉!$I:$I))</f>
        <v>0</v>
      </c>
      <c r="H36" s="47">
        <f t="array" ref="H36">MAX(IF((渠道应用投诉!$B:$B=应用投诉汇总!$A36)*(渠道应用投诉!$D:$D=应用投诉汇总!$C36),渠道应用投诉!$K:$K))</f>
        <v>0</v>
      </c>
      <c r="I36" s="47">
        <f t="array" ref="I36">MAX(IF((渠道应用投诉!$B:$B=应用投诉汇总!$A36)*(渠道应用投诉!$D:$D=应用投诉汇总!$C36),渠道应用投诉!$G:$G))</f>
        <v>0</v>
      </c>
      <c r="J36" s="47">
        <f t="array" ref="J36">MAX(IF((渠道应用投诉!$B:$B=应用投诉汇总!$A36)*(渠道应用投诉!$D:$D=应用投诉汇总!$C36),渠道应用投诉!$J:$J))</f>
        <v>0</v>
      </c>
    </row>
    <row r="37" spans="1:10" ht="15">
      <c r="A37" s="199" t="s">
        <v>284</v>
      </c>
      <c r="B37" s="203">
        <v>300009197635</v>
      </c>
      <c r="C37" s="194" t="s">
        <v>282</v>
      </c>
      <c r="D37" s="47">
        <f t="array" ref="D37">MAX(IF((渠道应用投诉!$B:$B=应用投诉汇总!$A37)*(渠道应用投诉!$D:$D=应用投诉汇总!$C37),渠道应用投诉!$E:$E))</f>
        <v>1</v>
      </c>
      <c r="E37" s="47">
        <f t="array" ref="E37">MAX(IF((渠道应用投诉!$B:$B=应用投诉汇总!$A37)*(渠道应用投诉!$D:$D=应用投诉汇总!$C37),渠道应用投诉!$F:$F))</f>
        <v>9</v>
      </c>
      <c r="F37" s="47">
        <f t="array" ref="F37">MAX(IF((渠道应用投诉!$B:$B=应用投诉汇总!$A37)*(渠道应用投诉!$D:$D=应用投诉汇总!$C37),渠道应用投诉!$H:$H))</f>
        <v>1</v>
      </c>
      <c r="G37" s="47">
        <f t="array" ref="G37">MAX(IF((渠道应用投诉!$B:$B=应用投诉汇总!$A37)*(渠道应用投诉!$D:$D=应用投诉汇总!$C37),渠道应用投诉!$I:$I))</f>
        <v>1.86</v>
      </c>
      <c r="H37" s="47">
        <f t="array" ref="H37">MAX(IF((渠道应用投诉!$B:$B=应用投诉汇总!$A37)*(渠道应用投诉!$D:$D=应用投诉汇总!$C37),渠道应用投诉!$K:$K))</f>
        <v>21478.69</v>
      </c>
      <c r="I37" s="47">
        <f t="array" ref="I37">MAX(IF((渠道应用投诉!$B:$B=应用投诉汇总!$A37)*(渠道应用投诉!$D:$D=应用投诉汇总!$C37),渠道应用投诉!$G:$G))</f>
        <v>9</v>
      </c>
      <c r="J37" s="47">
        <f t="array" ref="J37">MAX(IF((渠道应用投诉!$B:$B=应用投诉汇总!$A37)*(渠道应用投诉!$D:$D=应用投诉汇总!$C37),渠道应用投诉!$J:$J))</f>
        <v>1</v>
      </c>
    </row>
    <row r="38" spans="1:10" ht="15">
      <c r="A38" s="199" t="s">
        <v>284</v>
      </c>
      <c r="B38" s="204">
        <v>300009232016</v>
      </c>
      <c r="C38" s="195" t="s">
        <v>283</v>
      </c>
      <c r="D38" s="47">
        <f t="array" ref="D38">MAX(IF((渠道应用投诉!$B:$B=应用投诉汇总!$A38)*(渠道应用投诉!$D:$D=应用投诉汇总!$C38),渠道应用投诉!$E:$E))</f>
        <v>0</v>
      </c>
      <c r="E38" s="47">
        <f t="array" ref="E38">MAX(IF((渠道应用投诉!$B:$B=应用投诉汇总!$A38)*(渠道应用投诉!$D:$D=应用投诉汇总!$C38),渠道应用投诉!$F:$F))</f>
        <v>0</v>
      </c>
      <c r="F38" s="47">
        <f t="array" ref="F38">MAX(IF((渠道应用投诉!$B:$B=应用投诉汇总!$A38)*(渠道应用投诉!$D:$D=应用投诉汇总!$C38),渠道应用投诉!$H:$H))</f>
        <v>0</v>
      </c>
      <c r="G38" s="47">
        <f t="array" ref="G38">MAX(IF((渠道应用投诉!$B:$B=应用投诉汇总!$A38)*(渠道应用投诉!$D:$D=应用投诉汇总!$C38),渠道应用投诉!$I:$I))</f>
        <v>0</v>
      </c>
      <c r="H38" s="47">
        <f t="array" ref="H38">MAX(IF((渠道应用投诉!$B:$B=应用投诉汇总!$A38)*(渠道应用投诉!$D:$D=应用投诉汇总!$C38),渠道应用投诉!$K:$K))</f>
        <v>0</v>
      </c>
      <c r="I38" s="47">
        <f t="array" ref="I38">MAX(IF((渠道应用投诉!$B:$B=应用投诉汇总!$A38)*(渠道应用投诉!$D:$D=应用投诉汇总!$C38),渠道应用投诉!$G:$G))</f>
        <v>0</v>
      </c>
      <c r="J38" s="47">
        <f t="array" ref="J38">MAX(IF((渠道应用投诉!$B:$B=应用投诉汇总!$A38)*(渠道应用投诉!$D:$D=应用投诉汇总!$C38),渠道应用投诉!$J:$J))</f>
        <v>0</v>
      </c>
    </row>
    <row r="39" spans="1:10" ht="15">
      <c r="A39" s="199" t="s">
        <v>285</v>
      </c>
      <c r="B39" s="204">
        <v>300009358277</v>
      </c>
      <c r="C39" s="195" t="s">
        <v>266</v>
      </c>
      <c r="D39" s="47">
        <f t="array" ref="D39">MAX(IF((渠道应用投诉!$B:$B=应用投诉汇总!$A39)*(渠道应用投诉!$D:$D=应用投诉汇总!$C39),渠道应用投诉!$E:$E))</f>
        <v>4</v>
      </c>
      <c r="E39" s="47">
        <f t="array" ref="E39">MAX(IF((渠道应用投诉!$B:$B=应用投诉汇总!$A39)*(渠道应用投诉!$D:$D=应用投诉汇总!$C39),渠道应用投诉!$F:$F))</f>
        <v>25</v>
      </c>
      <c r="F39" s="47">
        <f t="array" ref="F39">MAX(IF((渠道应用投诉!$B:$B=应用投诉汇总!$A39)*(渠道应用投诉!$D:$D=应用投诉汇总!$C39),渠道应用投诉!$H:$H))</f>
        <v>1</v>
      </c>
      <c r="G39" s="47">
        <f t="array" ref="G39">MAX(IF((渠道应用投诉!$B:$B=应用投诉汇总!$A39)*(渠道应用投诉!$D:$D=应用投诉汇总!$C39),渠道应用投诉!$I:$I))</f>
        <v>2</v>
      </c>
      <c r="H39" s="47">
        <f t="array" ref="H39">MAX(IF((渠道应用投诉!$B:$B=应用投诉汇总!$A39)*(渠道应用投诉!$D:$D=应用投诉汇总!$C39),渠道应用投诉!$K:$K))</f>
        <v>5093</v>
      </c>
      <c r="I39" s="47">
        <f t="array" ref="I39">MAX(IF((渠道应用投诉!$B:$B=应用投诉汇总!$A39)*(渠道应用投诉!$D:$D=应用投诉汇总!$C39),渠道应用投诉!$G:$G))</f>
        <v>25</v>
      </c>
      <c r="J39" s="47">
        <f t="array" ref="J39">MAX(IF((渠道应用投诉!$B:$B=应用投诉汇总!$A39)*(渠道应用投诉!$D:$D=应用投诉汇总!$C39),渠道应用投诉!$J:$J))</f>
        <v>2</v>
      </c>
    </row>
    <row r="40" spans="1:10" ht="15">
      <c r="A40" s="199" t="s">
        <v>285</v>
      </c>
      <c r="B40" s="205">
        <v>300008868585</v>
      </c>
      <c r="C40" s="196" t="s">
        <v>276</v>
      </c>
      <c r="D40" s="47">
        <f t="array" ref="D40">MAX(IF((渠道应用投诉!$B:$B=应用投诉汇总!$A40)*(渠道应用投诉!$D:$D=应用投诉汇总!$C40),渠道应用投诉!$E:$E))</f>
        <v>0</v>
      </c>
      <c r="E40" s="47">
        <f t="array" ref="E40">MAX(IF((渠道应用投诉!$B:$B=应用投诉汇总!$A40)*(渠道应用投诉!$D:$D=应用投诉汇总!$C40),渠道应用投诉!$F:$F))</f>
        <v>0</v>
      </c>
      <c r="F40" s="47">
        <f t="array" ref="F40">MAX(IF((渠道应用投诉!$B:$B=应用投诉汇总!$A40)*(渠道应用投诉!$D:$D=应用投诉汇总!$C40),渠道应用投诉!$H:$H))</f>
        <v>0</v>
      </c>
      <c r="G40" s="47">
        <f t="array" ref="G40">MAX(IF((渠道应用投诉!$B:$B=应用投诉汇总!$A40)*(渠道应用投诉!$D:$D=应用投诉汇总!$C40),渠道应用投诉!$I:$I))</f>
        <v>0</v>
      </c>
      <c r="H40" s="47">
        <f t="array" ref="H40">MAX(IF((渠道应用投诉!$B:$B=应用投诉汇总!$A40)*(渠道应用投诉!$D:$D=应用投诉汇总!$C40),渠道应用投诉!$K:$K))</f>
        <v>0</v>
      </c>
      <c r="I40" s="47">
        <f t="array" ref="I40">MAX(IF((渠道应用投诉!$B:$B=应用投诉汇总!$A40)*(渠道应用投诉!$D:$D=应用投诉汇总!$C40),渠道应用投诉!$G:$G))</f>
        <v>0</v>
      </c>
      <c r="J40" s="47">
        <f t="array" ref="J40">MAX(IF((渠道应用投诉!$B:$B=应用投诉汇总!$A40)*(渠道应用投诉!$D:$D=应用投诉汇总!$C40),渠道应用投诉!$J:$J))</f>
        <v>0</v>
      </c>
    </row>
    <row r="41" spans="1:10" ht="15">
      <c r="A41" s="199" t="s">
        <v>285</v>
      </c>
      <c r="B41" s="204">
        <v>300009193471</v>
      </c>
      <c r="C41" s="195" t="s">
        <v>278</v>
      </c>
      <c r="D41" s="47">
        <f t="array" ref="D41">MAX(IF((渠道应用投诉!$B:$B=应用投诉汇总!$A41)*(渠道应用投诉!$D:$D=应用投诉汇总!$C41),渠道应用投诉!$E:$E))</f>
        <v>0</v>
      </c>
      <c r="E41" s="47">
        <f t="array" ref="E41">MAX(IF((渠道应用投诉!$B:$B=应用投诉汇总!$A41)*(渠道应用投诉!$D:$D=应用投诉汇总!$C41),渠道应用投诉!$F:$F))</f>
        <v>0</v>
      </c>
      <c r="F41" s="47">
        <f t="array" ref="F41">MAX(IF((渠道应用投诉!$B:$B=应用投诉汇总!$A41)*(渠道应用投诉!$D:$D=应用投诉汇总!$C41),渠道应用投诉!$H:$H))</f>
        <v>0</v>
      </c>
      <c r="G41" s="47">
        <f t="array" ref="G41">MAX(IF((渠道应用投诉!$B:$B=应用投诉汇总!$A41)*(渠道应用投诉!$D:$D=应用投诉汇总!$C41),渠道应用投诉!$I:$I))</f>
        <v>0</v>
      </c>
      <c r="H41" s="47">
        <f t="array" ref="H41">MAX(IF((渠道应用投诉!$B:$B=应用投诉汇总!$A41)*(渠道应用投诉!$D:$D=应用投诉汇总!$C41),渠道应用投诉!$K:$K))</f>
        <v>0</v>
      </c>
      <c r="I41" s="47">
        <f t="array" ref="I41">MAX(IF((渠道应用投诉!$B:$B=应用投诉汇总!$A41)*(渠道应用投诉!$D:$D=应用投诉汇总!$C41),渠道应用投诉!$G:$G))</f>
        <v>0</v>
      </c>
      <c r="J41" s="47">
        <f t="array" ref="J41">MAX(IF((渠道应用投诉!$B:$B=应用投诉汇总!$A41)*(渠道应用投诉!$D:$D=应用投诉汇总!$C41),渠道应用投诉!$J:$J))</f>
        <v>0</v>
      </c>
    </row>
    <row r="42" spans="1:10" ht="15">
      <c r="A42" s="199" t="s">
        <v>285</v>
      </c>
      <c r="B42" s="203">
        <v>300008841062</v>
      </c>
      <c r="C42" s="194" t="s">
        <v>277</v>
      </c>
      <c r="D42" s="47">
        <f t="array" ref="D42">MAX(IF((渠道应用投诉!$B:$B=应用投诉汇总!$A42)*(渠道应用投诉!$D:$D=应用投诉汇总!$C42),渠道应用投诉!$E:$E))</f>
        <v>2</v>
      </c>
      <c r="E42" s="47">
        <f t="array" ref="E42">MAX(IF((渠道应用投诉!$B:$B=应用投诉汇总!$A42)*(渠道应用投诉!$D:$D=应用投诉汇总!$C42),渠道应用投诉!$F:$F))</f>
        <v>12</v>
      </c>
      <c r="F42" s="47">
        <f t="array" ref="F42">MAX(IF((渠道应用投诉!$B:$B=应用投诉汇总!$A42)*(渠道应用投诉!$D:$D=应用投诉汇总!$C42),渠道应用投诉!$H:$H))</f>
        <v>2</v>
      </c>
      <c r="G42" s="47">
        <f t="array" ref="G42">MAX(IF((渠道应用投诉!$B:$B=应用投诉汇总!$A42)*(渠道应用投诉!$D:$D=应用投诉汇总!$C42),渠道应用投诉!$I:$I))</f>
        <v>11</v>
      </c>
      <c r="H42" s="47">
        <f t="array" ref="H42">MAX(IF((渠道应用投诉!$B:$B=应用投诉汇总!$A42)*(渠道应用投诉!$D:$D=应用投诉汇总!$C42),渠道应用投诉!$K:$K))</f>
        <v>2940</v>
      </c>
      <c r="I42" s="47">
        <f t="array" ref="I42">MAX(IF((渠道应用投诉!$B:$B=应用投诉汇总!$A42)*(渠道应用投诉!$D:$D=应用投诉汇总!$C42),渠道应用投诉!$G:$G))</f>
        <v>12</v>
      </c>
      <c r="J42" s="47">
        <f t="array" ref="J42">MAX(IF((渠道应用投诉!$B:$B=应用投诉汇总!$A42)*(渠道应用投诉!$D:$D=应用投诉汇总!$C42),渠道应用投诉!$J:$J))</f>
        <v>11</v>
      </c>
    </row>
    <row r="43" spans="1:10" ht="15">
      <c r="A43" s="199" t="s">
        <v>285</v>
      </c>
      <c r="B43" s="204">
        <v>300008508327</v>
      </c>
      <c r="C43" s="195" t="s">
        <v>275</v>
      </c>
      <c r="D43" s="47">
        <f t="array" ref="D43">MAX(IF((渠道应用投诉!$B:$B=应用投诉汇总!$A43)*(渠道应用投诉!$D:$D=应用投诉汇总!$C43),渠道应用投诉!$E:$E))</f>
        <v>0</v>
      </c>
      <c r="E43" s="47">
        <f t="array" ref="E43">MAX(IF((渠道应用投诉!$B:$B=应用投诉汇总!$A43)*(渠道应用投诉!$D:$D=应用投诉汇总!$C43),渠道应用投诉!$F:$F))</f>
        <v>2</v>
      </c>
      <c r="F43" s="47">
        <f t="array" ref="F43">MAX(IF((渠道应用投诉!$B:$B=应用投诉汇总!$A43)*(渠道应用投诉!$D:$D=应用投诉汇总!$C43),渠道应用投诉!$H:$H))</f>
        <v>0</v>
      </c>
      <c r="G43" s="47">
        <f t="array" ref="G43">MAX(IF((渠道应用投诉!$B:$B=应用投诉汇总!$A43)*(渠道应用投诉!$D:$D=应用投诉汇总!$C43),渠道应用投诉!$I:$I))</f>
        <v>1</v>
      </c>
      <c r="H43" s="47">
        <f t="array" ref="H43">MAX(IF((渠道应用投诉!$B:$B=应用投诉汇总!$A43)*(渠道应用投诉!$D:$D=应用投诉汇总!$C43),渠道应用投诉!$K:$K))</f>
        <v>1719</v>
      </c>
      <c r="I43" s="47">
        <f t="array" ref="I43">MAX(IF((渠道应用投诉!$B:$B=应用投诉汇总!$A43)*(渠道应用投诉!$D:$D=应用投诉汇总!$C43),渠道应用投诉!$G:$G))</f>
        <v>2</v>
      </c>
      <c r="J43" s="47">
        <f t="array" ref="J43">MAX(IF((渠道应用投诉!$B:$B=应用投诉汇总!$A43)*(渠道应用投诉!$D:$D=应用投诉汇总!$C43),渠道应用投诉!$J:$J))</f>
        <v>1</v>
      </c>
    </row>
    <row r="44" spans="1:10" ht="15">
      <c r="A44" s="199" t="s">
        <v>285</v>
      </c>
      <c r="B44" s="203">
        <v>300008366824</v>
      </c>
      <c r="C44" s="194" t="s">
        <v>280</v>
      </c>
      <c r="D44" s="47">
        <f t="array" ref="D44">MAX(IF((渠道应用投诉!$B:$B=应用投诉汇总!$A44)*(渠道应用投诉!$D:$D=应用投诉汇总!$C44),渠道应用投诉!$E:$E))</f>
        <v>0</v>
      </c>
      <c r="E44" s="47">
        <f t="array" ref="E44">MAX(IF((渠道应用投诉!$B:$B=应用投诉汇总!$A44)*(渠道应用投诉!$D:$D=应用投诉汇总!$C44),渠道应用投诉!$F:$F))</f>
        <v>0</v>
      </c>
      <c r="F44" s="47">
        <f t="array" ref="F44">MAX(IF((渠道应用投诉!$B:$B=应用投诉汇总!$A44)*(渠道应用投诉!$D:$D=应用投诉汇总!$C44),渠道应用投诉!$H:$H))</f>
        <v>0</v>
      </c>
      <c r="G44" s="47">
        <f t="array" ref="G44">MAX(IF((渠道应用投诉!$B:$B=应用投诉汇总!$A44)*(渠道应用投诉!$D:$D=应用投诉汇总!$C44),渠道应用投诉!$I:$I))</f>
        <v>0</v>
      </c>
      <c r="H44" s="47">
        <f t="array" ref="H44">MAX(IF((渠道应用投诉!$B:$B=应用投诉汇总!$A44)*(渠道应用投诉!$D:$D=应用投诉汇总!$C44),渠道应用投诉!$K:$K))</f>
        <v>0</v>
      </c>
      <c r="I44" s="47">
        <f t="array" ref="I44">MAX(IF((渠道应用投诉!$B:$B=应用投诉汇总!$A44)*(渠道应用投诉!$D:$D=应用投诉汇总!$C44),渠道应用投诉!$G:$G))</f>
        <v>0</v>
      </c>
      <c r="J44" s="47">
        <f t="array" ref="J44">MAX(IF((渠道应用投诉!$B:$B=应用投诉汇总!$A44)*(渠道应用投诉!$D:$D=应用投诉汇总!$C44),渠道应用投诉!$J:$J))</f>
        <v>0</v>
      </c>
    </row>
    <row r="45" spans="1:10" ht="15">
      <c r="A45" s="199" t="s">
        <v>285</v>
      </c>
      <c r="B45" s="204">
        <v>300009410229</v>
      </c>
      <c r="C45" s="195" t="s">
        <v>279</v>
      </c>
      <c r="D45" s="47">
        <f t="array" ref="D45">MAX(IF((渠道应用投诉!$B:$B=应用投诉汇总!$A45)*(渠道应用投诉!$D:$D=应用投诉汇总!$C45),渠道应用投诉!$E:$E))</f>
        <v>0</v>
      </c>
      <c r="E45" s="47">
        <f t="array" ref="E45">MAX(IF((渠道应用投诉!$B:$B=应用投诉汇总!$A45)*(渠道应用投诉!$D:$D=应用投诉汇总!$C45),渠道应用投诉!$F:$F))</f>
        <v>0</v>
      </c>
      <c r="F45" s="47">
        <f t="array" ref="F45">MAX(IF((渠道应用投诉!$B:$B=应用投诉汇总!$A45)*(渠道应用投诉!$D:$D=应用投诉汇总!$C45),渠道应用投诉!$H:$H))</f>
        <v>0</v>
      </c>
      <c r="G45" s="47">
        <f t="array" ref="G45">MAX(IF((渠道应用投诉!$B:$B=应用投诉汇总!$A45)*(渠道应用投诉!$D:$D=应用投诉汇总!$C45),渠道应用投诉!$I:$I))</f>
        <v>0</v>
      </c>
      <c r="H45" s="47">
        <f t="array" ref="H45">MAX(IF((渠道应用投诉!$B:$B=应用投诉汇总!$A45)*(渠道应用投诉!$D:$D=应用投诉汇总!$C45),渠道应用投诉!$K:$K))</f>
        <v>47</v>
      </c>
      <c r="I45" s="47">
        <f t="array" ref="I45">MAX(IF((渠道应用投诉!$B:$B=应用投诉汇总!$A45)*(渠道应用投诉!$D:$D=应用投诉汇总!$C45),渠道应用投诉!$G:$G))</f>
        <v>0</v>
      </c>
      <c r="J45" s="47">
        <f t="array" ref="J45">MAX(IF((渠道应用投诉!$B:$B=应用投诉汇总!$A45)*(渠道应用投诉!$D:$D=应用投诉汇总!$C45),渠道应用投诉!$J:$J))</f>
        <v>0</v>
      </c>
    </row>
    <row r="46" spans="1:10" ht="15">
      <c r="A46" s="199" t="s">
        <v>285</v>
      </c>
      <c r="B46" s="203">
        <v>300008999972</v>
      </c>
      <c r="C46" s="194" t="s">
        <v>281</v>
      </c>
      <c r="D46" s="47">
        <f t="array" ref="D46">MAX(IF((渠道应用投诉!$B:$B=应用投诉汇总!$A46)*(渠道应用投诉!$D:$D=应用投诉汇总!$C46),渠道应用投诉!$E:$E))</f>
        <v>0</v>
      </c>
      <c r="E46" s="47">
        <f t="array" ref="E46">MAX(IF((渠道应用投诉!$B:$B=应用投诉汇总!$A46)*(渠道应用投诉!$D:$D=应用投诉汇总!$C46),渠道应用投诉!$F:$F))</f>
        <v>0</v>
      </c>
      <c r="F46" s="47">
        <f t="array" ref="F46">MAX(IF((渠道应用投诉!$B:$B=应用投诉汇总!$A46)*(渠道应用投诉!$D:$D=应用投诉汇总!$C46),渠道应用投诉!$H:$H))</f>
        <v>0</v>
      </c>
      <c r="G46" s="47">
        <f t="array" ref="G46">MAX(IF((渠道应用投诉!$B:$B=应用投诉汇总!$A46)*(渠道应用投诉!$D:$D=应用投诉汇总!$C46),渠道应用投诉!$I:$I))</f>
        <v>0</v>
      </c>
      <c r="H46" s="47">
        <f t="array" ref="H46">MAX(IF((渠道应用投诉!$B:$B=应用投诉汇总!$A46)*(渠道应用投诉!$D:$D=应用投诉汇总!$C46),渠道应用投诉!$K:$K))</f>
        <v>0</v>
      </c>
      <c r="I46" s="47">
        <f t="array" ref="I46">MAX(IF((渠道应用投诉!$B:$B=应用投诉汇总!$A46)*(渠道应用投诉!$D:$D=应用投诉汇总!$C46),渠道应用投诉!$G:$G))</f>
        <v>0</v>
      </c>
      <c r="J46" s="47">
        <f t="array" ref="J46">MAX(IF((渠道应用投诉!$B:$B=应用投诉汇总!$A46)*(渠道应用投诉!$D:$D=应用投诉汇总!$C46),渠道应用投诉!$J:$J))</f>
        <v>0</v>
      </c>
    </row>
    <row r="47" spans="1:10" ht="15">
      <c r="A47" s="199" t="s">
        <v>285</v>
      </c>
      <c r="B47" s="204">
        <v>300009197635</v>
      </c>
      <c r="C47" s="195" t="s">
        <v>282</v>
      </c>
      <c r="D47" s="47">
        <f t="array" ref="D47">MAX(IF((渠道应用投诉!$B:$B=应用投诉汇总!$A47)*(渠道应用投诉!$D:$D=应用投诉汇总!$C47),渠道应用投诉!$E:$E))</f>
        <v>2</v>
      </c>
      <c r="E47" s="47">
        <f t="array" ref="E47">MAX(IF((渠道应用投诉!$B:$B=应用投诉汇总!$A47)*(渠道应用投诉!$D:$D=应用投诉汇总!$C47),渠道应用投诉!$F:$F))</f>
        <v>6</v>
      </c>
      <c r="F47" s="47">
        <f t="array" ref="F47">MAX(IF((渠道应用投诉!$B:$B=应用投诉汇总!$A47)*(渠道应用投诉!$D:$D=应用投诉汇总!$C47),渠道应用投诉!$H:$H))</f>
        <v>0</v>
      </c>
      <c r="G47" s="47">
        <f t="array" ref="G47">MAX(IF((渠道应用投诉!$B:$B=应用投诉汇总!$A47)*(渠道应用投诉!$D:$D=应用投诉汇总!$C47),渠道应用投诉!$I:$I))</f>
        <v>0</v>
      </c>
      <c r="H47" s="47">
        <f t="array" ref="H47">MAX(IF((渠道应用投诉!$B:$B=应用投诉汇总!$A47)*(渠道应用投诉!$D:$D=应用投诉汇总!$C47),渠道应用投诉!$K:$K))</f>
        <v>3038</v>
      </c>
      <c r="I47" s="47">
        <f t="array" ref="I47">MAX(IF((渠道应用投诉!$B:$B=应用投诉汇总!$A47)*(渠道应用投诉!$D:$D=应用投诉汇总!$C47),渠道应用投诉!$G:$G))</f>
        <v>6</v>
      </c>
      <c r="J47" s="47">
        <f t="array" ref="J47">MAX(IF((渠道应用投诉!$B:$B=应用投诉汇总!$A47)*(渠道应用投诉!$D:$D=应用投诉汇总!$C47),渠道应用投诉!$J:$J))</f>
        <v>0</v>
      </c>
    </row>
    <row r="48" spans="1:10" ht="15">
      <c r="A48" s="199" t="s">
        <v>285</v>
      </c>
      <c r="B48" s="203">
        <v>300009232016</v>
      </c>
      <c r="C48" s="194" t="s">
        <v>283</v>
      </c>
      <c r="D48" s="47">
        <f t="array" ref="D48">MAX(IF((渠道应用投诉!$B:$B=应用投诉汇总!$A48)*(渠道应用投诉!$D:$D=应用投诉汇总!$C48),渠道应用投诉!$E:$E))</f>
        <v>0</v>
      </c>
      <c r="E48" s="47">
        <f t="array" ref="E48">MAX(IF((渠道应用投诉!$B:$B=应用投诉汇总!$A48)*(渠道应用投诉!$D:$D=应用投诉汇总!$C48),渠道应用投诉!$F:$F))</f>
        <v>0</v>
      </c>
      <c r="F48" s="47">
        <f t="array" ref="F48">MAX(IF((渠道应用投诉!$B:$B=应用投诉汇总!$A48)*(渠道应用投诉!$D:$D=应用投诉汇总!$C48),渠道应用投诉!$H:$H))</f>
        <v>0</v>
      </c>
      <c r="G48" s="47">
        <f t="array" ref="G48">MAX(IF((渠道应用投诉!$B:$B=应用投诉汇总!$A48)*(渠道应用投诉!$D:$D=应用投诉汇总!$C48),渠道应用投诉!$I:$I))</f>
        <v>0</v>
      </c>
      <c r="H48" s="47">
        <f t="array" ref="H48">MAX(IF((渠道应用投诉!$B:$B=应用投诉汇总!$A48)*(渠道应用投诉!$D:$D=应用投诉汇总!$C48),渠道应用投诉!$K:$K))</f>
        <v>1</v>
      </c>
      <c r="I48" s="47">
        <f t="array" ref="I48">MAX(IF((渠道应用投诉!$B:$B=应用投诉汇总!$A48)*(渠道应用投诉!$D:$D=应用投诉汇总!$C48),渠道应用投诉!$G:$G))</f>
        <v>0</v>
      </c>
      <c r="J48" s="47">
        <f t="array" ref="J48">MAX(IF((渠道应用投诉!$B:$B=应用投诉汇总!$A48)*(渠道应用投诉!$D:$D=应用投诉汇总!$C48),渠道应用投诉!$J:$J))</f>
        <v>0</v>
      </c>
    </row>
    <row r="50" spans="1:10" ht="12.75">
      <c r="A50" s="304" t="s">
        <v>287</v>
      </c>
      <c r="B50" s="305"/>
      <c r="C50" s="306"/>
      <c r="D50">
        <f>SUM(D2:D48)</f>
        <v>47</v>
      </c>
      <c r="E50" s="47">
        <f t="shared" ref="E50:J50" si="0">SUM(E2:E48)</f>
        <v>279</v>
      </c>
      <c r="F50" s="47">
        <f t="shared" si="0"/>
        <v>21</v>
      </c>
      <c r="G50" s="47">
        <f t="shared" si="0"/>
        <v>65.86</v>
      </c>
      <c r="H50" s="47">
        <f t="shared" si="0"/>
        <v>102291.64</v>
      </c>
      <c r="I50" s="47">
        <f t="shared" si="0"/>
        <v>252.22</v>
      </c>
      <c r="J50" s="47">
        <f t="shared" si="0"/>
        <v>61.31</v>
      </c>
    </row>
  </sheetData>
  <mergeCells count="1">
    <mergeCell ref="A50:C5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N32"/>
  <sheetViews>
    <sheetView showZeros="0" workbookViewId="0">
      <pane ySplit="1" topLeftCell="A2" activePane="bottomLeft" state="frozen"/>
      <selection pane="bottomLeft" activeCell="H11" sqref="H11"/>
    </sheetView>
  </sheetViews>
  <sheetFormatPr defaultRowHeight="12.75"/>
  <cols>
    <col min="2" max="3" width="9.140625" style="47"/>
    <col min="8" max="8" width="9.140625" style="47"/>
    <col min="9" max="9" width="10" customWidth="1"/>
    <col min="13" max="14" width="9.140625" style="47"/>
  </cols>
  <sheetData>
    <row r="1" spans="1:14" ht="16.5">
      <c r="A1" s="159" t="s">
        <v>225</v>
      </c>
      <c r="B1" s="160" t="s">
        <v>248</v>
      </c>
      <c r="C1" s="160" t="s">
        <v>249</v>
      </c>
      <c r="D1" s="160" t="s">
        <v>193</v>
      </c>
      <c r="E1" s="160" t="s">
        <v>227</v>
      </c>
      <c r="F1" s="160" t="s">
        <v>226</v>
      </c>
      <c r="G1" s="160" t="s">
        <v>228</v>
      </c>
      <c r="H1" s="160" t="s">
        <v>561</v>
      </c>
      <c r="I1" s="160" t="s">
        <v>169</v>
      </c>
      <c r="J1" s="160" t="s">
        <v>238</v>
      </c>
      <c r="K1" s="160" t="s">
        <v>239</v>
      </c>
      <c r="L1" s="160" t="s">
        <v>286</v>
      </c>
      <c r="M1" s="160" t="s">
        <v>416</v>
      </c>
      <c r="N1" s="160" t="s">
        <v>243</v>
      </c>
    </row>
    <row r="2" spans="1:14" ht="16.5">
      <c r="A2" s="159" t="s">
        <v>229</v>
      </c>
      <c r="B2" s="168">
        <f t="array" ref="B2">MAX(IF((投诉省份!$B:$B=B$1)*(投诉省份!$C:$C=$A2),投诉省份!$J:$J,0))</f>
        <v>0</v>
      </c>
      <c r="C2" s="168">
        <f t="array" ref="C2">MAX(IF((投诉省份!$B:$B=C$1)*(投诉省份!$C:$C=$A2),投诉省份!$J:$J,0))</f>
        <v>0</v>
      </c>
      <c r="D2" s="168">
        <f t="array" ref="D2">MAX(IF((投诉省份!$B:$B=D$1)*(投诉省份!$C:$C=$A2),投诉省份!$J:$J,0))</f>
        <v>0</v>
      </c>
      <c r="E2" s="168">
        <f t="array" ref="E2">MAX(IF((投诉省份!$B:$B=E$1)*(投诉省份!$C:$C=$A2),投诉省份!$J:$J,0))</f>
        <v>0</v>
      </c>
      <c r="F2" s="168">
        <f t="array" ref="F2">MAX(IF((投诉省份!$B:$B=F$1)*(投诉省份!$C:$C=$A2),投诉省份!$J:$J,0))</f>
        <v>0</v>
      </c>
      <c r="G2" s="168">
        <f t="array" ref="G2">MAX(IF((投诉省份!$B:$B=G$1)*(投诉省份!$C:$C=$A2),投诉省份!$J:$J,0))</f>
        <v>0</v>
      </c>
      <c r="H2" s="168">
        <f t="array" ref="H2">MAX(IF((投诉省份!$B:$B=H$1)*(投诉省份!$C:$C=$A2),投诉省份!$J:$J,0))</f>
        <v>0</v>
      </c>
      <c r="I2" s="168">
        <f t="array" ref="I2">MAX(IF((投诉省份!$B:$B=I$1)*(投诉省份!$C:$C=$A2),投诉省份!$J:$J,0))</f>
        <v>0</v>
      </c>
      <c r="J2" s="168">
        <f t="array" ref="J2">MAX(IF((渠道投诉省份!$B:$B=J$1)*(渠道投诉省份!$D:$D=$A2),渠道投诉省份!$J:$J,0))</f>
        <v>6</v>
      </c>
      <c r="K2" s="168">
        <f t="array" ref="K2">MAX(IF((渠道投诉省份!$B:$B=K$1)*(渠道投诉省份!$D:$D=$A2),渠道投诉省份!$J:$J,0))</f>
        <v>4</v>
      </c>
      <c r="L2" s="168">
        <f t="array" ref="L2">MAX(IF((渠道投诉省份!$B:$B=L$1)*(渠道投诉省份!$D:$D=$A2),渠道投诉省份!$J:$J,0))</f>
        <v>3</v>
      </c>
      <c r="M2" s="168">
        <f t="array" ref="M2">MAX(IF((渠道投诉省份!$B:$B=M$1)*(渠道投诉省份!$D:$D=$A2),渠道投诉省份!$J:$J,0))</f>
        <v>4</v>
      </c>
      <c r="N2" s="168">
        <f t="shared" ref="N2:N32" si="0">SUM(B2:L2)</f>
        <v>13</v>
      </c>
    </row>
    <row r="3" spans="1:14" ht="16.5">
      <c r="A3" s="159" t="s">
        <v>195</v>
      </c>
      <c r="B3" s="168">
        <f t="array" ref="B3">MAX(IF((投诉省份!$B:$B=B$1)*(投诉省份!$C:$C=$A3),投诉省份!$J:$J,0))</f>
        <v>0</v>
      </c>
      <c r="C3" s="168">
        <f t="array" ref="C3">MAX(IF((投诉省份!$B:$B=C$1)*(投诉省份!$C:$C=$A3),投诉省份!$J:$J,0))</f>
        <v>0</v>
      </c>
      <c r="D3" s="168">
        <f t="array" ref="D3">MAX(IF((投诉省份!$B:$B=D$1)*(投诉省份!$C:$C=$A3),投诉省份!$J:$J,0))</f>
        <v>0</v>
      </c>
      <c r="E3" s="168">
        <f t="array" ref="E3">MAX(IF((投诉省份!$B:$B=E$1)*(投诉省份!$C:$C=$A3),投诉省份!$J:$J,0))</f>
        <v>0</v>
      </c>
      <c r="F3" s="168">
        <f t="array" ref="F3">MAX(IF((投诉省份!$B:$B=F$1)*(投诉省份!$C:$C=$A3),投诉省份!$J:$J,0))</f>
        <v>0</v>
      </c>
      <c r="G3" s="168">
        <f t="array" ref="G3">MAX(IF((投诉省份!$B:$B=G$1)*(投诉省份!$C:$C=$A3),投诉省份!$J:$J,0))</f>
        <v>0</v>
      </c>
      <c r="H3" s="168">
        <f t="array" ref="H3">MAX(IF((投诉省份!$B:$B=H$1)*(投诉省份!$C:$C=$A3),投诉省份!$J:$J,0))</f>
        <v>0</v>
      </c>
      <c r="I3" s="168">
        <f t="array" ref="I3">MAX(IF((投诉省份!$B:$B=I$1)*(投诉省份!$C:$C=$A3),投诉省份!$J:$J,0))</f>
        <v>0</v>
      </c>
      <c r="J3" s="168">
        <f t="array" ref="J3">MAX(IF((渠道投诉省份!$B:$B=J$1)*(渠道投诉省份!$D:$D=$A3),渠道投诉省份!$J:$J,0))</f>
        <v>0</v>
      </c>
      <c r="K3" s="168">
        <f t="array" ref="K3">MAX(IF((渠道投诉省份!$B:$B=K$1)*(渠道投诉省份!$D:$D=$A3),渠道投诉省份!$J:$J,0))</f>
        <v>0</v>
      </c>
      <c r="L3" s="168">
        <f t="array" ref="L3">MAX(IF((渠道投诉省份!$B:$B=L$1)*(渠道投诉省份!$D:$D=$A3),渠道投诉省份!$J:$J,0))</f>
        <v>0</v>
      </c>
      <c r="M3" s="168">
        <f t="array" ref="M3">MAX(IF((渠道投诉省份!$B:$B=M$1)*(渠道投诉省份!$D:$D=$A3),渠道投诉省份!$J:$J,0))</f>
        <v>0</v>
      </c>
      <c r="N3" s="168">
        <f t="shared" si="0"/>
        <v>0</v>
      </c>
    </row>
    <row r="4" spans="1:14" ht="16.5">
      <c r="A4" s="159" t="s">
        <v>196</v>
      </c>
      <c r="B4" s="168">
        <f t="array" ref="B4">MAX(IF((投诉省份!$B:$B=B$1)*(投诉省份!$C:$C=$A4),投诉省份!$J:$J,0))</f>
        <v>1</v>
      </c>
      <c r="C4" s="168">
        <f t="array" ref="C4">MAX(IF((投诉省份!$B:$B=C$1)*(投诉省份!$C:$C=$A4),投诉省份!$J:$J,0))</f>
        <v>0</v>
      </c>
      <c r="D4" s="168">
        <f t="array" ref="D4">MAX(IF((投诉省份!$B:$B=D$1)*(投诉省份!$C:$C=$A4),投诉省份!$J:$J,0))</f>
        <v>0</v>
      </c>
      <c r="E4" s="168">
        <f t="array" ref="E4">MAX(IF((投诉省份!$B:$B=E$1)*(投诉省份!$C:$C=$A4),投诉省份!$J:$J,0))</f>
        <v>0</v>
      </c>
      <c r="F4" s="168">
        <f t="array" ref="F4">MAX(IF((投诉省份!$B:$B=F$1)*(投诉省份!$C:$C=$A4),投诉省份!$J:$J,0))</f>
        <v>0</v>
      </c>
      <c r="G4" s="168">
        <f t="array" ref="G4">MAX(IF((投诉省份!$B:$B=G$1)*(投诉省份!$C:$C=$A4),投诉省份!$J:$J,0))</f>
        <v>0</v>
      </c>
      <c r="H4" s="168">
        <f t="array" ref="H4">MAX(IF((投诉省份!$B:$B=H$1)*(投诉省份!$C:$C=$A4),投诉省份!$J:$J,0))</f>
        <v>0</v>
      </c>
      <c r="I4" s="168">
        <f t="array" ref="I4">MAX(IF((投诉省份!$B:$B=I$1)*(投诉省份!$C:$C=$A4),投诉省份!$J:$J,0))</f>
        <v>0</v>
      </c>
      <c r="J4" s="168">
        <f t="array" ref="J4">MAX(IF((渠道投诉省份!$B:$B=J$1)*(渠道投诉省份!$D:$D=$A4),渠道投诉省份!$J:$J,0))</f>
        <v>4</v>
      </c>
      <c r="K4" s="168">
        <f t="array" ref="K4">MAX(IF((渠道投诉省份!$B:$B=K$1)*(渠道投诉省份!$D:$D=$A4),渠道投诉省份!$J:$J,0))</f>
        <v>1</v>
      </c>
      <c r="L4" s="168">
        <f t="array" ref="L4">MAX(IF((渠道投诉省份!$B:$B=L$1)*(渠道投诉省份!$D:$D=$A4),渠道投诉省份!$J:$J,0))</f>
        <v>2</v>
      </c>
      <c r="M4" s="168">
        <f t="array" ref="M4">MAX(IF((渠道投诉省份!$B:$B=M$1)*(渠道投诉省份!$D:$D=$A4),渠道投诉省份!$J:$J,0))</f>
        <v>4</v>
      </c>
      <c r="N4" s="168">
        <f t="shared" si="0"/>
        <v>8</v>
      </c>
    </row>
    <row r="5" spans="1:14" ht="16.5">
      <c r="A5" s="159" t="s">
        <v>197</v>
      </c>
      <c r="B5" s="168">
        <f t="array" ref="B5">MAX(IF((投诉省份!$B:$B=B$1)*(投诉省份!$C:$C=$A5),投诉省份!$J:$J,0))</f>
        <v>0</v>
      </c>
      <c r="C5" s="168">
        <f t="array" ref="C5">MAX(IF((投诉省份!$B:$B=C$1)*(投诉省份!$C:$C=$A5),投诉省份!$J:$J,0))</f>
        <v>0</v>
      </c>
      <c r="D5" s="168">
        <f t="array" ref="D5">MAX(IF((投诉省份!$B:$B=D$1)*(投诉省份!$C:$C=$A5),投诉省份!$J:$J,0))</f>
        <v>0</v>
      </c>
      <c r="E5" s="168">
        <f t="array" ref="E5">MAX(IF((投诉省份!$B:$B=E$1)*(投诉省份!$C:$C=$A5),投诉省份!$J:$J,0))</f>
        <v>0</v>
      </c>
      <c r="F5" s="168">
        <f t="array" ref="F5">MAX(IF((投诉省份!$B:$B=F$1)*(投诉省份!$C:$C=$A5),投诉省份!$J:$J,0))</f>
        <v>0</v>
      </c>
      <c r="G5" s="168">
        <f t="array" ref="G5">MAX(IF((投诉省份!$B:$B=G$1)*(投诉省份!$C:$C=$A5),投诉省份!$J:$J,0))</f>
        <v>0</v>
      </c>
      <c r="H5" s="168">
        <f t="array" ref="H5">MAX(IF((投诉省份!$B:$B=H$1)*(投诉省份!$C:$C=$A5),投诉省份!$J:$J,0))</f>
        <v>0</v>
      </c>
      <c r="I5" s="168">
        <f t="array" ref="I5">MAX(IF((投诉省份!$B:$B=I$1)*(投诉省份!$C:$C=$A5),投诉省份!$J:$J,0))</f>
        <v>0</v>
      </c>
      <c r="J5" s="168">
        <f t="array" ref="J5">MAX(IF((渠道投诉省份!$B:$B=J$1)*(渠道投诉省份!$D:$D=$A5),渠道投诉省份!$J:$J,0))</f>
        <v>0</v>
      </c>
      <c r="K5" s="168">
        <f t="array" ref="K5">MAX(IF((渠道投诉省份!$B:$B=K$1)*(渠道投诉省份!$D:$D=$A5),渠道投诉省份!$J:$J,0))</f>
        <v>7</v>
      </c>
      <c r="L5" s="168">
        <f t="array" ref="L5">MAX(IF((渠道投诉省份!$B:$B=L$1)*(渠道投诉省份!$D:$D=$A5),渠道投诉省份!$J:$J,0))</f>
        <v>0</v>
      </c>
      <c r="M5" s="168">
        <f t="array" ref="M5">MAX(IF((渠道投诉省份!$B:$B=M$1)*(渠道投诉省份!$D:$D=$A5),渠道投诉省份!$J:$J,0))</f>
        <v>0</v>
      </c>
      <c r="N5" s="168">
        <f t="shared" si="0"/>
        <v>7</v>
      </c>
    </row>
    <row r="6" spans="1:14" ht="16.5">
      <c r="A6" s="159" t="s">
        <v>198</v>
      </c>
      <c r="B6" s="168">
        <f t="array" ref="B6">MAX(IF((投诉省份!$B:$B=B$1)*(投诉省份!$C:$C=$A6),投诉省份!$J:$J,0))</f>
        <v>4</v>
      </c>
      <c r="C6" s="168">
        <f t="array" ref="C6">MAX(IF((投诉省份!$B:$B=C$1)*(投诉省份!$C:$C=$A6),投诉省份!$J:$J,0))</f>
        <v>0</v>
      </c>
      <c r="D6" s="168">
        <f t="array" ref="D6">MAX(IF((投诉省份!$B:$B=D$1)*(投诉省份!$C:$C=$A6),投诉省份!$J:$J,0))</f>
        <v>0</v>
      </c>
      <c r="E6" s="168">
        <f t="array" ref="E6">MAX(IF((投诉省份!$B:$B=E$1)*(投诉省份!$C:$C=$A6),投诉省份!$J:$J,0))</f>
        <v>0</v>
      </c>
      <c r="F6" s="168">
        <f t="array" ref="F6">MAX(IF((投诉省份!$B:$B=F$1)*(投诉省份!$C:$C=$A6),投诉省份!$J:$J,0))</f>
        <v>0</v>
      </c>
      <c r="G6" s="168">
        <f t="array" ref="G6">MAX(IF((投诉省份!$B:$B=G$1)*(投诉省份!$C:$C=$A6),投诉省份!$J:$J,0))</f>
        <v>0</v>
      </c>
      <c r="H6" s="168">
        <f t="array" ref="H6">MAX(IF((投诉省份!$B:$B=H$1)*(投诉省份!$C:$C=$A6),投诉省份!$J:$J,0))</f>
        <v>0</v>
      </c>
      <c r="I6" s="168">
        <f t="array" ref="I6">MAX(IF((投诉省份!$B:$B=I$1)*(投诉省份!$C:$C=$A6),投诉省份!$J:$J,0))</f>
        <v>0</v>
      </c>
      <c r="J6" s="168">
        <f t="array" ref="J6">MAX(IF((渠道投诉省份!$B:$B=J$1)*(渠道投诉省份!$D:$D=$A6),渠道投诉省份!$J:$J,0))</f>
        <v>3</v>
      </c>
      <c r="K6" s="168">
        <f t="array" ref="K6">MAX(IF((渠道投诉省份!$B:$B=K$1)*(渠道投诉省份!$D:$D=$A6),渠道投诉省份!$J:$J,0))</f>
        <v>3</v>
      </c>
      <c r="L6" s="168">
        <f t="array" ref="L6">MAX(IF((渠道投诉省份!$B:$B=L$1)*(渠道投诉省份!$D:$D=$A6),渠道投诉省份!$J:$J,0))</f>
        <v>2</v>
      </c>
      <c r="M6" s="168">
        <f t="array" ref="M6">MAX(IF((渠道投诉省份!$B:$B=M$1)*(渠道投诉省份!$D:$D=$A6),渠道投诉省份!$J:$J,0))</f>
        <v>0</v>
      </c>
      <c r="N6" s="168">
        <f t="shared" si="0"/>
        <v>12</v>
      </c>
    </row>
    <row r="7" spans="1:14" ht="16.5">
      <c r="A7" s="159" t="s">
        <v>199</v>
      </c>
      <c r="B7" s="168">
        <f t="array" ref="B7">MAX(IF((投诉省份!$B:$B=B$1)*(投诉省份!$C:$C=$A7),投诉省份!$J:$J,0))</f>
        <v>0</v>
      </c>
      <c r="C7" s="168">
        <f t="array" ref="C7">MAX(IF((投诉省份!$B:$B=C$1)*(投诉省份!$C:$C=$A7),投诉省份!$J:$J,0))</f>
        <v>1</v>
      </c>
      <c r="D7" s="168">
        <f t="array" ref="D7">MAX(IF((投诉省份!$B:$B=D$1)*(投诉省份!$C:$C=$A7),投诉省份!$J:$J,0))</f>
        <v>1</v>
      </c>
      <c r="E7" s="168">
        <f t="array" ref="E7">MAX(IF((投诉省份!$B:$B=E$1)*(投诉省份!$C:$C=$A7),投诉省份!$J:$J,0))</f>
        <v>0</v>
      </c>
      <c r="F7" s="168">
        <f t="array" ref="F7">MAX(IF((投诉省份!$B:$B=F$1)*(投诉省份!$C:$C=$A7),投诉省份!$J:$J,0))</f>
        <v>5</v>
      </c>
      <c r="G7" s="168">
        <f t="array" ref="G7">MAX(IF((投诉省份!$B:$B=G$1)*(投诉省份!$C:$C=$A7),投诉省份!$J:$J,0))</f>
        <v>0</v>
      </c>
      <c r="H7" s="168">
        <f t="array" ref="H7">MAX(IF((投诉省份!$B:$B=H$1)*(投诉省份!$C:$C=$A7),投诉省份!$J:$J,0))</f>
        <v>3</v>
      </c>
      <c r="I7" s="168">
        <f t="array" ref="I7">MAX(IF((投诉省份!$B:$B=I$1)*(投诉省份!$C:$C=$A7),投诉省份!$J:$J,0))</f>
        <v>0</v>
      </c>
      <c r="J7" s="168">
        <f t="array" ref="J7">MAX(IF((渠道投诉省份!$B:$B=J$1)*(渠道投诉省份!$D:$D=$A7),渠道投诉省份!$J:$J,0))</f>
        <v>6</v>
      </c>
      <c r="K7" s="168">
        <f t="array" ref="K7">MAX(IF((渠道投诉省份!$B:$B=K$1)*(渠道投诉省份!$D:$D=$A7),渠道投诉省份!$J:$J,0))</f>
        <v>11</v>
      </c>
      <c r="L7" s="168">
        <f t="array" ref="L7">MAX(IF((渠道投诉省份!$B:$B=L$1)*(渠道投诉省份!$D:$D=$A7),渠道投诉省份!$J:$J,0))</f>
        <v>3</v>
      </c>
      <c r="M7" s="168">
        <f t="array" ref="M7">MAX(IF((渠道投诉省份!$B:$B=M$1)*(渠道投诉省份!$D:$D=$A7),渠道投诉省份!$J:$J,0))</f>
        <v>7</v>
      </c>
      <c r="N7" s="168">
        <f t="shared" si="0"/>
        <v>30</v>
      </c>
    </row>
    <row r="8" spans="1:14" ht="16.5">
      <c r="A8" s="159" t="s">
        <v>200</v>
      </c>
      <c r="B8" s="168">
        <f t="array" ref="B8">MAX(IF((投诉省份!$B:$B=B$1)*(投诉省份!$C:$C=$A8),投诉省份!$J:$J,0))</f>
        <v>0</v>
      </c>
      <c r="C8" s="168">
        <f t="array" ref="C8">MAX(IF((投诉省份!$B:$B=C$1)*(投诉省份!$C:$C=$A8),投诉省份!$J:$J,0))</f>
        <v>0</v>
      </c>
      <c r="D8" s="168">
        <f t="array" ref="D8">MAX(IF((投诉省份!$B:$B=D$1)*(投诉省份!$C:$C=$A8),投诉省份!$J:$J,0))</f>
        <v>0</v>
      </c>
      <c r="E8" s="168">
        <f t="array" ref="E8">MAX(IF((投诉省份!$B:$B=E$1)*(投诉省份!$C:$C=$A8),投诉省份!$J:$J,0))</f>
        <v>0</v>
      </c>
      <c r="F8" s="168">
        <f t="array" ref="F8">MAX(IF((投诉省份!$B:$B=F$1)*(投诉省份!$C:$C=$A8),投诉省份!$J:$J,0))</f>
        <v>2</v>
      </c>
      <c r="G8" s="168">
        <f t="array" ref="G8">MAX(IF((投诉省份!$B:$B=G$1)*(投诉省份!$C:$C=$A8),投诉省份!$J:$J,0))</f>
        <v>0</v>
      </c>
      <c r="H8" s="168">
        <f t="array" ref="H8">MAX(IF((投诉省份!$B:$B=H$1)*(投诉省份!$C:$C=$A8),投诉省份!$J:$J,0))</f>
        <v>1</v>
      </c>
      <c r="I8" s="168">
        <f t="array" ref="I8">MAX(IF((投诉省份!$B:$B=I$1)*(投诉省份!$C:$C=$A8),投诉省份!$J:$J,0))</f>
        <v>0</v>
      </c>
      <c r="J8" s="168">
        <f t="array" ref="J8">MAX(IF((渠道投诉省份!$B:$B=J$1)*(渠道投诉省份!$D:$D=$A8),渠道投诉省份!$J:$J,0))</f>
        <v>3</v>
      </c>
      <c r="K8" s="168">
        <f t="array" ref="K8">MAX(IF((渠道投诉省份!$B:$B=K$1)*(渠道投诉省份!$D:$D=$A8),渠道投诉省份!$J:$J,0))</f>
        <v>2.19</v>
      </c>
      <c r="L8" s="168">
        <f t="array" ref="L8">MAX(IF((渠道投诉省份!$B:$B=L$1)*(渠道投诉省份!$D:$D=$A8),渠道投诉省份!$J:$J,0))</f>
        <v>0</v>
      </c>
      <c r="M8" s="168">
        <f t="array" ref="M8">MAX(IF((渠道投诉省份!$B:$B=M$1)*(渠道投诉省份!$D:$D=$A8),渠道投诉省份!$J:$J,0))</f>
        <v>15</v>
      </c>
      <c r="N8" s="168">
        <f t="shared" si="0"/>
        <v>8.19</v>
      </c>
    </row>
    <row r="9" spans="1:14" ht="16.5">
      <c r="A9" s="159" t="s">
        <v>201</v>
      </c>
      <c r="B9" s="168">
        <f t="array" ref="B9">MAX(IF((投诉省份!$B:$B=B$1)*(投诉省份!$C:$C=$A9),投诉省份!$J:$J,0))</f>
        <v>0</v>
      </c>
      <c r="C9" s="168">
        <f t="array" ref="C9">MAX(IF((投诉省份!$B:$B=C$1)*(投诉省份!$C:$C=$A9),投诉省份!$J:$J,0))</f>
        <v>0</v>
      </c>
      <c r="D9" s="168">
        <f t="array" ref="D9">MAX(IF((投诉省份!$B:$B=D$1)*(投诉省份!$C:$C=$A9),投诉省份!$J:$J,0))</f>
        <v>0</v>
      </c>
      <c r="E9" s="168">
        <f t="array" ref="E9">MAX(IF((投诉省份!$B:$B=E$1)*(投诉省份!$C:$C=$A9),投诉省份!$J:$J,0))</f>
        <v>0</v>
      </c>
      <c r="F9" s="168">
        <f t="array" ref="F9">MAX(IF((投诉省份!$B:$B=F$1)*(投诉省份!$C:$C=$A9),投诉省份!$J:$J,0))</f>
        <v>0</v>
      </c>
      <c r="G9" s="168">
        <f t="array" ref="G9">MAX(IF((投诉省份!$B:$B=G$1)*(投诉省份!$C:$C=$A9),投诉省份!$J:$J,0))</f>
        <v>0</v>
      </c>
      <c r="H9" s="168">
        <f t="array" ref="H9">MAX(IF((投诉省份!$B:$B=H$1)*(投诉省份!$C:$C=$A9),投诉省份!$J:$J,0))</f>
        <v>0</v>
      </c>
      <c r="I9" s="168">
        <f t="array" ref="I9">MAX(IF((投诉省份!$B:$B=I$1)*(投诉省份!$C:$C=$A9),投诉省份!$J:$J,0))</f>
        <v>0</v>
      </c>
      <c r="J9" s="168">
        <f t="array" ref="J9">MAX(IF((渠道投诉省份!$B:$B=J$1)*(渠道投诉省份!$D:$D=$A9),渠道投诉省份!$J:$J,0))</f>
        <v>0</v>
      </c>
      <c r="K9" s="168">
        <f t="array" ref="K9">MAX(IF((渠道投诉省份!$B:$B=K$1)*(渠道投诉省份!$D:$D=$A9),渠道投诉省份!$J:$J,0))</f>
        <v>0</v>
      </c>
      <c r="L9" s="168">
        <f t="array" ref="L9">MAX(IF((渠道投诉省份!$B:$B=L$1)*(渠道投诉省份!$D:$D=$A9),渠道投诉省份!$J:$J,0))</f>
        <v>0</v>
      </c>
      <c r="M9" s="168">
        <f t="array" ref="M9">MAX(IF((渠道投诉省份!$B:$B=M$1)*(渠道投诉省份!$D:$D=$A9),渠道投诉省份!$J:$J,0))</f>
        <v>0</v>
      </c>
      <c r="N9" s="168">
        <f t="shared" si="0"/>
        <v>0</v>
      </c>
    </row>
    <row r="10" spans="1:14" ht="16.5">
      <c r="A10" s="159" t="s">
        <v>202</v>
      </c>
      <c r="B10" s="168">
        <f t="array" ref="B10">MAX(IF((投诉省份!$B:$B=B$1)*(投诉省份!$C:$C=$A10),投诉省份!$J:$J,0))</f>
        <v>0</v>
      </c>
      <c r="C10" s="168">
        <f t="array" ref="C10">MAX(IF((投诉省份!$B:$B=C$1)*(投诉省份!$C:$C=$A10),投诉省份!$J:$J,0))</f>
        <v>0</v>
      </c>
      <c r="D10" s="168">
        <f t="array" ref="D10">MAX(IF((投诉省份!$B:$B=D$1)*(投诉省份!$C:$C=$A10),投诉省份!$J:$J,0))</f>
        <v>0</v>
      </c>
      <c r="E10" s="168">
        <f t="array" ref="E10">MAX(IF((投诉省份!$B:$B=E$1)*(投诉省份!$C:$C=$A10),投诉省份!$J:$J,0))</f>
        <v>0</v>
      </c>
      <c r="F10" s="168">
        <f t="array" ref="F10">MAX(IF((投诉省份!$B:$B=F$1)*(投诉省份!$C:$C=$A10),投诉省份!$J:$J,0))</f>
        <v>0</v>
      </c>
      <c r="G10" s="168">
        <f t="array" ref="G10">MAX(IF((投诉省份!$B:$B=G$1)*(投诉省份!$C:$C=$A10),投诉省份!$J:$J,0))</f>
        <v>0</v>
      </c>
      <c r="H10" s="168">
        <f t="array" ref="H10">MAX(IF((投诉省份!$B:$B=H$1)*(投诉省份!$C:$C=$A10),投诉省份!$J:$J,0))</f>
        <v>0</v>
      </c>
      <c r="I10" s="168">
        <f t="array" ref="I10">MAX(IF((投诉省份!$B:$B=I$1)*(投诉省份!$C:$C=$A10),投诉省份!$J:$J,0))</f>
        <v>0</v>
      </c>
      <c r="J10" s="168">
        <f t="array" ref="J10">MAX(IF((渠道投诉省份!$B:$B=J$1)*(渠道投诉省份!$D:$D=$A10),渠道投诉省份!$J:$J,0))</f>
        <v>0</v>
      </c>
      <c r="K10" s="168">
        <f t="array" ref="K10">MAX(IF((渠道投诉省份!$B:$B=K$1)*(渠道投诉省份!$D:$D=$A10),渠道投诉省份!$J:$J,0))</f>
        <v>0</v>
      </c>
      <c r="L10" s="168">
        <f t="array" ref="L10">MAX(IF((渠道投诉省份!$B:$B=L$1)*(渠道投诉省份!$D:$D=$A10),渠道投诉省份!$J:$J,0))</f>
        <v>0</v>
      </c>
      <c r="M10" s="168">
        <f t="array" ref="M10">MAX(IF((渠道投诉省份!$B:$B=M$1)*(渠道投诉省份!$D:$D=$A10),渠道投诉省份!$J:$J,0))</f>
        <v>0</v>
      </c>
      <c r="N10" s="168">
        <f t="shared" si="0"/>
        <v>0</v>
      </c>
    </row>
    <row r="11" spans="1:14" ht="16.5">
      <c r="A11" s="159" t="s">
        <v>203</v>
      </c>
      <c r="B11" s="168">
        <f t="array" ref="B11">MAX(IF((投诉省份!$B:$B=B$1)*(投诉省份!$C:$C=$A11),投诉省份!$J:$J,0))</f>
        <v>2</v>
      </c>
      <c r="C11" s="168">
        <f t="array" ref="C11">MAX(IF((投诉省份!$B:$B=C$1)*(投诉省份!$C:$C=$A11),投诉省份!$J:$J,0))</f>
        <v>1</v>
      </c>
      <c r="D11" s="168">
        <f t="array" ref="D11">MAX(IF((投诉省份!$B:$B=D$1)*(投诉省份!$C:$C=$A11),投诉省份!$J:$J,0))</f>
        <v>0</v>
      </c>
      <c r="E11" s="168">
        <f t="array" ref="E11">MAX(IF((投诉省份!$B:$B=E$1)*(投诉省份!$C:$C=$A11),投诉省份!$J:$J,0))</f>
        <v>0</v>
      </c>
      <c r="F11" s="168">
        <f t="array" ref="F11">MAX(IF((投诉省份!$B:$B=F$1)*(投诉省份!$C:$C=$A11),投诉省份!$J:$J,0))</f>
        <v>1</v>
      </c>
      <c r="G11" s="168">
        <f t="array" ref="G11">MAX(IF((投诉省份!$B:$B=G$1)*(投诉省份!$C:$C=$A11),投诉省份!$J:$J,0))</f>
        <v>0</v>
      </c>
      <c r="H11" s="168">
        <f t="array" ref="H11">MAX(IF((投诉省份!$B:$B=H$1)*(投诉省份!$C:$C=$A11),投诉省份!$J:$J,0))</f>
        <v>11</v>
      </c>
      <c r="I11" s="168">
        <f t="array" ref="I11">MAX(IF((投诉省份!$B:$B=I$1)*(投诉省份!$C:$C=$A11),投诉省份!$J:$J,0))</f>
        <v>0</v>
      </c>
      <c r="J11" s="168">
        <f t="array" ref="J11">MAX(IF((渠道投诉省份!$B:$B=J$1)*(渠道投诉省份!$D:$D=$A11),渠道投诉省份!$J:$J,0))</f>
        <v>6</v>
      </c>
      <c r="K11" s="168">
        <f t="array" ref="K11">MAX(IF((渠道投诉省份!$B:$B=K$1)*(渠道投诉省份!$D:$D=$A11),渠道投诉省份!$J:$J,0))</f>
        <v>5</v>
      </c>
      <c r="L11" s="168">
        <f t="array" ref="L11">MAX(IF((渠道投诉省份!$B:$B=L$1)*(渠道投诉省份!$D:$D=$A11),渠道投诉省份!$J:$J,0))</f>
        <v>2</v>
      </c>
      <c r="M11" s="168">
        <f t="array" ref="M11">MAX(IF((渠道投诉省份!$B:$B=M$1)*(渠道投诉省份!$D:$D=$A11),渠道投诉省份!$J:$J,0))</f>
        <v>6</v>
      </c>
      <c r="N11" s="168">
        <f t="shared" si="0"/>
        <v>28</v>
      </c>
    </row>
    <row r="12" spans="1:14" ht="16.5">
      <c r="A12" s="159" t="s">
        <v>204</v>
      </c>
      <c r="B12" s="168">
        <f t="array" ref="B12">MAX(IF((投诉省份!$B:$B=B$1)*(投诉省份!$C:$C=$A12),投诉省份!$J:$J,0))</f>
        <v>0</v>
      </c>
      <c r="C12" s="168">
        <f t="array" ref="C12">MAX(IF((投诉省份!$B:$B=C$1)*(投诉省份!$C:$C=$A12),投诉省份!$J:$J,0))</f>
        <v>0</v>
      </c>
      <c r="D12" s="168">
        <f t="array" ref="D12">MAX(IF((投诉省份!$B:$B=D$1)*(投诉省份!$C:$C=$A12),投诉省份!$J:$J,0))</f>
        <v>0</v>
      </c>
      <c r="E12" s="168">
        <f t="array" ref="E12">MAX(IF((投诉省份!$B:$B=E$1)*(投诉省份!$C:$C=$A12),投诉省份!$J:$J,0))</f>
        <v>0</v>
      </c>
      <c r="F12" s="168">
        <f t="array" ref="F12">MAX(IF((投诉省份!$B:$B=F$1)*(投诉省份!$C:$C=$A12),投诉省份!$J:$J,0))</f>
        <v>0</v>
      </c>
      <c r="G12" s="168">
        <f t="array" ref="G12">MAX(IF((投诉省份!$B:$B=G$1)*(投诉省份!$C:$C=$A12),投诉省份!$J:$J,0))</f>
        <v>0</v>
      </c>
      <c r="H12" s="168">
        <f t="array" ref="H12">MAX(IF((投诉省份!$B:$B=H$1)*(投诉省份!$C:$C=$A12),投诉省份!$J:$J,0))</f>
        <v>1</v>
      </c>
      <c r="I12" s="168">
        <f t="array" ref="I12">MAX(IF((投诉省份!$B:$B=I$1)*(投诉省份!$C:$C=$A12),投诉省份!$J:$J,0))</f>
        <v>0</v>
      </c>
      <c r="J12" s="168">
        <f t="array" ref="J12">MAX(IF((渠道投诉省份!$B:$B=J$1)*(渠道投诉省份!$D:$D=$A12),渠道投诉省份!$J:$J,0))</f>
        <v>0</v>
      </c>
      <c r="K12" s="168">
        <f t="array" ref="K12">MAX(IF((渠道投诉省份!$B:$B=K$1)*(渠道投诉省份!$D:$D=$A12),渠道投诉省份!$J:$J,0))</f>
        <v>3</v>
      </c>
      <c r="L12" s="168">
        <f t="array" ref="L12">MAX(IF((渠道投诉省份!$B:$B=L$1)*(渠道投诉省份!$D:$D=$A12),渠道投诉省份!$J:$J,0))</f>
        <v>1</v>
      </c>
      <c r="M12" s="168">
        <f t="array" ref="M12">MAX(IF((渠道投诉省份!$B:$B=M$1)*(渠道投诉省份!$D:$D=$A12),渠道投诉省份!$J:$J,0))</f>
        <v>0</v>
      </c>
      <c r="N12" s="168">
        <f t="shared" si="0"/>
        <v>5</v>
      </c>
    </row>
    <row r="13" spans="1:14" ht="16.5">
      <c r="A13" s="159" t="s">
        <v>205</v>
      </c>
      <c r="B13" s="168">
        <f t="array" ref="B13">MAX(IF((投诉省份!$B:$B=B$1)*(投诉省份!$C:$C=$A13),投诉省份!$J:$J,0))</f>
        <v>0</v>
      </c>
      <c r="C13" s="168">
        <f t="array" ref="C13">MAX(IF((投诉省份!$B:$B=C$1)*(投诉省份!$C:$C=$A13),投诉省份!$J:$J,0))</f>
        <v>0</v>
      </c>
      <c r="D13" s="168">
        <f t="array" ref="D13">MAX(IF((投诉省份!$B:$B=D$1)*(投诉省份!$C:$C=$A13),投诉省份!$J:$J,0))</f>
        <v>0</v>
      </c>
      <c r="E13" s="168">
        <f t="array" ref="E13">MAX(IF((投诉省份!$B:$B=E$1)*(投诉省份!$C:$C=$A13),投诉省份!$J:$J,0))</f>
        <v>0</v>
      </c>
      <c r="F13" s="168">
        <f t="array" ref="F13">MAX(IF((投诉省份!$B:$B=F$1)*(投诉省份!$C:$C=$A13),投诉省份!$J:$J,0))</f>
        <v>0</v>
      </c>
      <c r="G13" s="168">
        <f t="array" ref="G13">MAX(IF((投诉省份!$B:$B=G$1)*(投诉省份!$C:$C=$A13),投诉省份!$J:$J,0))</f>
        <v>0</v>
      </c>
      <c r="H13" s="168">
        <f t="array" ref="H13">MAX(IF((投诉省份!$B:$B=H$1)*(投诉省份!$C:$C=$A13),投诉省份!$J:$J,0))</f>
        <v>0</v>
      </c>
      <c r="I13" s="168">
        <f t="array" ref="I13">MAX(IF((投诉省份!$B:$B=I$1)*(投诉省份!$C:$C=$A13),投诉省份!$J:$J,0))</f>
        <v>0</v>
      </c>
      <c r="J13" s="168">
        <f t="array" ref="J13">MAX(IF((渠道投诉省份!$B:$B=J$1)*(渠道投诉省份!$D:$D=$A13),渠道投诉省份!$J:$J,0))</f>
        <v>0</v>
      </c>
      <c r="K13" s="168">
        <f t="array" ref="K13">MAX(IF((渠道投诉省份!$B:$B=K$1)*(渠道投诉省份!$D:$D=$A13),渠道投诉省份!$J:$J,0))</f>
        <v>0</v>
      </c>
      <c r="L13" s="168">
        <f t="array" ref="L13">MAX(IF((渠道投诉省份!$B:$B=L$1)*(渠道投诉省份!$D:$D=$A13),渠道投诉省份!$J:$J,0))</f>
        <v>0</v>
      </c>
      <c r="M13" s="168">
        <f t="array" ref="M13">MAX(IF((渠道投诉省份!$B:$B=M$1)*(渠道投诉省份!$D:$D=$A13),渠道投诉省份!$J:$J,0))</f>
        <v>1</v>
      </c>
      <c r="N13" s="168">
        <f t="shared" si="0"/>
        <v>0</v>
      </c>
    </row>
    <row r="14" spans="1:14" ht="16.5">
      <c r="A14" s="159" t="s">
        <v>206</v>
      </c>
      <c r="B14" s="168">
        <f t="array" ref="B14">MAX(IF((投诉省份!$B:$B=B$1)*(投诉省份!$C:$C=$A14),投诉省份!$J:$J,0))</f>
        <v>0</v>
      </c>
      <c r="C14" s="168">
        <f t="array" ref="C14">MAX(IF((投诉省份!$B:$B=C$1)*(投诉省份!$C:$C=$A14),投诉省份!$J:$J,0))</f>
        <v>0</v>
      </c>
      <c r="D14" s="168">
        <f t="array" ref="D14">MAX(IF((投诉省份!$B:$B=D$1)*(投诉省份!$C:$C=$A14),投诉省份!$J:$J,0))</f>
        <v>0</v>
      </c>
      <c r="E14" s="168">
        <f t="array" ref="E14">MAX(IF((投诉省份!$B:$B=E$1)*(投诉省份!$C:$C=$A14),投诉省份!$J:$J,0))</f>
        <v>0</v>
      </c>
      <c r="F14" s="168">
        <f t="array" ref="F14">MAX(IF((投诉省份!$B:$B=F$1)*(投诉省份!$C:$C=$A14),投诉省份!$J:$J,0))</f>
        <v>0</v>
      </c>
      <c r="G14" s="168">
        <f t="array" ref="G14">MAX(IF((投诉省份!$B:$B=G$1)*(投诉省份!$C:$C=$A14),投诉省份!$J:$J,0))</f>
        <v>0</v>
      </c>
      <c r="H14" s="168">
        <f t="array" ref="H14">MAX(IF((投诉省份!$B:$B=H$1)*(投诉省份!$C:$C=$A14),投诉省份!$J:$J,0))</f>
        <v>0</v>
      </c>
      <c r="I14" s="168">
        <f t="array" ref="I14">MAX(IF((投诉省份!$B:$B=I$1)*(投诉省份!$C:$C=$A14),投诉省份!$J:$J,0))</f>
        <v>0</v>
      </c>
      <c r="J14" s="168">
        <f t="array" ref="J14">MAX(IF((渠道投诉省份!$B:$B=J$1)*(渠道投诉省份!$D:$D=$A14),渠道投诉省份!$J:$J,0))</f>
        <v>1</v>
      </c>
      <c r="K14" s="168">
        <f t="array" ref="K14">MAX(IF((渠道投诉省份!$B:$B=K$1)*(渠道投诉省份!$D:$D=$A14),渠道投诉省份!$J:$J,0))</f>
        <v>1</v>
      </c>
      <c r="L14" s="168">
        <f t="array" ref="L14">MAX(IF((渠道投诉省份!$B:$B=L$1)*(渠道投诉省份!$D:$D=$A14),渠道投诉省份!$J:$J,0))</f>
        <v>0</v>
      </c>
      <c r="M14" s="168">
        <f t="array" ref="M14">MAX(IF((渠道投诉省份!$B:$B=M$1)*(渠道投诉省份!$D:$D=$A14),渠道投诉省份!$J:$J,0))</f>
        <v>0</v>
      </c>
      <c r="N14" s="168">
        <f t="shared" si="0"/>
        <v>2</v>
      </c>
    </row>
    <row r="15" spans="1:14" ht="16.5">
      <c r="A15" s="159" t="s">
        <v>207</v>
      </c>
      <c r="B15" s="168">
        <f t="array" ref="B15">MAX(IF((投诉省份!$B:$B=B$1)*(投诉省份!$C:$C=$A15),投诉省份!$J:$J,0))</f>
        <v>0</v>
      </c>
      <c r="C15" s="168">
        <f t="array" ref="C15">MAX(IF((投诉省份!$B:$B=C$1)*(投诉省份!$C:$C=$A15),投诉省份!$J:$J,0))</f>
        <v>0</v>
      </c>
      <c r="D15" s="168">
        <f t="array" ref="D15">MAX(IF((投诉省份!$B:$B=D$1)*(投诉省份!$C:$C=$A15),投诉省份!$J:$J,0))</f>
        <v>0</v>
      </c>
      <c r="E15" s="168">
        <f t="array" ref="E15">MAX(IF((投诉省份!$B:$B=E$1)*(投诉省份!$C:$C=$A15),投诉省份!$J:$J,0))</f>
        <v>0</v>
      </c>
      <c r="F15" s="168">
        <f t="array" ref="F15">MAX(IF((投诉省份!$B:$B=F$1)*(投诉省份!$C:$C=$A15),投诉省份!$J:$J,0))</f>
        <v>0</v>
      </c>
      <c r="G15" s="168">
        <f t="array" ref="G15">MAX(IF((投诉省份!$B:$B=G$1)*(投诉省份!$C:$C=$A15),投诉省份!$J:$J,0))</f>
        <v>0</v>
      </c>
      <c r="H15" s="168">
        <f t="array" ref="H15">MAX(IF((投诉省份!$B:$B=H$1)*(投诉省份!$C:$C=$A15),投诉省份!$J:$J,0))</f>
        <v>0</v>
      </c>
      <c r="I15" s="168">
        <f t="array" ref="I15">MAX(IF((投诉省份!$B:$B=I$1)*(投诉省份!$C:$C=$A15),投诉省份!$J:$J,0))</f>
        <v>0</v>
      </c>
      <c r="J15" s="168">
        <f t="array" ref="J15">MAX(IF((渠道投诉省份!$B:$B=J$1)*(渠道投诉省份!$D:$D=$A15),渠道投诉省份!$J:$J,0))</f>
        <v>0</v>
      </c>
      <c r="K15" s="168">
        <f t="array" ref="K15">MAX(IF((渠道投诉省份!$B:$B=K$1)*(渠道投诉省份!$D:$D=$A15),渠道投诉省份!$J:$J,0))</f>
        <v>0</v>
      </c>
      <c r="L15" s="168">
        <f t="array" ref="L15">MAX(IF((渠道投诉省份!$B:$B=L$1)*(渠道投诉省份!$D:$D=$A15),渠道投诉省份!$J:$J,0))</f>
        <v>0</v>
      </c>
      <c r="M15" s="168">
        <f t="array" ref="M15">MAX(IF((渠道投诉省份!$B:$B=M$1)*(渠道投诉省份!$D:$D=$A15),渠道投诉省份!$J:$J,0))</f>
        <v>0</v>
      </c>
      <c r="N15" s="168">
        <f t="shared" si="0"/>
        <v>0</v>
      </c>
    </row>
    <row r="16" spans="1:14" ht="16.5">
      <c r="A16" s="159" t="s">
        <v>208</v>
      </c>
      <c r="B16" s="168">
        <f t="array" ref="B16">MAX(IF((投诉省份!$B:$B=B$1)*(投诉省份!$C:$C=$A16),投诉省份!$J:$J,0))</f>
        <v>0</v>
      </c>
      <c r="C16" s="168">
        <f t="array" ref="C16">MAX(IF((投诉省份!$B:$B=C$1)*(投诉省份!$C:$C=$A16),投诉省份!$J:$J,0))</f>
        <v>0</v>
      </c>
      <c r="D16" s="168">
        <f t="array" ref="D16">MAX(IF((投诉省份!$B:$B=D$1)*(投诉省份!$C:$C=$A16),投诉省份!$J:$J,0))</f>
        <v>0</v>
      </c>
      <c r="E16" s="168">
        <f t="array" ref="E16">MAX(IF((投诉省份!$B:$B=E$1)*(投诉省份!$C:$C=$A16),投诉省份!$J:$J,0))</f>
        <v>0</v>
      </c>
      <c r="F16" s="168">
        <f t="array" ref="F16">MAX(IF((投诉省份!$B:$B=F$1)*(投诉省份!$C:$C=$A16),投诉省份!$J:$J,0))</f>
        <v>0</v>
      </c>
      <c r="G16" s="168">
        <f t="array" ref="G16">MAX(IF((投诉省份!$B:$B=G$1)*(投诉省份!$C:$C=$A16),投诉省份!$J:$J,0))</f>
        <v>0</v>
      </c>
      <c r="H16" s="168">
        <f t="array" ref="H16">MAX(IF((投诉省份!$B:$B=H$1)*(投诉省份!$C:$C=$A16),投诉省份!$J:$J,0))</f>
        <v>0</v>
      </c>
      <c r="I16" s="168">
        <f t="array" ref="I16">MAX(IF((投诉省份!$B:$B=I$1)*(投诉省份!$C:$C=$A16),投诉省份!$J:$J,0))</f>
        <v>0</v>
      </c>
      <c r="J16" s="168">
        <f t="array" ref="J16">MAX(IF((渠道投诉省份!$B:$B=J$1)*(渠道投诉省份!$D:$D=$A16),渠道投诉省份!$J:$J,0))</f>
        <v>3</v>
      </c>
      <c r="K16" s="168">
        <f t="array" ref="K16">MAX(IF((渠道投诉省份!$B:$B=K$1)*(渠道投诉省份!$D:$D=$A16),渠道投诉省份!$J:$J,0))</f>
        <v>2</v>
      </c>
      <c r="L16" s="168">
        <f t="array" ref="L16">MAX(IF((渠道投诉省份!$B:$B=L$1)*(渠道投诉省份!$D:$D=$A16),渠道投诉省份!$J:$J,0))</f>
        <v>3</v>
      </c>
      <c r="M16" s="168">
        <f t="array" ref="M16">MAX(IF((渠道投诉省份!$B:$B=M$1)*(渠道投诉省份!$D:$D=$A16),渠道投诉省份!$J:$J,0))</f>
        <v>0</v>
      </c>
      <c r="N16" s="168">
        <f t="shared" si="0"/>
        <v>8</v>
      </c>
    </row>
    <row r="17" spans="1:14" ht="16.5">
      <c r="A17" s="159" t="s">
        <v>209</v>
      </c>
      <c r="B17" s="168">
        <f t="array" ref="B17">MAX(IF((投诉省份!$B:$B=B$1)*(投诉省份!$C:$C=$A17),投诉省份!$J:$J,0))</f>
        <v>0</v>
      </c>
      <c r="C17" s="168">
        <f t="array" ref="C17">MAX(IF((投诉省份!$B:$B=C$1)*(投诉省份!$C:$C=$A17),投诉省份!$J:$J,0))</f>
        <v>0</v>
      </c>
      <c r="D17" s="168">
        <f t="array" ref="D17">MAX(IF((投诉省份!$B:$B=D$1)*(投诉省份!$C:$C=$A17),投诉省份!$J:$J,0))</f>
        <v>0</v>
      </c>
      <c r="E17" s="168">
        <f t="array" ref="E17">MAX(IF((投诉省份!$B:$B=E$1)*(投诉省份!$C:$C=$A17),投诉省份!$J:$J,0))</f>
        <v>0</v>
      </c>
      <c r="F17" s="168">
        <f t="array" ref="F17">MAX(IF((投诉省份!$B:$B=F$1)*(投诉省份!$C:$C=$A17),投诉省份!$J:$J,0))</f>
        <v>0</v>
      </c>
      <c r="G17" s="168">
        <f t="array" ref="G17">MAX(IF((投诉省份!$B:$B=G$1)*(投诉省份!$C:$C=$A17),投诉省份!$J:$J,0))</f>
        <v>0</v>
      </c>
      <c r="H17" s="168">
        <f t="array" ref="H17">MAX(IF((投诉省份!$B:$B=H$1)*(投诉省份!$C:$C=$A17),投诉省份!$J:$J,0))</f>
        <v>0</v>
      </c>
      <c r="I17" s="168">
        <f t="array" ref="I17">MAX(IF((投诉省份!$B:$B=I$1)*(投诉省份!$C:$C=$A17),投诉省份!$J:$J,0))</f>
        <v>0</v>
      </c>
      <c r="J17" s="168">
        <f t="array" ref="J17">MAX(IF((渠道投诉省份!$B:$B=J$1)*(渠道投诉省份!$D:$D=$A17),渠道投诉省份!$J:$J,0))</f>
        <v>0</v>
      </c>
      <c r="K17" s="168">
        <f t="array" ref="K17">MAX(IF((渠道投诉省份!$B:$B=K$1)*(渠道投诉省份!$D:$D=$A17),渠道投诉省份!$J:$J,0))</f>
        <v>0</v>
      </c>
      <c r="L17" s="168">
        <f t="array" ref="L17">MAX(IF((渠道投诉省份!$B:$B=L$1)*(渠道投诉省份!$D:$D=$A17),渠道投诉省份!$J:$J,0))</f>
        <v>0</v>
      </c>
      <c r="M17" s="168">
        <f t="array" ref="M17">MAX(IF((渠道投诉省份!$B:$B=M$1)*(渠道投诉省份!$D:$D=$A17),渠道投诉省份!$J:$J,0))</f>
        <v>0</v>
      </c>
      <c r="N17" s="168">
        <f t="shared" si="0"/>
        <v>0</v>
      </c>
    </row>
    <row r="18" spans="1:14" ht="16.5">
      <c r="A18" s="159" t="s">
        <v>210</v>
      </c>
      <c r="B18" s="168">
        <f t="array" ref="B18">MAX(IF((投诉省份!$B:$B=B$1)*(投诉省份!$C:$C=$A18),投诉省份!$J:$J,0))</f>
        <v>0</v>
      </c>
      <c r="C18" s="168">
        <f t="array" ref="C18">MAX(IF((投诉省份!$B:$B=C$1)*(投诉省份!$C:$C=$A18),投诉省份!$J:$J,0))</f>
        <v>0</v>
      </c>
      <c r="D18" s="168">
        <f t="array" ref="D18">MAX(IF((投诉省份!$B:$B=D$1)*(投诉省份!$C:$C=$A18),投诉省份!$J:$J,0))</f>
        <v>0</v>
      </c>
      <c r="E18" s="168">
        <f t="array" ref="E18">MAX(IF((投诉省份!$B:$B=E$1)*(投诉省份!$C:$C=$A18),投诉省份!$J:$J,0))</f>
        <v>0</v>
      </c>
      <c r="F18" s="168">
        <f t="array" ref="F18">MAX(IF((投诉省份!$B:$B=F$1)*(投诉省份!$C:$C=$A18),投诉省份!$J:$J,0))</f>
        <v>0</v>
      </c>
      <c r="G18" s="168">
        <f t="array" ref="G18">MAX(IF((投诉省份!$B:$B=G$1)*(投诉省份!$C:$C=$A18),投诉省份!$J:$J,0))</f>
        <v>0</v>
      </c>
      <c r="H18" s="168">
        <f t="array" ref="H18">MAX(IF((投诉省份!$B:$B=H$1)*(投诉省份!$C:$C=$A18),投诉省份!$J:$J,0))</f>
        <v>0</v>
      </c>
      <c r="I18" s="168">
        <f t="array" ref="I18">MAX(IF((投诉省份!$B:$B=I$1)*(投诉省份!$C:$C=$A18),投诉省份!$J:$J,0))</f>
        <v>0</v>
      </c>
      <c r="J18" s="168">
        <f t="array" ref="J18">MAX(IF((渠道投诉省份!$B:$B=J$1)*(渠道投诉省份!$D:$D=$A18),渠道投诉省份!$J:$J,0))</f>
        <v>0</v>
      </c>
      <c r="K18" s="168">
        <f t="array" ref="K18">MAX(IF((渠道投诉省份!$B:$B=K$1)*(渠道投诉省份!$D:$D=$A18),渠道投诉省份!$J:$J,0))</f>
        <v>0</v>
      </c>
      <c r="L18" s="168">
        <f t="array" ref="L18">MAX(IF((渠道投诉省份!$B:$B=L$1)*(渠道投诉省份!$D:$D=$A18),渠道投诉省份!$J:$J,0))</f>
        <v>0</v>
      </c>
      <c r="M18" s="168">
        <f t="array" ref="M18">MAX(IF((渠道投诉省份!$B:$B=M$1)*(渠道投诉省份!$D:$D=$A18),渠道投诉省份!$J:$J,0))</f>
        <v>0</v>
      </c>
      <c r="N18" s="168">
        <f t="shared" si="0"/>
        <v>0</v>
      </c>
    </row>
    <row r="19" spans="1:14" ht="16.5">
      <c r="A19" s="159" t="s">
        <v>211</v>
      </c>
      <c r="B19" s="168">
        <f t="array" ref="B19">MAX(IF((投诉省份!$B:$B=B$1)*(投诉省份!$C:$C=$A19),投诉省份!$J:$J,0))</f>
        <v>1</v>
      </c>
      <c r="C19" s="168">
        <f t="array" ref="C19">MAX(IF((投诉省份!$B:$B=C$1)*(投诉省份!$C:$C=$A19),投诉省份!$J:$J,0))</f>
        <v>0</v>
      </c>
      <c r="D19" s="168">
        <f t="array" ref="D19">MAX(IF((投诉省份!$B:$B=D$1)*(投诉省份!$C:$C=$A19),投诉省份!$J:$J,0))</f>
        <v>0</v>
      </c>
      <c r="E19" s="168">
        <f t="array" ref="E19">MAX(IF((投诉省份!$B:$B=E$1)*(投诉省份!$C:$C=$A19),投诉省份!$J:$J,0))</f>
        <v>0</v>
      </c>
      <c r="F19" s="168">
        <f t="array" ref="F19">MAX(IF((投诉省份!$B:$B=F$1)*(投诉省份!$C:$C=$A19),投诉省份!$J:$J,0))</f>
        <v>0</v>
      </c>
      <c r="G19" s="168">
        <f t="array" ref="G19">MAX(IF((投诉省份!$B:$B=G$1)*(投诉省份!$C:$C=$A19),投诉省份!$J:$J,0))</f>
        <v>0</v>
      </c>
      <c r="H19" s="168">
        <f t="array" ref="H19">MAX(IF((投诉省份!$B:$B=H$1)*(投诉省份!$C:$C=$A19),投诉省份!$J:$J,0))</f>
        <v>0</v>
      </c>
      <c r="I19" s="168">
        <f t="array" ref="I19">MAX(IF((投诉省份!$B:$B=I$1)*(投诉省份!$C:$C=$A19),投诉省份!$J:$J,0))</f>
        <v>0</v>
      </c>
      <c r="J19" s="168">
        <f t="array" ref="J19">MAX(IF((渠道投诉省份!$B:$B=J$1)*(渠道投诉省份!$D:$D=$A19),渠道投诉省份!$J:$J,0))</f>
        <v>4</v>
      </c>
      <c r="K19" s="168">
        <f t="array" ref="K19">MAX(IF((渠道投诉省份!$B:$B=K$1)*(渠道投诉省份!$D:$D=$A19),渠道投诉省份!$J:$J,0))</f>
        <v>4</v>
      </c>
      <c r="L19" s="168">
        <f t="array" ref="L19">MAX(IF((渠道投诉省份!$B:$B=L$1)*(渠道投诉省份!$D:$D=$A19),渠道投诉省份!$J:$J,0))</f>
        <v>1</v>
      </c>
      <c r="M19" s="168">
        <f t="array" ref="M19">MAX(IF((渠道投诉省份!$B:$B=M$1)*(渠道投诉省份!$D:$D=$A19),渠道投诉省份!$J:$J,0))</f>
        <v>2</v>
      </c>
      <c r="N19" s="168">
        <f t="shared" si="0"/>
        <v>10</v>
      </c>
    </row>
    <row r="20" spans="1:14" ht="16.5">
      <c r="A20" s="159" t="s">
        <v>212</v>
      </c>
      <c r="B20" s="168">
        <f t="array" ref="B20">MAX(IF((投诉省份!$B:$B=B$1)*(投诉省份!$C:$C=$A20),投诉省份!$J:$J,0))</f>
        <v>0</v>
      </c>
      <c r="C20" s="168">
        <f t="array" ref="C20">MAX(IF((投诉省份!$B:$B=C$1)*(投诉省份!$C:$C=$A20),投诉省份!$J:$J,0))</f>
        <v>0</v>
      </c>
      <c r="D20" s="168">
        <f t="array" ref="D20">MAX(IF((投诉省份!$B:$B=D$1)*(投诉省份!$C:$C=$A20),投诉省份!$J:$J,0))</f>
        <v>0</v>
      </c>
      <c r="E20" s="168">
        <f t="array" ref="E20">MAX(IF((投诉省份!$B:$B=E$1)*(投诉省份!$C:$C=$A20),投诉省份!$J:$J,0))</f>
        <v>0</v>
      </c>
      <c r="F20" s="168">
        <f t="array" ref="F20">MAX(IF((投诉省份!$B:$B=F$1)*(投诉省份!$C:$C=$A20),投诉省份!$J:$J,0))</f>
        <v>0</v>
      </c>
      <c r="G20" s="168">
        <f t="array" ref="G20">MAX(IF((投诉省份!$B:$B=G$1)*(投诉省份!$C:$C=$A20),投诉省份!$J:$J,0))</f>
        <v>0</v>
      </c>
      <c r="H20" s="168">
        <f t="array" ref="H20">MAX(IF((投诉省份!$B:$B=H$1)*(投诉省份!$C:$C=$A20),投诉省份!$J:$J,0))</f>
        <v>0</v>
      </c>
      <c r="I20" s="168">
        <f t="array" ref="I20">MAX(IF((投诉省份!$B:$B=I$1)*(投诉省份!$C:$C=$A20),投诉省份!$J:$J,0))</f>
        <v>0</v>
      </c>
      <c r="J20" s="168">
        <f t="array" ref="J20">MAX(IF((渠道投诉省份!$B:$B=J$1)*(渠道投诉省份!$D:$D=$A20),渠道投诉省份!$J:$J,0))</f>
        <v>0</v>
      </c>
      <c r="K20" s="168">
        <f t="array" ref="K20">MAX(IF((渠道投诉省份!$B:$B=K$1)*(渠道投诉省份!$D:$D=$A20),渠道投诉省份!$J:$J,0))</f>
        <v>0</v>
      </c>
      <c r="L20" s="168">
        <f t="array" ref="L20">MAX(IF((渠道投诉省份!$B:$B=L$1)*(渠道投诉省份!$D:$D=$A20),渠道投诉省份!$J:$J,0))</f>
        <v>0</v>
      </c>
      <c r="M20" s="168">
        <f t="array" ref="M20">MAX(IF((渠道投诉省份!$B:$B=M$1)*(渠道投诉省份!$D:$D=$A20),渠道投诉省份!$J:$J,0))</f>
        <v>0</v>
      </c>
      <c r="N20" s="168">
        <f t="shared" si="0"/>
        <v>0</v>
      </c>
    </row>
    <row r="21" spans="1:14" ht="16.5">
      <c r="A21" s="159" t="s">
        <v>213</v>
      </c>
      <c r="B21" s="168">
        <f t="array" ref="B21">MAX(IF((投诉省份!$B:$B=B$1)*(投诉省份!$C:$C=$A21),投诉省份!$J:$J,0))</f>
        <v>0</v>
      </c>
      <c r="C21" s="168">
        <f t="array" ref="C21">MAX(IF((投诉省份!$B:$B=C$1)*(投诉省份!$C:$C=$A21),投诉省份!$J:$J,0))</f>
        <v>0</v>
      </c>
      <c r="D21" s="168">
        <f t="array" ref="D21">MAX(IF((投诉省份!$B:$B=D$1)*(投诉省份!$C:$C=$A21),投诉省份!$J:$J,0))</f>
        <v>0</v>
      </c>
      <c r="E21" s="168">
        <f t="array" ref="E21">MAX(IF((投诉省份!$B:$B=E$1)*(投诉省份!$C:$C=$A21),投诉省份!$J:$J,0))</f>
        <v>0</v>
      </c>
      <c r="F21" s="168">
        <f t="array" ref="F21">MAX(IF((投诉省份!$B:$B=F$1)*(投诉省份!$C:$C=$A21),投诉省份!$J:$J,0))</f>
        <v>0</v>
      </c>
      <c r="G21" s="168">
        <f t="array" ref="G21">MAX(IF((投诉省份!$B:$B=G$1)*(投诉省份!$C:$C=$A21),投诉省份!$J:$J,0))</f>
        <v>0</v>
      </c>
      <c r="H21" s="168">
        <f t="array" ref="H21">MAX(IF((投诉省份!$B:$B=H$1)*(投诉省份!$C:$C=$A21),投诉省份!$J:$J,0))</f>
        <v>0</v>
      </c>
      <c r="I21" s="168">
        <f t="array" ref="I21">MAX(IF((投诉省份!$B:$B=I$1)*(投诉省份!$C:$C=$A21),投诉省份!$J:$J,0))</f>
        <v>0</v>
      </c>
      <c r="J21" s="168">
        <f t="array" ref="J21">MAX(IF((渠道投诉省份!$B:$B=J$1)*(渠道投诉省份!$D:$D=$A21),渠道投诉省份!$J:$J,0))</f>
        <v>0</v>
      </c>
      <c r="K21" s="168">
        <f t="array" ref="K21">MAX(IF((渠道投诉省份!$B:$B=K$1)*(渠道投诉省份!$D:$D=$A21),渠道投诉省份!$J:$J,0))</f>
        <v>0</v>
      </c>
      <c r="L21" s="168">
        <f t="array" ref="L21">MAX(IF((渠道投诉省份!$B:$B=L$1)*(渠道投诉省份!$D:$D=$A21),渠道投诉省份!$J:$J,0))</f>
        <v>0</v>
      </c>
      <c r="M21" s="168">
        <f t="array" ref="M21">MAX(IF((渠道投诉省份!$B:$B=M$1)*(渠道投诉省份!$D:$D=$A21),渠道投诉省份!$J:$J,0))</f>
        <v>0</v>
      </c>
      <c r="N21" s="168">
        <f t="shared" si="0"/>
        <v>0</v>
      </c>
    </row>
    <row r="22" spans="1:14" ht="16.5">
      <c r="A22" s="159" t="s">
        <v>214</v>
      </c>
      <c r="B22" s="168">
        <f t="array" ref="B22">MAX(IF((投诉省份!$B:$B=B$1)*(投诉省份!$C:$C=$A22),投诉省份!$J:$J,0))</f>
        <v>0</v>
      </c>
      <c r="C22" s="168">
        <f t="array" ref="C22">MAX(IF((投诉省份!$B:$B=C$1)*(投诉省份!$C:$C=$A22),投诉省份!$J:$J,0))</f>
        <v>0</v>
      </c>
      <c r="D22" s="168">
        <f t="array" ref="D22">MAX(IF((投诉省份!$B:$B=D$1)*(投诉省份!$C:$C=$A22),投诉省份!$J:$J,0))</f>
        <v>0</v>
      </c>
      <c r="E22" s="168">
        <f t="array" ref="E22">MAX(IF((投诉省份!$B:$B=E$1)*(投诉省份!$C:$C=$A22),投诉省份!$J:$J,0))</f>
        <v>0</v>
      </c>
      <c r="F22" s="168">
        <f t="array" ref="F22">MAX(IF((投诉省份!$B:$B=F$1)*(投诉省份!$C:$C=$A22),投诉省份!$J:$J,0))</f>
        <v>0</v>
      </c>
      <c r="G22" s="168">
        <f t="array" ref="G22">MAX(IF((投诉省份!$B:$B=G$1)*(投诉省份!$C:$C=$A22),投诉省份!$J:$J,0))</f>
        <v>0</v>
      </c>
      <c r="H22" s="168">
        <f t="array" ref="H22">MAX(IF((投诉省份!$B:$B=H$1)*(投诉省份!$C:$C=$A22),投诉省份!$J:$J,0))</f>
        <v>0</v>
      </c>
      <c r="I22" s="168">
        <f t="array" ref="I22">MAX(IF((投诉省份!$B:$B=I$1)*(投诉省份!$C:$C=$A22),投诉省份!$J:$J,0))</f>
        <v>0</v>
      </c>
      <c r="J22" s="168">
        <f t="array" ref="J22">MAX(IF((渠道投诉省份!$B:$B=J$1)*(渠道投诉省份!$D:$D=$A22),渠道投诉省份!$J:$J,0))</f>
        <v>0</v>
      </c>
      <c r="K22" s="168">
        <f t="array" ref="K22">MAX(IF((渠道投诉省份!$B:$B=K$1)*(渠道投诉省份!$D:$D=$A22),渠道投诉省份!$J:$J,0))</f>
        <v>0</v>
      </c>
      <c r="L22" s="168">
        <f t="array" ref="L22">MAX(IF((渠道投诉省份!$B:$B=L$1)*(渠道投诉省份!$D:$D=$A22),渠道投诉省份!$J:$J,0))</f>
        <v>0</v>
      </c>
      <c r="M22" s="168">
        <f t="array" ref="M22">MAX(IF((渠道投诉省份!$B:$B=M$1)*(渠道投诉省份!$D:$D=$A22),渠道投诉省份!$J:$J,0))</f>
        <v>0</v>
      </c>
      <c r="N22" s="168">
        <f t="shared" si="0"/>
        <v>0</v>
      </c>
    </row>
    <row r="23" spans="1:14" ht="16.5">
      <c r="A23" s="159" t="s">
        <v>215</v>
      </c>
      <c r="B23" s="168">
        <f t="array" ref="B23">MAX(IF((投诉省份!$B:$B=B$1)*(投诉省份!$C:$C=$A23),投诉省份!$J:$J,0))</f>
        <v>0</v>
      </c>
      <c r="C23" s="168">
        <f t="array" ref="C23">MAX(IF((投诉省份!$B:$B=C$1)*(投诉省份!$C:$C=$A23),投诉省份!$J:$J,0))</f>
        <v>0</v>
      </c>
      <c r="D23" s="168">
        <f t="array" ref="D23">MAX(IF((投诉省份!$B:$B=D$1)*(投诉省份!$C:$C=$A23),投诉省份!$J:$J,0))</f>
        <v>0</v>
      </c>
      <c r="E23" s="168">
        <f t="array" ref="E23">MAX(IF((投诉省份!$B:$B=E$1)*(投诉省份!$C:$C=$A23),投诉省份!$J:$J,0))</f>
        <v>0</v>
      </c>
      <c r="F23" s="168">
        <f t="array" ref="F23">MAX(IF((投诉省份!$B:$B=F$1)*(投诉省份!$C:$C=$A23),投诉省份!$J:$J,0))</f>
        <v>2</v>
      </c>
      <c r="G23" s="168">
        <f t="array" ref="G23">MAX(IF((投诉省份!$B:$B=G$1)*(投诉省份!$C:$C=$A23),投诉省份!$J:$J,0))</f>
        <v>0</v>
      </c>
      <c r="H23" s="168">
        <f t="array" ref="H23">MAX(IF((投诉省份!$B:$B=H$1)*(投诉省份!$C:$C=$A23),投诉省份!$J:$J,0))</f>
        <v>0</v>
      </c>
      <c r="I23" s="168">
        <f t="array" ref="I23">MAX(IF((投诉省份!$B:$B=I$1)*(投诉省份!$C:$C=$A23),投诉省份!$J:$J,0))</f>
        <v>0</v>
      </c>
      <c r="J23" s="168">
        <f t="array" ref="J23">MAX(IF((渠道投诉省份!$B:$B=J$1)*(渠道投诉省份!$D:$D=$A23),渠道投诉省份!$J:$J,0))</f>
        <v>0</v>
      </c>
      <c r="K23" s="168">
        <f t="array" ref="K23">MAX(IF((渠道投诉省份!$B:$B=K$1)*(渠道投诉省份!$D:$D=$A23),渠道投诉省份!$J:$J,0))</f>
        <v>11</v>
      </c>
      <c r="L23" s="168">
        <f t="array" ref="L23">MAX(IF((渠道投诉省份!$B:$B=L$1)*(渠道投诉省份!$D:$D=$A23),渠道投诉省份!$J:$J,0))</f>
        <v>0</v>
      </c>
      <c r="M23" s="168">
        <f t="array" ref="M23">MAX(IF((渠道投诉省份!$B:$B=M$1)*(渠道投诉省份!$D:$D=$A23),渠道投诉省份!$J:$J,0))</f>
        <v>7</v>
      </c>
      <c r="N23" s="168">
        <f t="shared" si="0"/>
        <v>13</v>
      </c>
    </row>
    <row r="24" spans="1:14" ht="16.5">
      <c r="A24" s="159" t="s">
        <v>216</v>
      </c>
      <c r="B24" s="168">
        <f t="array" ref="B24">MAX(IF((投诉省份!$B:$B=B$1)*(投诉省份!$C:$C=$A24),投诉省份!$J:$J,0))</f>
        <v>0</v>
      </c>
      <c r="C24" s="168">
        <f t="array" ref="C24">MAX(IF((投诉省份!$B:$B=C$1)*(投诉省份!$C:$C=$A24),投诉省份!$J:$J,0))</f>
        <v>0</v>
      </c>
      <c r="D24" s="168">
        <f t="array" ref="D24">MAX(IF((投诉省份!$B:$B=D$1)*(投诉省份!$C:$C=$A24),投诉省份!$J:$J,0))</f>
        <v>0</v>
      </c>
      <c r="E24" s="168">
        <f t="array" ref="E24">MAX(IF((投诉省份!$B:$B=E$1)*(投诉省份!$C:$C=$A24),投诉省份!$J:$J,0))</f>
        <v>0</v>
      </c>
      <c r="F24" s="168">
        <f t="array" ref="F24">MAX(IF((投诉省份!$B:$B=F$1)*(投诉省份!$C:$C=$A24),投诉省份!$J:$J,0))</f>
        <v>0</v>
      </c>
      <c r="G24" s="168">
        <f t="array" ref="G24">MAX(IF((投诉省份!$B:$B=G$1)*(投诉省份!$C:$C=$A24),投诉省份!$J:$J,0))</f>
        <v>0</v>
      </c>
      <c r="H24" s="168">
        <f t="array" ref="H24">MAX(IF((投诉省份!$B:$B=H$1)*(投诉省份!$C:$C=$A24),投诉省份!$J:$J,0))</f>
        <v>0</v>
      </c>
      <c r="I24" s="168">
        <f t="array" ref="I24">MAX(IF((投诉省份!$B:$B=I$1)*(投诉省份!$C:$C=$A24),投诉省份!$J:$J,0))</f>
        <v>0</v>
      </c>
      <c r="J24" s="168">
        <f t="array" ref="J24">MAX(IF((渠道投诉省份!$B:$B=J$1)*(渠道投诉省份!$D:$D=$A24),渠道投诉省份!$J:$J,0))</f>
        <v>0</v>
      </c>
      <c r="K24" s="168">
        <f t="array" ref="K24">MAX(IF((渠道投诉省份!$B:$B=K$1)*(渠道投诉省份!$D:$D=$A24),渠道投诉省份!$J:$J,0))</f>
        <v>0</v>
      </c>
      <c r="L24" s="168">
        <f t="array" ref="L24">MAX(IF((渠道投诉省份!$B:$B=L$1)*(渠道投诉省份!$D:$D=$A24),渠道投诉省份!$J:$J,0))</f>
        <v>0</v>
      </c>
      <c r="M24" s="168">
        <f t="array" ref="M24">MAX(IF((渠道投诉省份!$B:$B=M$1)*(渠道投诉省份!$D:$D=$A24),渠道投诉省份!$J:$J,0))</f>
        <v>0</v>
      </c>
      <c r="N24" s="168">
        <f t="shared" si="0"/>
        <v>0</v>
      </c>
    </row>
    <row r="25" spans="1:14" ht="16.5">
      <c r="A25" s="159" t="s">
        <v>217</v>
      </c>
      <c r="B25" s="168">
        <f t="array" ref="B25">MAX(IF((投诉省份!$B:$B=B$1)*(投诉省份!$C:$C=$A25),投诉省份!$J:$J,0))</f>
        <v>0</v>
      </c>
      <c r="C25" s="168">
        <f t="array" ref="C25">MAX(IF((投诉省份!$B:$B=C$1)*(投诉省份!$C:$C=$A25),投诉省份!$J:$J,0))</f>
        <v>0</v>
      </c>
      <c r="D25" s="168">
        <f t="array" ref="D25">MAX(IF((投诉省份!$B:$B=D$1)*(投诉省份!$C:$C=$A25),投诉省份!$J:$J,0))</f>
        <v>1</v>
      </c>
      <c r="E25" s="168">
        <f t="array" ref="E25">MAX(IF((投诉省份!$B:$B=E$1)*(投诉省份!$C:$C=$A25),投诉省份!$J:$J,0))</f>
        <v>0</v>
      </c>
      <c r="F25" s="168">
        <f t="array" ref="F25">MAX(IF((投诉省份!$B:$B=F$1)*(投诉省份!$C:$C=$A25),投诉省份!$J:$J,0))</f>
        <v>0</v>
      </c>
      <c r="G25" s="168">
        <f t="array" ref="G25">MAX(IF((投诉省份!$B:$B=G$1)*(投诉省份!$C:$C=$A25),投诉省份!$J:$J,0))</f>
        <v>0</v>
      </c>
      <c r="H25" s="168">
        <f t="array" ref="H25">MAX(IF((投诉省份!$B:$B=H$1)*(投诉省份!$C:$C=$A25),投诉省份!$J:$J,0))</f>
        <v>0</v>
      </c>
      <c r="I25" s="168">
        <f t="array" ref="I25">MAX(IF((投诉省份!$B:$B=I$1)*(投诉省份!$C:$C=$A25),投诉省份!$J:$J,0))</f>
        <v>0</v>
      </c>
      <c r="J25" s="168">
        <f t="array" ref="J25">MAX(IF((渠道投诉省份!$B:$B=J$1)*(渠道投诉省份!$D:$D=$A25),渠道投诉省份!$J:$J,0))</f>
        <v>1</v>
      </c>
      <c r="K25" s="168">
        <f t="array" ref="K25">MAX(IF((渠道投诉省份!$B:$B=K$1)*(渠道投诉省份!$D:$D=$A25),渠道投诉省份!$J:$J,0))</f>
        <v>7</v>
      </c>
      <c r="L25" s="168">
        <f t="array" ref="L25">MAX(IF((渠道投诉省份!$B:$B=L$1)*(渠道投诉省份!$D:$D=$A25),渠道投诉省份!$J:$J,0))</f>
        <v>0</v>
      </c>
      <c r="M25" s="168">
        <f t="array" ref="M25">MAX(IF((渠道投诉省份!$B:$B=M$1)*(渠道投诉省份!$D:$D=$A25),渠道投诉省份!$J:$J,0))</f>
        <v>3</v>
      </c>
      <c r="N25" s="168">
        <f t="shared" si="0"/>
        <v>9</v>
      </c>
    </row>
    <row r="26" spans="1:14" ht="16.5">
      <c r="A26" s="159" t="s">
        <v>218</v>
      </c>
      <c r="B26" s="168">
        <f t="array" ref="B26">MAX(IF((投诉省份!$B:$B=B$1)*(投诉省份!$C:$C=$A26),投诉省份!$J:$J,0))</f>
        <v>0</v>
      </c>
      <c r="C26" s="168">
        <f t="array" ref="C26">MAX(IF((投诉省份!$B:$B=C$1)*(投诉省份!$C:$C=$A26),投诉省份!$J:$J,0))</f>
        <v>0</v>
      </c>
      <c r="D26" s="168">
        <f t="array" ref="D26">MAX(IF((投诉省份!$B:$B=D$1)*(投诉省份!$C:$C=$A26),投诉省份!$J:$J,0))</f>
        <v>0</v>
      </c>
      <c r="E26" s="168">
        <f t="array" ref="E26">MAX(IF((投诉省份!$B:$B=E$1)*(投诉省份!$C:$C=$A26),投诉省份!$J:$J,0))</f>
        <v>0</v>
      </c>
      <c r="F26" s="168">
        <f t="array" ref="F26">MAX(IF((投诉省份!$B:$B=F$1)*(投诉省份!$C:$C=$A26),投诉省份!$J:$J,0))</f>
        <v>1</v>
      </c>
      <c r="G26" s="168">
        <f t="array" ref="G26">MAX(IF((投诉省份!$B:$B=G$1)*(投诉省份!$C:$C=$A26),投诉省份!$J:$J,0))</f>
        <v>0</v>
      </c>
      <c r="H26" s="168">
        <f t="array" ref="H26">MAX(IF((投诉省份!$B:$B=H$1)*(投诉省份!$C:$C=$A26),投诉省份!$J:$J,0))</f>
        <v>0</v>
      </c>
      <c r="I26" s="168">
        <f t="array" ref="I26">MAX(IF((投诉省份!$B:$B=I$1)*(投诉省份!$C:$C=$A26),投诉省份!$J:$J,0))</f>
        <v>0</v>
      </c>
      <c r="J26" s="168">
        <f t="array" ref="J26">MAX(IF((渠道投诉省份!$B:$B=J$1)*(渠道投诉省份!$D:$D=$A26),渠道投诉省份!$J:$J,0))</f>
        <v>2</v>
      </c>
      <c r="K26" s="168">
        <f t="array" ref="K26">MAX(IF((渠道投诉省份!$B:$B=K$1)*(渠道投诉省份!$D:$D=$A26),渠道投诉省份!$J:$J,0))</f>
        <v>1</v>
      </c>
      <c r="L26" s="168">
        <f t="array" ref="L26">MAX(IF((渠道投诉省份!$B:$B=L$1)*(渠道投诉省份!$D:$D=$A26),渠道投诉省份!$J:$J,0))</f>
        <v>2</v>
      </c>
      <c r="M26" s="168">
        <f t="array" ref="M26">MAX(IF((渠道投诉省份!$B:$B=M$1)*(渠道投诉省份!$D:$D=$A26),渠道投诉省份!$J:$J,0))</f>
        <v>2</v>
      </c>
      <c r="N26" s="168">
        <f t="shared" si="0"/>
        <v>6</v>
      </c>
    </row>
    <row r="27" spans="1:14" ht="16.5">
      <c r="A27" s="159" t="s">
        <v>219</v>
      </c>
      <c r="B27" s="168">
        <f t="array" ref="B27">MAX(IF((投诉省份!$B:$B=B$1)*(投诉省份!$C:$C=$A27),投诉省份!$J:$J,0))</f>
        <v>0</v>
      </c>
      <c r="C27" s="168">
        <f t="array" ref="C27">MAX(IF((投诉省份!$B:$B=C$1)*(投诉省份!$C:$C=$A27),投诉省份!$J:$J,0))</f>
        <v>0</v>
      </c>
      <c r="D27" s="168">
        <f t="array" ref="D27">MAX(IF((投诉省份!$B:$B=D$1)*(投诉省份!$C:$C=$A27),投诉省份!$J:$J,0))</f>
        <v>0</v>
      </c>
      <c r="E27" s="168">
        <f t="array" ref="E27">MAX(IF((投诉省份!$B:$B=E$1)*(投诉省份!$C:$C=$A27),投诉省份!$J:$J,0))</f>
        <v>0</v>
      </c>
      <c r="F27" s="168">
        <f t="array" ref="F27">MAX(IF((投诉省份!$B:$B=F$1)*(投诉省份!$C:$C=$A27),投诉省份!$J:$J,0))</f>
        <v>0</v>
      </c>
      <c r="G27" s="168">
        <f t="array" ref="G27">MAX(IF((投诉省份!$B:$B=G$1)*(投诉省份!$C:$C=$A27),投诉省份!$J:$J,0))</f>
        <v>0</v>
      </c>
      <c r="H27" s="168">
        <f t="array" ref="H27">MAX(IF((投诉省份!$B:$B=H$1)*(投诉省份!$C:$C=$A27),投诉省份!$J:$J,0))</f>
        <v>0</v>
      </c>
      <c r="I27" s="168">
        <f t="array" ref="I27">MAX(IF((投诉省份!$B:$B=I$1)*(投诉省份!$C:$C=$A27),投诉省份!$J:$J,0))</f>
        <v>0</v>
      </c>
      <c r="J27" s="168">
        <f t="array" ref="J27">MAX(IF((渠道投诉省份!$B:$B=J$1)*(渠道投诉省份!$D:$D=$A27),渠道投诉省份!$J:$J,0))</f>
        <v>0</v>
      </c>
      <c r="K27" s="168">
        <f t="array" ref="K27">MAX(IF((渠道投诉省份!$B:$B=K$1)*(渠道投诉省份!$D:$D=$A27),渠道投诉省份!$J:$J,0))</f>
        <v>2</v>
      </c>
      <c r="L27" s="168">
        <f t="array" ref="L27">MAX(IF((渠道投诉省份!$B:$B=L$1)*(渠道投诉省份!$D:$D=$A27),渠道投诉省份!$J:$J,0))</f>
        <v>0</v>
      </c>
      <c r="M27" s="168">
        <f t="array" ref="M27">MAX(IF((渠道投诉省份!$B:$B=M$1)*(渠道投诉省份!$D:$D=$A27),渠道投诉省份!$J:$J,0))</f>
        <v>15</v>
      </c>
      <c r="N27" s="168">
        <f t="shared" si="0"/>
        <v>2</v>
      </c>
    </row>
    <row r="28" spans="1:14" ht="16.5">
      <c r="A28" s="159" t="s">
        <v>220</v>
      </c>
      <c r="B28" s="168">
        <f t="array" ref="B28">MAX(IF((投诉省份!$B:$B=B$1)*(投诉省份!$C:$C=$A28),投诉省份!$J:$J,0))</f>
        <v>0</v>
      </c>
      <c r="C28" s="168">
        <f t="array" ref="C28">MAX(IF((投诉省份!$B:$B=C$1)*(投诉省份!$C:$C=$A28),投诉省份!$J:$J,0))</f>
        <v>0</v>
      </c>
      <c r="D28" s="168">
        <f t="array" ref="D28">MAX(IF((投诉省份!$B:$B=D$1)*(投诉省份!$C:$C=$A28),投诉省份!$J:$J,0))</f>
        <v>0</v>
      </c>
      <c r="E28" s="168">
        <f t="array" ref="E28">MAX(IF((投诉省份!$B:$B=E$1)*(投诉省份!$C:$C=$A28),投诉省份!$J:$J,0))</f>
        <v>0</v>
      </c>
      <c r="F28" s="168">
        <f t="array" ref="F28">MAX(IF((投诉省份!$B:$B=F$1)*(投诉省份!$C:$C=$A28),投诉省份!$J:$J,0))</f>
        <v>0</v>
      </c>
      <c r="G28" s="168">
        <f t="array" ref="G28">MAX(IF((投诉省份!$B:$B=G$1)*(投诉省份!$C:$C=$A28),投诉省份!$J:$J,0))</f>
        <v>0</v>
      </c>
      <c r="H28" s="168">
        <f t="array" ref="H28">MAX(IF((投诉省份!$B:$B=H$1)*(投诉省份!$C:$C=$A28),投诉省份!$J:$J,0))</f>
        <v>0</v>
      </c>
      <c r="I28" s="168">
        <f t="array" ref="I28">MAX(IF((投诉省份!$B:$B=I$1)*(投诉省份!$C:$C=$A28),投诉省份!$J:$J,0))</f>
        <v>0</v>
      </c>
      <c r="J28" s="168">
        <f t="array" ref="J28">MAX(IF((渠道投诉省份!$B:$B=J$1)*(渠道投诉省份!$D:$D=$A28),渠道投诉省份!$J:$J,0))</f>
        <v>0</v>
      </c>
      <c r="K28" s="168">
        <f t="array" ref="K28">MAX(IF((渠道投诉省份!$B:$B=K$1)*(渠道投诉省份!$D:$D=$A28),渠道投诉省份!$J:$J,0))</f>
        <v>0</v>
      </c>
      <c r="L28" s="168">
        <f t="array" ref="L28">MAX(IF((渠道投诉省份!$B:$B=L$1)*(渠道投诉省份!$D:$D=$A28),渠道投诉省份!$J:$J,0))</f>
        <v>0</v>
      </c>
      <c r="M28" s="168">
        <f t="array" ref="M28">MAX(IF((渠道投诉省份!$B:$B=M$1)*(渠道投诉省份!$D:$D=$A28),渠道投诉省份!$J:$J,0))</f>
        <v>0</v>
      </c>
      <c r="N28" s="168">
        <f t="shared" si="0"/>
        <v>0</v>
      </c>
    </row>
    <row r="29" spans="1:14" ht="16.5">
      <c r="A29" s="159" t="s">
        <v>221</v>
      </c>
      <c r="B29" s="168">
        <f t="array" ref="B29">MAX(IF((投诉省份!$B:$B=B$1)*(投诉省份!$C:$C=$A29),投诉省份!$J:$J,0))</f>
        <v>0</v>
      </c>
      <c r="C29" s="168">
        <f t="array" ref="C29">MAX(IF((投诉省份!$B:$B=C$1)*(投诉省份!$C:$C=$A29),投诉省份!$J:$J,0))</f>
        <v>0</v>
      </c>
      <c r="D29" s="168">
        <f t="array" ref="D29">MAX(IF((投诉省份!$B:$B=D$1)*(投诉省份!$C:$C=$A29),投诉省份!$J:$J,0))</f>
        <v>0</v>
      </c>
      <c r="E29" s="168">
        <f t="array" ref="E29">MAX(IF((投诉省份!$B:$B=E$1)*(投诉省份!$C:$C=$A29),投诉省份!$J:$J,0))</f>
        <v>0</v>
      </c>
      <c r="F29" s="168">
        <f t="array" ref="F29">MAX(IF((投诉省份!$B:$B=F$1)*(投诉省份!$C:$C=$A29),投诉省份!$J:$J,0))</f>
        <v>0</v>
      </c>
      <c r="G29" s="168">
        <f t="array" ref="G29">MAX(IF((投诉省份!$B:$B=G$1)*(投诉省份!$C:$C=$A29),投诉省份!$J:$J,0))</f>
        <v>0</v>
      </c>
      <c r="H29" s="168">
        <f t="array" ref="H29">MAX(IF((投诉省份!$B:$B=H$1)*(投诉省份!$C:$C=$A29),投诉省份!$J:$J,0))</f>
        <v>0</v>
      </c>
      <c r="I29" s="168">
        <f t="array" ref="I29">MAX(IF((投诉省份!$B:$B=I$1)*(投诉省份!$C:$C=$A29),投诉省份!$J:$J,0))</f>
        <v>0</v>
      </c>
      <c r="J29" s="168">
        <f t="array" ref="J29">MAX(IF((渠道投诉省份!$B:$B=J$1)*(渠道投诉省份!$D:$D=$A29),渠道投诉省份!$J:$J,0))</f>
        <v>0</v>
      </c>
      <c r="K29" s="168">
        <f t="array" ref="K29">MAX(IF((渠道投诉省份!$B:$B=K$1)*(渠道投诉省份!$D:$D=$A29),渠道投诉省份!$J:$J,0))</f>
        <v>0</v>
      </c>
      <c r="L29" s="168">
        <f t="array" ref="L29">MAX(IF((渠道投诉省份!$B:$B=L$1)*(渠道投诉省份!$D:$D=$A29),渠道投诉省份!$J:$J,0))</f>
        <v>0</v>
      </c>
      <c r="M29" s="168">
        <f t="array" ref="M29">MAX(IF((渠道投诉省份!$B:$B=M$1)*(渠道投诉省份!$D:$D=$A29),渠道投诉省份!$J:$J,0))</f>
        <v>0</v>
      </c>
      <c r="N29" s="168">
        <f t="shared" si="0"/>
        <v>0</v>
      </c>
    </row>
    <row r="30" spans="1:14" ht="16.5">
      <c r="A30" s="159" t="s">
        <v>222</v>
      </c>
      <c r="B30" s="168">
        <f t="array" ref="B30">MAX(IF((投诉省份!$B:$B=B$1)*(投诉省份!$C:$C=$A30),投诉省份!$J:$J,0))</f>
        <v>0</v>
      </c>
      <c r="C30" s="168">
        <f t="array" ref="C30">MAX(IF((投诉省份!$B:$B=C$1)*(投诉省份!$C:$C=$A30),投诉省份!$J:$J,0))</f>
        <v>0</v>
      </c>
      <c r="D30" s="168">
        <f t="array" ref="D30">MAX(IF((投诉省份!$B:$B=D$1)*(投诉省份!$C:$C=$A30),投诉省份!$J:$J,0))</f>
        <v>0</v>
      </c>
      <c r="E30" s="168">
        <f t="array" ref="E30">MAX(IF((投诉省份!$B:$B=E$1)*(投诉省份!$C:$C=$A30),投诉省份!$J:$J,0))</f>
        <v>0</v>
      </c>
      <c r="F30" s="168">
        <f t="array" ref="F30">MAX(IF((投诉省份!$B:$B=F$1)*(投诉省份!$C:$C=$A30),投诉省份!$J:$J,0))</f>
        <v>0</v>
      </c>
      <c r="G30" s="168">
        <f t="array" ref="G30">MAX(IF((投诉省份!$B:$B=G$1)*(投诉省份!$C:$C=$A30),投诉省份!$J:$J,0))</f>
        <v>0</v>
      </c>
      <c r="H30" s="168">
        <f t="array" ref="H30">MAX(IF((投诉省份!$B:$B=H$1)*(投诉省份!$C:$C=$A30),投诉省份!$J:$J,0))</f>
        <v>0</v>
      </c>
      <c r="I30" s="168">
        <f t="array" ref="I30">MAX(IF((投诉省份!$B:$B=I$1)*(投诉省份!$C:$C=$A30),投诉省份!$J:$J,0))</f>
        <v>0</v>
      </c>
      <c r="J30" s="168">
        <f t="array" ref="J30">MAX(IF((渠道投诉省份!$B:$B=J$1)*(渠道投诉省份!$D:$D=$A30),渠道投诉省份!$J:$J,0))</f>
        <v>0</v>
      </c>
      <c r="K30" s="168">
        <f t="array" ref="K30">MAX(IF((渠道投诉省份!$B:$B=K$1)*(渠道投诉省份!$D:$D=$A30),渠道投诉省份!$J:$J,0))</f>
        <v>0</v>
      </c>
      <c r="L30" s="168">
        <f t="array" ref="L30">MAX(IF((渠道投诉省份!$B:$B=L$1)*(渠道投诉省份!$D:$D=$A30),渠道投诉省份!$J:$J,0))</f>
        <v>0</v>
      </c>
      <c r="M30" s="168">
        <f t="array" ref="M30">MAX(IF((渠道投诉省份!$B:$B=M$1)*(渠道投诉省份!$D:$D=$A30),渠道投诉省份!$J:$J,0))</f>
        <v>0</v>
      </c>
      <c r="N30" s="168">
        <f t="shared" si="0"/>
        <v>0</v>
      </c>
    </row>
    <row r="31" spans="1:14" ht="16.5">
      <c r="A31" s="159" t="s">
        <v>223</v>
      </c>
      <c r="B31" s="168">
        <f t="array" ref="B31">MAX(IF((投诉省份!$B:$B=B$1)*(投诉省份!$C:$C=$A31),投诉省份!$J:$J,0))</f>
        <v>3</v>
      </c>
      <c r="C31" s="168">
        <f t="array" ref="C31">MAX(IF((投诉省份!$B:$B=C$1)*(投诉省份!$C:$C=$A31),投诉省份!$J:$J,0))</f>
        <v>0</v>
      </c>
      <c r="D31" s="168">
        <f t="array" ref="D31">MAX(IF((投诉省份!$B:$B=D$1)*(投诉省份!$C:$C=$A31),投诉省份!$J:$J,0))</f>
        <v>0</v>
      </c>
      <c r="E31" s="168">
        <f t="array" ref="E31">MAX(IF((投诉省份!$B:$B=E$1)*(投诉省份!$C:$C=$A31),投诉省份!$J:$J,0))</f>
        <v>0</v>
      </c>
      <c r="F31" s="168">
        <f t="array" ref="F31">MAX(IF((投诉省份!$B:$B=F$1)*(投诉省份!$C:$C=$A31),投诉省份!$J:$J,0))</f>
        <v>0</v>
      </c>
      <c r="G31" s="168">
        <f t="array" ref="G31">MAX(IF((投诉省份!$B:$B=G$1)*(投诉省份!$C:$C=$A31),投诉省份!$J:$J,0))</f>
        <v>0</v>
      </c>
      <c r="H31" s="168">
        <f t="array" ref="H31">MAX(IF((投诉省份!$B:$B=H$1)*(投诉省份!$C:$C=$A31),投诉省份!$J:$J,0))</f>
        <v>0</v>
      </c>
      <c r="I31" s="168">
        <f t="array" ref="I31">MAX(IF((投诉省份!$B:$B=I$1)*(投诉省份!$C:$C=$A31),投诉省份!$J:$J,0))</f>
        <v>0</v>
      </c>
      <c r="J31" s="168">
        <f t="array" ref="J31">MAX(IF((渠道投诉省份!$B:$B=J$1)*(渠道投诉省份!$D:$D=$A31),渠道投诉省份!$J:$J,0))</f>
        <v>2</v>
      </c>
      <c r="K31" s="168">
        <f t="array" ref="K31">MAX(IF((渠道投诉省份!$B:$B=K$1)*(渠道投诉省份!$D:$D=$A31),渠道投诉省份!$J:$J,0))</f>
        <v>0</v>
      </c>
      <c r="L31" s="168">
        <f t="array" ref="L31">MAX(IF((渠道投诉省份!$B:$B=L$1)*(渠道投诉省份!$D:$D=$A31),渠道投诉省份!$J:$J,0))</f>
        <v>1</v>
      </c>
      <c r="M31" s="168">
        <f t="array" ref="M31">MAX(IF((渠道投诉省份!$B:$B=M$1)*(渠道投诉省份!$D:$D=$A31),渠道投诉省份!$J:$J,0))</f>
        <v>0</v>
      </c>
      <c r="N31" s="168">
        <f t="shared" si="0"/>
        <v>6</v>
      </c>
    </row>
    <row r="32" spans="1:14" ht="16.5">
      <c r="A32" s="159" t="s">
        <v>224</v>
      </c>
      <c r="B32" s="168">
        <f t="array" ref="B32">MAX(IF((投诉省份!$B:$B=B$1)*(投诉省份!$C:$C=$A32),投诉省份!$J:$J,0))</f>
        <v>2</v>
      </c>
      <c r="C32" s="168">
        <f t="array" ref="C32">MAX(IF((投诉省份!$B:$B=C$1)*(投诉省份!$C:$C=$A32),投诉省份!$J:$J,0))</f>
        <v>0</v>
      </c>
      <c r="D32" s="168">
        <f t="array" ref="D32">MAX(IF((投诉省份!$B:$B=D$1)*(投诉省份!$C:$C=$A32),投诉省份!$J:$J,0))</f>
        <v>0</v>
      </c>
      <c r="E32" s="168">
        <f t="array" ref="E32">MAX(IF((投诉省份!$B:$B=E$1)*(投诉省份!$C:$C=$A32),投诉省份!$J:$J,0))</f>
        <v>0</v>
      </c>
      <c r="F32" s="168">
        <f t="array" ref="F32">MAX(IF((投诉省份!$B:$B=F$1)*(投诉省份!$C:$C=$A32),投诉省份!$J:$J,0))</f>
        <v>0</v>
      </c>
      <c r="G32" s="168">
        <f t="array" ref="G32">MAX(IF((投诉省份!$B:$B=G$1)*(投诉省份!$C:$C=$A32),投诉省份!$J:$J,0))</f>
        <v>0</v>
      </c>
      <c r="H32" s="168">
        <f t="array" ref="H32">MAX(IF((投诉省份!$B:$B=H$1)*(投诉省份!$C:$C=$A32),投诉省份!$J:$J,0))</f>
        <v>0</v>
      </c>
      <c r="I32" s="168">
        <f t="array" ref="I32">MAX(IF((投诉省份!$B:$B=I$1)*(投诉省份!$C:$C=$A32),投诉省份!$J:$J,0))</f>
        <v>0</v>
      </c>
      <c r="J32" s="168">
        <f t="array" ref="J32">MAX(IF((渠道投诉省份!$B:$B=J$1)*(渠道投诉省份!$D:$D=$A32),渠道投诉省份!$J:$J,0))</f>
        <v>0</v>
      </c>
      <c r="K32" s="168">
        <f t="array" ref="K32">MAX(IF((渠道投诉省份!$B:$B=K$1)*(渠道投诉省份!$D:$D=$A32),渠道投诉省份!$J:$J,0))</f>
        <v>9</v>
      </c>
      <c r="L32" s="168">
        <f t="array" ref="L32">MAX(IF((渠道投诉省份!$B:$B=L$1)*(渠道投诉省份!$D:$D=$A32),渠道投诉省份!$J:$J,0))</f>
        <v>0</v>
      </c>
      <c r="M32" s="168">
        <f t="array" ref="M32">MAX(IF((渠道投诉省份!$B:$B=M$1)*(渠道投诉省份!$D:$D=$A32),渠道投诉省份!$J:$J,0))</f>
        <v>4.1100000000000003</v>
      </c>
      <c r="N32" s="168">
        <f t="shared" si="0"/>
        <v>11</v>
      </c>
    </row>
  </sheetData>
  <phoneticPr fontId="1" type="noConversion"/>
  <conditionalFormatting sqref="A2:A32">
    <cfRule type="expression" dxfId="1" priority="6">
      <formula>$O2&lt;1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N16"/>
  <sheetViews>
    <sheetView workbookViewId="0">
      <selection sqref="A1:M13"/>
    </sheetView>
  </sheetViews>
  <sheetFormatPr defaultRowHeight="12.75"/>
  <cols>
    <col min="7" max="7" width="9.140625" style="257"/>
    <col min="11" max="11" width="10.7109375" style="257" bestFit="1" customWidth="1"/>
    <col min="12" max="12" width="9.28515625" style="257" bestFit="1" customWidth="1"/>
  </cols>
  <sheetData>
    <row r="1" spans="1:14" ht="66">
      <c r="A1" s="247" t="s">
        <v>569</v>
      </c>
      <c r="B1" s="248" t="s">
        <v>348</v>
      </c>
      <c r="C1" s="88" t="s">
        <v>349</v>
      </c>
      <c r="D1" s="88" t="s">
        <v>350</v>
      </c>
      <c r="E1" s="88" t="s">
        <v>351</v>
      </c>
      <c r="F1" s="88" t="s">
        <v>352</v>
      </c>
      <c r="G1" s="255" t="s">
        <v>353</v>
      </c>
      <c r="H1" s="88" t="s">
        <v>354</v>
      </c>
      <c r="I1" s="88" t="s">
        <v>355</v>
      </c>
      <c r="J1" s="88" t="s">
        <v>356</v>
      </c>
      <c r="K1" s="249" t="s">
        <v>357</v>
      </c>
      <c r="L1" s="249" t="s">
        <v>358</v>
      </c>
      <c r="M1" s="250" t="s">
        <v>359</v>
      </c>
      <c r="N1" s="87" t="s">
        <v>360</v>
      </c>
    </row>
    <row r="2" spans="1:14" ht="15.75" customHeight="1">
      <c r="A2" s="214" t="s">
        <v>361</v>
      </c>
      <c r="B2" s="251">
        <f ca="1">TODAY()-1</f>
        <v>42659</v>
      </c>
      <c r="C2" s="216">
        <f t="shared" ref="C2:C12" ca="1" si="0">VLOOKUP($B2,INDIRECT($A2&amp;"!$a:$m"),COLUMN(B2),0)</f>
        <v>4</v>
      </c>
      <c r="D2" s="216">
        <f t="shared" ref="D2:L2" ca="1" si="1">VLOOKUP($B2,INDIRECT($A2&amp;"!$a:$m"),COLUMN(C2),0)</f>
        <v>0</v>
      </c>
      <c r="E2" s="216">
        <f t="shared" ca="1" si="1"/>
        <v>0</v>
      </c>
      <c r="F2" s="216">
        <f t="shared" ca="1" si="1"/>
        <v>14063</v>
      </c>
      <c r="G2" s="256">
        <f t="shared" ca="1" si="1"/>
        <v>0</v>
      </c>
      <c r="H2" s="216">
        <f t="shared" ca="1" si="1"/>
        <v>7</v>
      </c>
      <c r="I2" s="216">
        <f t="shared" ca="1" si="1"/>
        <v>0</v>
      </c>
      <c r="J2" s="216">
        <f t="shared" ca="1" si="1"/>
        <v>0</v>
      </c>
      <c r="K2" s="256">
        <f t="shared" ca="1" si="1"/>
        <v>373568.9</v>
      </c>
      <c r="L2" s="256">
        <f t="shared" ca="1" si="1"/>
        <v>0</v>
      </c>
      <c r="M2" s="252"/>
      <c r="N2" s="216"/>
    </row>
    <row r="3" spans="1:14" ht="15.75" customHeight="1">
      <c r="A3" s="214" t="s">
        <v>362</v>
      </c>
      <c r="B3" s="251">
        <f t="shared" ref="B3:B13" ca="1" si="2">TODAY()-1</f>
        <v>42659</v>
      </c>
      <c r="C3" s="216">
        <f t="shared" ca="1" si="0"/>
        <v>0</v>
      </c>
      <c r="D3" s="216">
        <f t="shared" ref="D3:L3" ca="1" si="3">VLOOKUP($B3,INDIRECT($A3&amp;"!$a:$m"),COLUMN(C3),0)</f>
        <v>0</v>
      </c>
      <c r="E3" s="216">
        <f t="shared" ca="1" si="3"/>
        <v>0</v>
      </c>
      <c r="F3" s="216">
        <f t="shared" ca="1" si="3"/>
        <v>0</v>
      </c>
      <c r="G3" s="256">
        <f t="shared" ca="1" si="3"/>
        <v>0</v>
      </c>
      <c r="H3" s="216">
        <f t="shared" ca="1" si="3"/>
        <v>0</v>
      </c>
      <c r="I3" s="216">
        <f t="shared" ca="1" si="3"/>
        <v>0</v>
      </c>
      <c r="J3" s="216">
        <f t="shared" ca="1" si="3"/>
        <v>0</v>
      </c>
      <c r="K3" s="256">
        <f t="shared" ca="1" si="3"/>
        <v>0</v>
      </c>
      <c r="L3" s="256">
        <f t="shared" ca="1" si="3"/>
        <v>0</v>
      </c>
      <c r="M3" s="253"/>
      <c r="N3" s="216"/>
    </row>
    <row r="4" spans="1:14" ht="15.75" customHeight="1">
      <c r="A4" s="214" t="s">
        <v>363</v>
      </c>
      <c r="B4" s="251">
        <f t="shared" ca="1" si="2"/>
        <v>42659</v>
      </c>
      <c r="C4" s="216">
        <f t="shared" ca="1" si="0"/>
        <v>0</v>
      </c>
      <c r="D4" s="216">
        <f t="shared" ref="D4:L4" ca="1" si="4">VLOOKUP($B4,INDIRECT($A4&amp;"!$a:$m"),COLUMN(C4),0)</f>
        <v>0</v>
      </c>
      <c r="E4" s="216">
        <f t="shared" ca="1" si="4"/>
        <v>0</v>
      </c>
      <c r="F4" s="216">
        <f t="shared" ca="1" si="4"/>
        <v>0</v>
      </c>
      <c r="G4" s="277">
        <f t="shared" ca="1" si="4"/>
        <v>0</v>
      </c>
      <c r="H4" s="216">
        <f t="shared" ca="1" si="4"/>
        <v>0</v>
      </c>
      <c r="I4" s="216">
        <f t="shared" ca="1" si="4"/>
        <v>0</v>
      </c>
      <c r="J4" s="216">
        <f t="shared" ca="1" si="4"/>
        <v>0</v>
      </c>
      <c r="K4" s="256">
        <f t="shared" ca="1" si="4"/>
        <v>0</v>
      </c>
      <c r="L4" s="256">
        <f t="shared" ca="1" si="4"/>
        <v>0</v>
      </c>
      <c r="M4" s="252"/>
      <c r="N4" s="216"/>
    </row>
    <row r="5" spans="1:14" ht="15.75" customHeight="1">
      <c r="A5" s="214" t="s">
        <v>364</v>
      </c>
      <c r="B5" s="251">
        <f t="shared" ca="1" si="2"/>
        <v>42659</v>
      </c>
      <c r="C5" s="216">
        <f t="shared" ca="1" si="0"/>
        <v>0</v>
      </c>
      <c r="D5" s="216">
        <f t="shared" ref="D5:L5" ca="1" si="5">VLOOKUP($B5,INDIRECT($A5&amp;"!$a:$m"),COLUMN(C5),0)</f>
        <v>0</v>
      </c>
      <c r="E5" s="216">
        <f t="shared" ca="1" si="5"/>
        <v>0</v>
      </c>
      <c r="F5" s="216">
        <f t="shared" ca="1" si="5"/>
        <v>0</v>
      </c>
      <c r="G5" s="256">
        <f t="shared" ca="1" si="5"/>
        <v>0</v>
      </c>
      <c r="H5" s="216">
        <f t="shared" ca="1" si="5"/>
        <v>0</v>
      </c>
      <c r="I5" s="216">
        <f t="shared" ca="1" si="5"/>
        <v>0</v>
      </c>
      <c r="J5" s="216">
        <f t="shared" ca="1" si="5"/>
        <v>0</v>
      </c>
      <c r="K5" s="256">
        <f t="shared" ca="1" si="5"/>
        <v>0</v>
      </c>
      <c r="L5" s="256">
        <f t="shared" ca="1" si="5"/>
        <v>0</v>
      </c>
      <c r="M5" s="252"/>
      <c r="N5" s="216"/>
    </row>
    <row r="6" spans="1:14" ht="15.75" customHeight="1">
      <c r="A6" s="239" t="s">
        <v>365</v>
      </c>
      <c r="B6" s="251">
        <f t="shared" ca="1" si="2"/>
        <v>42659</v>
      </c>
      <c r="C6" s="216">
        <f t="shared" ca="1" si="0"/>
        <v>0</v>
      </c>
      <c r="D6" s="216">
        <f t="shared" ref="D6:L6" ca="1" si="6">VLOOKUP($B6,INDIRECT($A6&amp;"!$a:$m"),COLUMN(C6),0)</f>
        <v>0</v>
      </c>
      <c r="E6" s="216">
        <f t="shared" ca="1" si="6"/>
        <v>0</v>
      </c>
      <c r="F6" s="216">
        <f t="shared" ca="1" si="6"/>
        <v>0</v>
      </c>
      <c r="G6" s="256">
        <f t="shared" ca="1" si="6"/>
        <v>0</v>
      </c>
      <c r="H6" s="216">
        <f t="shared" ca="1" si="6"/>
        <v>0</v>
      </c>
      <c r="I6" s="216">
        <f t="shared" ca="1" si="6"/>
        <v>0</v>
      </c>
      <c r="J6" s="216">
        <f t="shared" ca="1" si="6"/>
        <v>0</v>
      </c>
      <c r="K6" s="256">
        <f t="shared" ca="1" si="6"/>
        <v>0</v>
      </c>
      <c r="L6" s="256">
        <f t="shared" ca="1" si="6"/>
        <v>0</v>
      </c>
      <c r="M6" s="240"/>
      <c r="N6" s="216"/>
    </row>
    <row r="7" spans="1:14" ht="15.75" customHeight="1">
      <c r="A7" s="239" t="s">
        <v>366</v>
      </c>
      <c r="B7" s="251">
        <f t="shared" ca="1" si="2"/>
        <v>42659</v>
      </c>
      <c r="C7" s="216">
        <f t="shared" ca="1" si="0"/>
        <v>0</v>
      </c>
      <c r="D7" s="216">
        <f t="shared" ref="D7:L7" ca="1" si="7">VLOOKUP($B7,INDIRECT($A7&amp;"!$a:$m"),COLUMN(C7),0)</f>
        <v>0</v>
      </c>
      <c r="E7" s="216">
        <f t="shared" ca="1" si="7"/>
        <v>0</v>
      </c>
      <c r="F7" s="216">
        <f t="shared" ca="1" si="7"/>
        <v>0</v>
      </c>
      <c r="G7" s="256">
        <f t="shared" ca="1" si="7"/>
        <v>0</v>
      </c>
      <c r="H7" s="216">
        <f t="shared" ca="1" si="7"/>
        <v>0</v>
      </c>
      <c r="I7" s="216">
        <f t="shared" ca="1" si="7"/>
        <v>0</v>
      </c>
      <c r="J7" s="216">
        <f t="shared" ca="1" si="7"/>
        <v>0</v>
      </c>
      <c r="K7" s="256">
        <f t="shared" ca="1" si="7"/>
        <v>0</v>
      </c>
      <c r="L7" s="256">
        <f t="shared" ca="1" si="7"/>
        <v>0</v>
      </c>
      <c r="M7" s="240"/>
      <c r="N7" s="216"/>
    </row>
    <row r="8" spans="1:14" ht="15.75" customHeight="1">
      <c r="A8" s="239" t="s">
        <v>367</v>
      </c>
      <c r="B8" s="251">
        <f t="shared" ca="1" si="2"/>
        <v>42659</v>
      </c>
      <c r="C8" s="216">
        <f t="shared" ca="1" si="0"/>
        <v>0</v>
      </c>
      <c r="D8" s="216">
        <f t="shared" ref="D8:L8" ca="1" si="8">VLOOKUP($B8,INDIRECT($A8&amp;"!$a:$m"),COLUMN(C8),0)</f>
        <v>0</v>
      </c>
      <c r="E8" s="216">
        <f t="shared" ca="1" si="8"/>
        <v>0</v>
      </c>
      <c r="F8" s="216">
        <f t="shared" ca="1" si="8"/>
        <v>0</v>
      </c>
      <c r="G8" s="256">
        <f t="shared" ca="1" si="8"/>
        <v>0</v>
      </c>
      <c r="H8" s="216">
        <f t="shared" ca="1" si="8"/>
        <v>0</v>
      </c>
      <c r="I8" s="216">
        <f t="shared" ca="1" si="8"/>
        <v>0</v>
      </c>
      <c r="J8" s="216">
        <f t="shared" ca="1" si="8"/>
        <v>0</v>
      </c>
      <c r="K8" s="256">
        <f t="shared" ca="1" si="8"/>
        <v>0</v>
      </c>
      <c r="L8" s="256">
        <f t="shared" ca="1" si="8"/>
        <v>0</v>
      </c>
      <c r="M8" s="240"/>
      <c r="N8" s="216"/>
    </row>
    <row r="9" spans="1:14" ht="15.75" customHeight="1">
      <c r="A9" s="244" t="s">
        <v>368</v>
      </c>
      <c r="B9" s="251">
        <f t="shared" ca="1" si="2"/>
        <v>42659</v>
      </c>
      <c r="C9" s="216">
        <f t="shared" ca="1" si="0"/>
        <v>0</v>
      </c>
      <c r="D9" s="216">
        <f t="shared" ref="D9:L9" ca="1" si="9">VLOOKUP($B9,INDIRECT($A9&amp;"!$a:$m"),COLUMN(C9),0)</f>
        <v>0</v>
      </c>
      <c r="E9" s="216">
        <f t="shared" ca="1" si="9"/>
        <v>0</v>
      </c>
      <c r="F9" s="216">
        <f t="shared" ca="1" si="9"/>
        <v>0</v>
      </c>
      <c r="G9" s="256">
        <f t="shared" ca="1" si="9"/>
        <v>0</v>
      </c>
      <c r="H9" s="216">
        <f t="shared" ca="1" si="9"/>
        <v>0</v>
      </c>
      <c r="I9" s="216">
        <f t="shared" ca="1" si="9"/>
        <v>0</v>
      </c>
      <c r="J9" s="216">
        <f t="shared" ca="1" si="9"/>
        <v>0</v>
      </c>
      <c r="K9" s="256">
        <f t="shared" ca="1" si="9"/>
        <v>0</v>
      </c>
      <c r="L9" s="256">
        <f t="shared" ca="1" si="9"/>
        <v>0</v>
      </c>
      <c r="M9" s="240"/>
      <c r="N9" s="216"/>
    </row>
    <row r="10" spans="1:14" ht="15.75" customHeight="1">
      <c r="A10" s="239" t="s">
        <v>369</v>
      </c>
      <c r="B10" s="251">
        <f t="shared" ca="1" si="2"/>
        <v>42659</v>
      </c>
      <c r="C10" s="216">
        <f t="shared" ca="1" si="0"/>
        <v>0</v>
      </c>
      <c r="D10" s="216">
        <f t="shared" ref="D10:L10" ca="1" si="10">VLOOKUP($B10,INDIRECT($A10&amp;"!$a:$m"),COLUMN(C10),0)</f>
        <v>0</v>
      </c>
      <c r="E10" s="216">
        <f t="shared" ca="1" si="10"/>
        <v>0</v>
      </c>
      <c r="F10" s="216">
        <f t="shared" ca="1" si="10"/>
        <v>0</v>
      </c>
      <c r="G10" s="259">
        <f t="shared" ca="1" si="10"/>
        <v>0</v>
      </c>
      <c r="H10" s="216">
        <f t="shared" ca="1" si="10"/>
        <v>0</v>
      </c>
      <c r="I10" s="216">
        <f t="shared" ca="1" si="10"/>
        <v>0</v>
      </c>
      <c r="J10" s="216">
        <f t="shared" ca="1" si="10"/>
        <v>0</v>
      </c>
      <c r="K10" s="256">
        <f t="shared" ca="1" si="10"/>
        <v>0</v>
      </c>
      <c r="L10" s="256">
        <f t="shared" ca="1" si="10"/>
        <v>0</v>
      </c>
      <c r="M10" s="240"/>
      <c r="N10" s="216"/>
    </row>
    <row r="11" spans="1:14" ht="15.75" customHeight="1">
      <c r="A11" s="239" t="s">
        <v>370</v>
      </c>
      <c r="B11" s="251">
        <f t="shared" ca="1" si="2"/>
        <v>42659</v>
      </c>
      <c r="C11" s="216">
        <f t="shared" ca="1" si="0"/>
        <v>0</v>
      </c>
      <c r="D11" s="216">
        <f t="shared" ref="D11:L11" ca="1" si="11">VLOOKUP($B11,INDIRECT($A11&amp;"!$a:$m"),COLUMN(C11),0)</f>
        <v>0</v>
      </c>
      <c r="E11" s="216">
        <f t="shared" ca="1" si="11"/>
        <v>0</v>
      </c>
      <c r="F11" s="216">
        <f t="shared" ca="1" si="11"/>
        <v>0</v>
      </c>
      <c r="G11" s="256">
        <f t="shared" ca="1" si="11"/>
        <v>0</v>
      </c>
      <c r="H11" s="216">
        <f t="shared" ca="1" si="11"/>
        <v>0</v>
      </c>
      <c r="I11" s="216">
        <f t="shared" ca="1" si="11"/>
        <v>0</v>
      </c>
      <c r="J11" s="216">
        <f t="shared" ca="1" si="11"/>
        <v>0</v>
      </c>
      <c r="K11" s="256">
        <f t="shared" ca="1" si="11"/>
        <v>0</v>
      </c>
      <c r="L11" s="256">
        <f t="shared" ca="1" si="11"/>
        <v>0</v>
      </c>
      <c r="M11" s="240"/>
      <c r="N11" s="216"/>
    </row>
    <row r="12" spans="1:14" s="47" customFormat="1" ht="15.75" customHeight="1">
      <c r="A12" s="239" t="s">
        <v>371</v>
      </c>
      <c r="B12" s="251">
        <f t="shared" ca="1" si="2"/>
        <v>42659</v>
      </c>
      <c r="C12" s="216">
        <f t="shared" ca="1" si="0"/>
        <v>0</v>
      </c>
      <c r="D12" s="216">
        <f t="shared" ref="D12:L12" ca="1" si="12">VLOOKUP($B12,INDIRECT($A12&amp;"!$a:$m"),COLUMN(C12),0)</f>
        <v>0</v>
      </c>
      <c r="E12" s="216">
        <f t="shared" ca="1" si="12"/>
        <v>0</v>
      </c>
      <c r="F12" s="216">
        <f t="shared" ca="1" si="12"/>
        <v>0</v>
      </c>
      <c r="G12" s="256">
        <f t="shared" ca="1" si="12"/>
        <v>0</v>
      </c>
      <c r="H12" s="216">
        <f t="shared" ca="1" si="12"/>
        <v>0</v>
      </c>
      <c r="I12" s="216">
        <f t="shared" ca="1" si="12"/>
        <v>0</v>
      </c>
      <c r="J12" s="216">
        <f t="shared" ca="1" si="12"/>
        <v>0</v>
      </c>
      <c r="K12" s="256">
        <f t="shared" ca="1" si="12"/>
        <v>0</v>
      </c>
      <c r="L12" s="256">
        <f t="shared" ca="1" si="12"/>
        <v>0</v>
      </c>
      <c r="M12" s="240"/>
      <c r="N12" s="216"/>
    </row>
    <row r="13" spans="1:14" s="47" customFormat="1" ht="15.75" customHeight="1">
      <c r="A13" s="239" t="s">
        <v>560</v>
      </c>
      <c r="B13" s="251">
        <f t="shared" ca="1" si="2"/>
        <v>42659</v>
      </c>
      <c r="C13" s="216">
        <f t="shared" ref="C13" ca="1" si="13">VLOOKUP($B13,INDIRECT($A13&amp;"!$a:$m"),COLUMN(B13),0)</f>
        <v>0</v>
      </c>
      <c r="D13" s="216">
        <f t="shared" ref="D13" ca="1" si="14">VLOOKUP($B13,INDIRECT($A13&amp;"!$a:$m"),COLUMN(C13),0)</f>
        <v>0</v>
      </c>
      <c r="E13" s="216">
        <f t="shared" ref="E13" ca="1" si="15">VLOOKUP($B13,INDIRECT($A13&amp;"!$a:$m"),COLUMN(D13),0)</f>
        <v>0</v>
      </c>
      <c r="F13" s="216">
        <f t="shared" ref="F13" ca="1" si="16">VLOOKUP($B13,INDIRECT($A13&amp;"!$a:$m"),COLUMN(E13),0)</f>
        <v>0</v>
      </c>
      <c r="G13" s="256">
        <f t="shared" ref="G13" ca="1" si="17">VLOOKUP($B13,INDIRECT($A13&amp;"!$a:$m"),COLUMN(F13),0)</f>
        <v>0</v>
      </c>
      <c r="H13" s="216">
        <f t="shared" ref="H13" ca="1" si="18">VLOOKUP($B13,INDIRECT($A13&amp;"!$a:$m"),COLUMN(G13),0)</f>
        <v>0</v>
      </c>
      <c r="I13" s="216">
        <f t="shared" ref="I13" ca="1" si="19">VLOOKUP($B13,INDIRECT($A13&amp;"!$a:$m"),COLUMN(H13),0)</f>
        <v>0</v>
      </c>
      <c r="J13" s="216">
        <f t="shared" ref="J13" ca="1" si="20">VLOOKUP($B13,INDIRECT($A13&amp;"!$a:$m"),COLUMN(I13),0)</f>
        <v>0</v>
      </c>
      <c r="K13" s="256">
        <f t="shared" ref="K13" ca="1" si="21">VLOOKUP($B13,INDIRECT($A13&amp;"!$a:$m"),COLUMN(J13),0)</f>
        <v>0</v>
      </c>
      <c r="L13" s="256">
        <f t="shared" ref="L13" ca="1" si="22">VLOOKUP($B13,INDIRECT($A13&amp;"!$a:$m"),COLUMN(K13),0)</f>
        <v>0</v>
      </c>
      <c r="M13" s="240"/>
      <c r="N13" s="216"/>
    </row>
    <row r="16" spans="1:14">
      <c r="H16" s="278"/>
    </row>
  </sheetData>
  <phoneticPr fontId="4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329"/>
  <sheetViews>
    <sheetView showGridLines="0" topLeftCell="A1315" workbookViewId="0">
      <selection activeCell="C1330" sqref="C1330"/>
    </sheetView>
  </sheetViews>
  <sheetFormatPr defaultRowHeight="18" customHeight="1"/>
  <cols>
    <col min="1" max="1" width="9.5703125" style="216" bestFit="1" customWidth="1"/>
    <col min="2" max="2" width="9.140625" style="216"/>
    <col min="3" max="3" width="14.85546875" style="224" bestFit="1" customWidth="1"/>
    <col min="4" max="4" width="23.28515625" style="216" customWidth="1"/>
    <col min="5" max="5" width="11.28515625" style="216" customWidth="1"/>
    <col min="6" max="6" width="11.7109375" style="216" customWidth="1"/>
    <col min="7" max="7" width="11" style="216" customWidth="1"/>
    <col min="8" max="8" width="9.28515625" style="216" bestFit="1" customWidth="1"/>
    <col min="9" max="9" width="10.140625" style="216" bestFit="1" customWidth="1"/>
    <col min="10" max="10" width="10.28515625" style="216" customWidth="1"/>
  </cols>
  <sheetData>
    <row r="1" spans="1:12" s="182" customFormat="1" ht="18" customHeight="1">
      <c r="A1" s="210" t="s">
        <v>261</v>
      </c>
      <c r="B1" s="210" t="s">
        <v>262</v>
      </c>
      <c r="C1" s="218" t="s">
        <v>178</v>
      </c>
      <c r="D1" s="211" t="s">
        <v>179</v>
      </c>
      <c r="E1" s="211" t="s">
        <v>256</v>
      </c>
      <c r="F1" s="211" t="s">
        <v>2</v>
      </c>
      <c r="G1" s="211" t="s">
        <v>257</v>
      </c>
      <c r="H1" s="211" t="s">
        <v>258</v>
      </c>
      <c r="I1" s="211" t="s">
        <v>259</v>
      </c>
      <c r="J1" s="211" t="s">
        <v>260</v>
      </c>
      <c r="L1"/>
    </row>
    <row r="2" spans="1:12" ht="18" customHeight="1">
      <c r="A2" s="212">
        <v>42583</v>
      </c>
      <c r="B2" s="213" t="s">
        <v>255</v>
      </c>
      <c r="C2" s="219">
        <v>300009192151</v>
      </c>
      <c r="D2" s="183" t="s">
        <v>230</v>
      </c>
      <c r="E2" s="183">
        <v>18</v>
      </c>
      <c r="F2" s="183">
        <v>3212</v>
      </c>
      <c r="G2" s="183">
        <v>18</v>
      </c>
      <c r="H2" s="183">
        <v>9</v>
      </c>
      <c r="I2" s="183">
        <v>54919.9</v>
      </c>
      <c r="J2" s="183">
        <v>1.64</v>
      </c>
    </row>
    <row r="3" spans="1:12" ht="18" customHeight="1">
      <c r="A3" s="212">
        <v>42583</v>
      </c>
      <c r="B3" s="214" t="s">
        <v>265</v>
      </c>
      <c r="C3" s="219">
        <v>300009480238</v>
      </c>
      <c r="D3" s="183" t="s">
        <v>263</v>
      </c>
      <c r="E3" s="183">
        <v>32</v>
      </c>
      <c r="F3" s="183">
        <v>2924</v>
      </c>
      <c r="G3" s="183">
        <v>32</v>
      </c>
      <c r="H3" s="183">
        <v>27</v>
      </c>
      <c r="I3" s="183">
        <v>62936.3</v>
      </c>
      <c r="J3" s="183">
        <v>4.29</v>
      </c>
    </row>
    <row r="4" spans="1:12" ht="18" customHeight="1">
      <c r="A4" s="212">
        <v>42583</v>
      </c>
      <c r="B4" s="214" t="s">
        <v>267</v>
      </c>
      <c r="C4" s="220">
        <v>300009358277</v>
      </c>
      <c r="D4" s="184" t="s">
        <v>266</v>
      </c>
      <c r="E4" s="184">
        <v>422</v>
      </c>
      <c r="F4" s="184">
        <v>57334</v>
      </c>
      <c r="G4" s="184">
        <v>73.599999999999994</v>
      </c>
      <c r="H4" s="184">
        <v>268</v>
      </c>
      <c r="I4" s="184">
        <v>851932.95</v>
      </c>
      <c r="J4" s="184">
        <v>3.15</v>
      </c>
    </row>
    <row r="5" spans="1:12" ht="18" customHeight="1">
      <c r="A5" s="212">
        <v>42583</v>
      </c>
      <c r="B5" s="214" t="s">
        <v>268</v>
      </c>
      <c r="C5" s="219">
        <v>300008823388</v>
      </c>
      <c r="D5" s="183" t="s">
        <v>231</v>
      </c>
      <c r="E5" s="183">
        <v>16</v>
      </c>
      <c r="F5" s="183">
        <v>3105</v>
      </c>
      <c r="G5" s="183">
        <v>16</v>
      </c>
      <c r="H5" s="183">
        <v>9</v>
      </c>
      <c r="I5" s="183">
        <v>58429.78</v>
      </c>
      <c r="J5" s="183">
        <v>1.54</v>
      </c>
    </row>
    <row r="6" spans="1:12" ht="18" customHeight="1">
      <c r="A6" s="212">
        <v>42583</v>
      </c>
      <c r="B6" s="214" t="s">
        <v>269</v>
      </c>
      <c r="C6" s="220">
        <v>300009184067</v>
      </c>
      <c r="D6" s="184" t="s">
        <v>233</v>
      </c>
      <c r="E6" s="184">
        <v>38</v>
      </c>
      <c r="F6" s="184">
        <v>7157</v>
      </c>
      <c r="G6" s="184">
        <v>38</v>
      </c>
      <c r="H6" s="184">
        <v>16</v>
      </c>
      <c r="I6" s="184">
        <v>117182.6</v>
      </c>
      <c r="J6" s="184">
        <v>1.37</v>
      </c>
    </row>
    <row r="7" spans="1:12" ht="18" customHeight="1">
      <c r="A7" s="212">
        <v>42583</v>
      </c>
      <c r="B7" s="214" t="s">
        <v>269</v>
      </c>
      <c r="C7" s="220">
        <v>300009185572</v>
      </c>
      <c r="D7" s="184" t="s">
        <v>237</v>
      </c>
      <c r="E7" s="184">
        <v>50</v>
      </c>
      <c r="F7" s="184">
        <v>4898</v>
      </c>
      <c r="G7" s="184">
        <v>50</v>
      </c>
      <c r="H7" s="184">
        <v>31</v>
      </c>
      <c r="I7" s="184">
        <v>83437.3</v>
      </c>
      <c r="J7" s="184">
        <v>3.72</v>
      </c>
    </row>
    <row r="8" spans="1:12" ht="18" customHeight="1">
      <c r="A8" s="212">
        <v>42583</v>
      </c>
      <c r="B8" s="214" t="s">
        <v>269</v>
      </c>
      <c r="C8" s="220">
        <v>300009406201</v>
      </c>
      <c r="D8" s="184" t="s">
        <v>234</v>
      </c>
      <c r="E8" s="184">
        <v>19</v>
      </c>
      <c r="F8" s="184">
        <v>2779</v>
      </c>
      <c r="G8" s="184">
        <v>19</v>
      </c>
      <c r="H8" s="184">
        <v>6</v>
      </c>
      <c r="I8" s="184">
        <v>42960.5</v>
      </c>
      <c r="J8" s="184">
        <v>1.4</v>
      </c>
    </row>
    <row r="9" spans="1:12" ht="18" customHeight="1">
      <c r="A9" s="212">
        <v>42583</v>
      </c>
      <c r="B9" s="214" t="s">
        <v>269</v>
      </c>
      <c r="C9" s="220">
        <v>300009374215</v>
      </c>
      <c r="D9" s="184" t="s">
        <v>236</v>
      </c>
      <c r="E9" s="184">
        <v>8</v>
      </c>
      <c r="F9" s="184">
        <v>1621</v>
      </c>
      <c r="G9" s="184">
        <v>8</v>
      </c>
      <c r="H9" s="184">
        <v>4</v>
      </c>
      <c r="I9" s="184">
        <v>39380.699999999997</v>
      </c>
      <c r="J9" s="184">
        <v>1.02</v>
      </c>
    </row>
    <row r="10" spans="1:12" ht="18" customHeight="1">
      <c r="A10" s="212">
        <v>42583</v>
      </c>
      <c r="B10" s="214" t="s">
        <v>269</v>
      </c>
      <c r="C10" s="220">
        <v>300009406202</v>
      </c>
      <c r="D10" s="184" t="s">
        <v>232</v>
      </c>
      <c r="E10" s="184">
        <v>10</v>
      </c>
      <c r="F10" s="184">
        <v>1071</v>
      </c>
      <c r="G10" s="184">
        <v>10</v>
      </c>
      <c r="H10" s="184">
        <v>3</v>
      </c>
      <c r="I10" s="184">
        <v>16946</v>
      </c>
      <c r="J10" s="184">
        <v>1.77</v>
      </c>
    </row>
    <row r="11" spans="1:12" ht="18" customHeight="1">
      <c r="A11" s="212">
        <v>42583</v>
      </c>
      <c r="B11" s="214" t="s">
        <v>270</v>
      </c>
      <c r="C11" s="220">
        <v>300009235974</v>
      </c>
      <c r="D11" s="184" t="s">
        <v>187</v>
      </c>
      <c r="E11" s="184">
        <v>29</v>
      </c>
      <c r="F11" s="184">
        <v>7010</v>
      </c>
      <c r="G11" s="184">
        <v>29</v>
      </c>
      <c r="H11" s="184">
        <v>24</v>
      </c>
      <c r="I11" s="184">
        <v>171320.7</v>
      </c>
      <c r="J11" s="184">
        <v>1.4</v>
      </c>
    </row>
    <row r="12" spans="1:12" ht="18" customHeight="1">
      <c r="A12" s="212">
        <v>42583</v>
      </c>
      <c r="B12" s="214" t="s">
        <v>270</v>
      </c>
      <c r="C12" s="219">
        <v>300009000071</v>
      </c>
      <c r="D12" s="183" t="s">
        <v>192</v>
      </c>
      <c r="E12" s="183">
        <v>49</v>
      </c>
      <c r="F12" s="183">
        <v>4584</v>
      </c>
      <c r="G12" s="183">
        <v>49</v>
      </c>
      <c r="H12" s="183">
        <v>28</v>
      </c>
      <c r="I12" s="183">
        <v>71017.87</v>
      </c>
      <c r="J12" s="183">
        <v>3.94</v>
      </c>
    </row>
    <row r="13" spans="1:12" ht="18" customHeight="1">
      <c r="A13" s="212">
        <v>42583</v>
      </c>
      <c r="B13" s="214" t="s">
        <v>270</v>
      </c>
      <c r="C13" s="220">
        <v>300008839381</v>
      </c>
      <c r="D13" s="184" t="s">
        <v>190</v>
      </c>
      <c r="E13" s="184">
        <v>16</v>
      </c>
      <c r="F13" s="184">
        <v>2915</v>
      </c>
      <c r="G13" s="184">
        <v>16</v>
      </c>
      <c r="H13" s="184">
        <v>7</v>
      </c>
      <c r="I13" s="184">
        <v>46038.2</v>
      </c>
      <c r="J13" s="184">
        <v>1.52</v>
      </c>
    </row>
    <row r="14" spans="1:12" ht="18" customHeight="1">
      <c r="A14" s="212">
        <v>42583</v>
      </c>
      <c r="B14" s="214" t="s">
        <v>270</v>
      </c>
      <c r="C14" s="220">
        <v>300009235971</v>
      </c>
      <c r="D14" s="184" t="s">
        <v>241</v>
      </c>
      <c r="E14" s="184">
        <v>21</v>
      </c>
      <c r="F14" s="184">
        <v>1463</v>
      </c>
      <c r="G14" s="184">
        <v>21</v>
      </c>
      <c r="H14" s="184">
        <v>3</v>
      </c>
      <c r="I14" s="184">
        <v>23732.9</v>
      </c>
      <c r="J14" s="184">
        <v>1.26</v>
      </c>
    </row>
    <row r="15" spans="1:12" ht="18" customHeight="1">
      <c r="A15" s="212">
        <v>42583</v>
      </c>
      <c r="B15" s="214" t="s">
        <v>270</v>
      </c>
      <c r="C15" s="220">
        <v>300008875665</v>
      </c>
      <c r="D15" s="184" t="s">
        <v>189</v>
      </c>
      <c r="E15" s="184">
        <v>4</v>
      </c>
      <c r="F15" s="184">
        <v>1</v>
      </c>
      <c r="G15" s="184">
        <v>4</v>
      </c>
      <c r="H15" s="184">
        <v>2</v>
      </c>
      <c r="I15" s="184">
        <v>18</v>
      </c>
      <c r="J15" s="184">
        <v>2</v>
      </c>
    </row>
    <row r="16" spans="1:12" ht="18" customHeight="1">
      <c r="A16" s="212">
        <v>42583</v>
      </c>
      <c r="B16" s="214" t="s">
        <v>270</v>
      </c>
      <c r="C16" s="220">
        <v>300009000261</v>
      </c>
      <c r="D16" s="184" t="s">
        <v>191</v>
      </c>
      <c r="E16" s="184">
        <v>2</v>
      </c>
      <c r="F16" s="184" t="s">
        <v>242</v>
      </c>
      <c r="G16" s="184">
        <v>2</v>
      </c>
      <c r="H16" s="184">
        <v>0</v>
      </c>
      <c r="I16" s="184">
        <v>0</v>
      </c>
      <c r="J16" s="184">
        <v>0</v>
      </c>
    </row>
    <row r="17" spans="1:10" ht="18" customHeight="1">
      <c r="A17" s="212">
        <v>42583</v>
      </c>
      <c r="B17" s="214" t="s">
        <v>270</v>
      </c>
      <c r="C17" s="220">
        <v>300009003496</v>
      </c>
      <c r="D17" s="184" t="s">
        <v>240</v>
      </c>
      <c r="E17" s="184">
        <v>3</v>
      </c>
      <c r="F17" s="184" t="s">
        <v>242</v>
      </c>
      <c r="G17" s="184">
        <v>3</v>
      </c>
      <c r="H17" s="184">
        <v>0</v>
      </c>
      <c r="I17" s="184">
        <v>0</v>
      </c>
      <c r="J17" s="184">
        <v>0</v>
      </c>
    </row>
    <row r="18" spans="1:10" ht="18" customHeight="1">
      <c r="A18" s="212">
        <v>42583</v>
      </c>
      <c r="B18" s="214" t="s">
        <v>271</v>
      </c>
      <c r="C18" s="219">
        <v>300009290321</v>
      </c>
      <c r="D18" s="183" t="s">
        <v>194</v>
      </c>
      <c r="E18" s="183">
        <v>33</v>
      </c>
      <c r="F18" s="183">
        <v>5010</v>
      </c>
      <c r="G18" s="183">
        <v>33</v>
      </c>
      <c r="H18" s="183">
        <v>21</v>
      </c>
      <c r="I18" s="183">
        <v>122390.9</v>
      </c>
      <c r="J18" s="183">
        <v>1.72</v>
      </c>
    </row>
    <row r="19" spans="1:10" ht="18" customHeight="1">
      <c r="A19" s="212">
        <v>42584</v>
      </c>
      <c r="B19" s="213" t="s">
        <v>255</v>
      </c>
      <c r="C19" s="219">
        <v>300009192151</v>
      </c>
      <c r="D19" s="183" t="s">
        <v>230</v>
      </c>
      <c r="E19" s="183">
        <v>19</v>
      </c>
      <c r="F19" s="183">
        <v>3480</v>
      </c>
      <c r="G19" s="183">
        <v>19</v>
      </c>
      <c r="H19" s="183">
        <v>10</v>
      </c>
      <c r="I19" s="183">
        <v>59906.9</v>
      </c>
      <c r="J19" s="183">
        <v>1.67</v>
      </c>
    </row>
    <row r="20" spans="1:10" ht="18" customHeight="1">
      <c r="A20" s="212">
        <v>42584</v>
      </c>
      <c r="B20" s="214" t="s">
        <v>265</v>
      </c>
      <c r="C20" s="219">
        <v>300009480238</v>
      </c>
      <c r="D20" s="183" t="s">
        <v>263</v>
      </c>
      <c r="E20" s="183">
        <v>32</v>
      </c>
      <c r="F20" s="183">
        <v>2924</v>
      </c>
      <c r="G20" s="183">
        <v>32</v>
      </c>
      <c r="H20" s="183">
        <v>27</v>
      </c>
      <c r="I20" s="183">
        <v>62936.3</v>
      </c>
      <c r="J20" s="183">
        <v>4.29</v>
      </c>
    </row>
    <row r="21" spans="1:10" ht="18" customHeight="1">
      <c r="A21" s="212">
        <v>42584</v>
      </c>
      <c r="B21" s="214" t="s">
        <v>267</v>
      </c>
      <c r="C21" s="219">
        <v>300009358277</v>
      </c>
      <c r="D21" s="183" t="s">
        <v>266</v>
      </c>
      <c r="E21" s="183">
        <v>435</v>
      </c>
      <c r="F21" s="183">
        <v>57433</v>
      </c>
      <c r="G21" s="183">
        <v>75.739999999999995</v>
      </c>
      <c r="H21" s="183">
        <v>273</v>
      </c>
      <c r="I21" s="183">
        <v>858828.37</v>
      </c>
      <c r="J21" s="183">
        <v>3.18</v>
      </c>
    </row>
    <row r="22" spans="1:10" ht="18" customHeight="1">
      <c r="A22" s="212">
        <v>42584</v>
      </c>
      <c r="B22" s="214" t="s">
        <v>268</v>
      </c>
      <c r="C22" s="219">
        <v>300008823388</v>
      </c>
      <c r="D22" s="183" t="s">
        <v>231</v>
      </c>
      <c r="E22" s="183">
        <v>16</v>
      </c>
      <c r="F22" s="183">
        <v>3353</v>
      </c>
      <c r="G22" s="183">
        <v>16</v>
      </c>
      <c r="H22" s="183">
        <v>9</v>
      </c>
      <c r="I22" s="183">
        <v>63429.2</v>
      </c>
      <c r="J22" s="183">
        <v>1.42</v>
      </c>
    </row>
    <row r="23" spans="1:10" ht="18" customHeight="1">
      <c r="A23" s="212">
        <v>42584</v>
      </c>
      <c r="B23" s="214" t="s">
        <v>269</v>
      </c>
      <c r="C23" s="220">
        <v>300009184067</v>
      </c>
      <c r="D23" s="184" t="s">
        <v>233</v>
      </c>
      <c r="E23" s="184">
        <v>38</v>
      </c>
      <c r="F23" s="184">
        <v>7157</v>
      </c>
      <c r="G23" s="184">
        <v>38</v>
      </c>
      <c r="H23" s="184">
        <v>16</v>
      </c>
      <c r="I23" s="184">
        <v>117182.6</v>
      </c>
      <c r="J23" s="184">
        <v>1.37</v>
      </c>
    </row>
    <row r="24" spans="1:10" ht="18" customHeight="1">
      <c r="A24" s="212">
        <v>42584</v>
      </c>
      <c r="B24" s="214" t="s">
        <v>269</v>
      </c>
      <c r="C24" s="220">
        <v>300009185572</v>
      </c>
      <c r="D24" s="184" t="s">
        <v>237</v>
      </c>
      <c r="E24" s="184">
        <v>52</v>
      </c>
      <c r="F24" s="184">
        <v>4898</v>
      </c>
      <c r="G24" s="184">
        <v>52</v>
      </c>
      <c r="H24" s="184">
        <v>33</v>
      </c>
      <c r="I24" s="184">
        <v>83437.3</v>
      </c>
      <c r="J24" s="184">
        <v>3.96</v>
      </c>
    </row>
    <row r="25" spans="1:10" ht="18" customHeight="1">
      <c r="A25" s="212">
        <v>42584</v>
      </c>
      <c r="B25" s="214" t="s">
        <v>269</v>
      </c>
      <c r="C25" s="220">
        <v>300009406201</v>
      </c>
      <c r="D25" s="184" t="s">
        <v>234</v>
      </c>
      <c r="E25" s="184">
        <v>21</v>
      </c>
      <c r="F25" s="184">
        <v>2975</v>
      </c>
      <c r="G25" s="184">
        <v>21</v>
      </c>
      <c r="H25" s="184">
        <v>7</v>
      </c>
      <c r="I25" s="184">
        <v>46780.3</v>
      </c>
      <c r="J25" s="184">
        <v>1.5</v>
      </c>
    </row>
    <row r="26" spans="1:10" ht="18" customHeight="1">
      <c r="A26" s="212">
        <v>42584</v>
      </c>
      <c r="B26" s="214" t="s">
        <v>269</v>
      </c>
      <c r="C26" s="220">
        <v>300009374215</v>
      </c>
      <c r="D26" s="184" t="s">
        <v>236</v>
      </c>
      <c r="E26" s="184">
        <v>10</v>
      </c>
      <c r="F26" s="184">
        <v>1855</v>
      </c>
      <c r="G26" s="184">
        <v>10</v>
      </c>
      <c r="H26" s="184">
        <v>6</v>
      </c>
      <c r="I26" s="184">
        <v>45379.6</v>
      </c>
      <c r="J26" s="184">
        <v>1.32</v>
      </c>
    </row>
    <row r="27" spans="1:10" ht="18" customHeight="1">
      <c r="A27" s="212">
        <v>42584</v>
      </c>
      <c r="B27" s="214" t="s">
        <v>269</v>
      </c>
      <c r="C27" s="220">
        <v>300009406202</v>
      </c>
      <c r="D27" s="184" t="s">
        <v>232</v>
      </c>
      <c r="E27" s="184">
        <v>12</v>
      </c>
      <c r="F27" s="184">
        <v>1301</v>
      </c>
      <c r="G27" s="184">
        <v>12</v>
      </c>
      <c r="H27" s="184">
        <v>5</v>
      </c>
      <c r="I27" s="184">
        <v>21217.7</v>
      </c>
      <c r="J27" s="184">
        <v>2.36</v>
      </c>
    </row>
    <row r="28" spans="1:10" ht="18" customHeight="1">
      <c r="A28" s="212">
        <v>42584</v>
      </c>
      <c r="B28" s="214" t="s">
        <v>270</v>
      </c>
      <c r="C28" s="220">
        <v>300009235974</v>
      </c>
      <c r="D28" s="184" t="s">
        <v>187</v>
      </c>
      <c r="E28" s="184">
        <v>27</v>
      </c>
      <c r="F28" s="184">
        <v>6831</v>
      </c>
      <c r="G28" s="184">
        <v>27</v>
      </c>
      <c r="H28" s="184">
        <v>23</v>
      </c>
      <c r="I28" s="184">
        <v>167766.1</v>
      </c>
      <c r="J28" s="184">
        <v>1.37</v>
      </c>
    </row>
    <row r="29" spans="1:10" ht="18" customHeight="1">
      <c r="A29" s="212">
        <v>42584</v>
      </c>
      <c r="B29" s="214" t="s">
        <v>270</v>
      </c>
      <c r="C29" s="220">
        <v>300009000071</v>
      </c>
      <c r="D29" s="184" t="s">
        <v>192</v>
      </c>
      <c r="E29" s="184">
        <v>49</v>
      </c>
      <c r="F29" s="184">
        <v>4584</v>
      </c>
      <c r="G29" s="184">
        <v>49</v>
      </c>
      <c r="H29" s="184">
        <v>28</v>
      </c>
      <c r="I29" s="184">
        <v>71017.87</v>
      </c>
      <c r="J29" s="184">
        <v>3.94</v>
      </c>
    </row>
    <row r="30" spans="1:10" ht="18" customHeight="1">
      <c r="A30" s="212">
        <v>42584</v>
      </c>
      <c r="B30" s="214" t="s">
        <v>270</v>
      </c>
      <c r="C30" s="220">
        <v>300008839381</v>
      </c>
      <c r="D30" s="184" t="s">
        <v>190</v>
      </c>
      <c r="E30" s="184">
        <v>18</v>
      </c>
      <c r="F30" s="184">
        <v>3215</v>
      </c>
      <c r="G30" s="184">
        <v>18</v>
      </c>
      <c r="H30" s="184">
        <v>7</v>
      </c>
      <c r="I30" s="184">
        <v>51328</v>
      </c>
      <c r="J30" s="184">
        <v>1.36</v>
      </c>
    </row>
    <row r="31" spans="1:10" ht="18" customHeight="1">
      <c r="A31" s="212">
        <v>42584</v>
      </c>
      <c r="B31" s="214" t="s">
        <v>270</v>
      </c>
      <c r="C31" s="220">
        <v>300009235971</v>
      </c>
      <c r="D31" s="184" t="s">
        <v>241</v>
      </c>
      <c r="E31" s="184">
        <v>23</v>
      </c>
      <c r="F31" s="184">
        <v>1716</v>
      </c>
      <c r="G31" s="184">
        <v>23</v>
      </c>
      <c r="H31" s="184">
        <v>3</v>
      </c>
      <c r="I31" s="184">
        <v>28252.799999999999</v>
      </c>
      <c r="J31" s="184">
        <v>1.06</v>
      </c>
    </row>
    <row r="32" spans="1:10" ht="18" customHeight="1">
      <c r="A32" s="212">
        <v>42584</v>
      </c>
      <c r="B32" s="214" t="s">
        <v>270</v>
      </c>
      <c r="C32" s="220">
        <v>300008875665</v>
      </c>
      <c r="D32" s="184" t="s">
        <v>189</v>
      </c>
      <c r="E32" s="184">
        <v>3</v>
      </c>
      <c r="F32" s="184">
        <v>1</v>
      </c>
      <c r="G32" s="184">
        <v>3</v>
      </c>
      <c r="H32" s="184">
        <v>1</v>
      </c>
      <c r="I32" s="184">
        <v>18</v>
      </c>
      <c r="J32" s="184">
        <v>1</v>
      </c>
    </row>
    <row r="33" spans="1:10" ht="18" customHeight="1">
      <c r="A33" s="212">
        <v>42584</v>
      </c>
      <c r="B33" s="214" t="s">
        <v>270</v>
      </c>
      <c r="C33" s="220">
        <v>300009000261</v>
      </c>
      <c r="D33" s="184" t="s">
        <v>191</v>
      </c>
      <c r="E33" s="184">
        <v>2</v>
      </c>
      <c r="F33" s="184" t="s">
        <v>242</v>
      </c>
      <c r="G33" s="184">
        <v>2</v>
      </c>
      <c r="H33" s="184">
        <v>0</v>
      </c>
      <c r="I33" s="184">
        <v>0</v>
      </c>
      <c r="J33" s="184">
        <v>0</v>
      </c>
    </row>
    <row r="34" spans="1:10" ht="18" customHeight="1">
      <c r="A34" s="212">
        <v>42584</v>
      </c>
      <c r="B34" s="214" t="s">
        <v>270</v>
      </c>
      <c r="C34" s="220">
        <v>300009003496</v>
      </c>
      <c r="D34" s="184" t="s">
        <v>240</v>
      </c>
      <c r="E34" s="184">
        <v>3</v>
      </c>
      <c r="F34" s="184" t="s">
        <v>242</v>
      </c>
      <c r="G34" s="184">
        <v>3</v>
      </c>
      <c r="H34" s="184">
        <v>0</v>
      </c>
      <c r="I34" s="184">
        <v>0</v>
      </c>
      <c r="J34" s="184">
        <v>0</v>
      </c>
    </row>
    <row r="35" spans="1:10" ht="18" customHeight="1">
      <c r="A35" s="212">
        <v>42584</v>
      </c>
      <c r="B35" s="214" t="s">
        <v>271</v>
      </c>
      <c r="C35" s="219">
        <v>300009290321</v>
      </c>
      <c r="D35" s="183" t="s">
        <v>194</v>
      </c>
      <c r="E35" s="183">
        <v>31</v>
      </c>
      <c r="F35" s="183">
        <v>4796</v>
      </c>
      <c r="G35" s="183">
        <v>31</v>
      </c>
      <c r="H35" s="183">
        <v>21</v>
      </c>
      <c r="I35" s="183">
        <v>117390.9</v>
      </c>
      <c r="J35" s="183">
        <v>1.79</v>
      </c>
    </row>
    <row r="36" spans="1:10" ht="18" customHeight="1">
      <c r="A36" s="212">
        <v>42585</v>
      </c>
      <c r="B36" s="213" t="s">
        <v>255</v>
      </c>
      <c r="C36" s="219">
        <v>300009192151</v>
      </c>
      <c r="D36" s="183" t="s">
        <v>230</v>
      </c>
      <c r="E36" s="183">
        <v>20</v>
      </c>
      <c r="F36" s="183">
        <v>3726</v>
      </c>
      <c r="G36" s="183">
        <v>20</v>
      </c>
      <c r="H36" s="183">
        <v>11</v>
      </c>
      <c r="I36" s="183">
        <v>64899.4</v>
      </c>
      <c r="J36" s="183">
        <v>1.69</v>
      </c>
    </row>
    <row r="37" spans="1:10" ht="18" customHeight="1">
      <c r="A37" s="212">
        <v>42585</v>
      </c>
      <c r="B37" s="214" t="s">
        <v>265</v>
      </c>
      <c r="C37" s="219">
        <v>300009480238</v>
      </c>
      <c r="D37" s="183" t="s">
        <v>263</v>
      </c>
      <c r="E37" s="183">
        <v>32</v>
      </c>
      <c r="F37" s="183">
        <v>2924</v>
      </c>
      <c r="G37" s="183">
        <v>32</v>
      </c>
      <c r="H37" s="183">
        <v>27</v>
      </c>
      <c r="I37" s="183">
        <v>62936.3</v>
      </c>
      <c r="J37" s="183">
        <v>4.29</v>
      </c>
    </row>
    <row r="38" spans="1:10" ht="18" customHeight="1">
      <c r="A38" s="212">
        <v>42585</v>
      </c>
      <c r="B38" s="214" t="s">
        <v>267</v>
      </c>
      <c r="C38" s="219">
        <v>300009358277</v>
      </c>
      <c r="D38" s="183" t="s">
        <v>266</v>
      </c>
      <c r="E38" s="183">
        <v>440</v>
      </c>
      <c r="F38" s="183">
        <v>57297</v>
      </c>
      <c r="G38" s="183">
        <v>76.790000000000006</v>
      </c>
      <c r="H38" s="183">
        <v>274</v>
      </c>
      <c r="I38" s="183">
        <v>861987.07</v>
      </c>
      <c r="J38" s="183">
        <v>3.18</v>
      </c>
    </row>
    <row r="39" spans="1:10" ht="18" customHeight="1">
      <c r="A39" s="212">
        <v>42585</v>
      </c>
      <c r="B39" s="214" t="s">
        <v>268</v>
      </c>
      <c r="C39" s="219">
        <v>300008823388</v>
      </c>
      <c r="D39" s="183" t="s">
        <v>231</v>
      </c>
      <c r="E39" s="183">
        <v>16</v>
      </c>
      <c r="F39" s="183">
        <v>3609</v>
      </c>
      <c r="G39" s="183">
        <v>16</v>
      </c>
      <c r="H39" s="183">
        <v>9</v>
      </c>
      <c r="I39" s="183">
        <v>68428.61</v>
      </c>
      <c r="J39" s="183">
        <v>1.32</v>
      </c>
    </row>
    <row r="40" spans="1:10" ht="18" customHeight="1">
      <c r="A40" s="212">
        <v>42585</v>
      </c>
      <c r="B40" s="214" t="s">
        <v>269</v>
      </c>
      <c r="C40" s="220">
        <v>300009184067</v>
      </c>
      <c r="D40" s="184" t="s">
        <v>233</v>
      </c>
      <c r="E40" s="184">
        <v>41</v>
      </c>
      <c r="F40" s="184">
        <v>7157</v>
      </c>
      <c r="G40" s="184">
        <v>41</v>
      </c>
      <c r="H40" s="184">
        <v>17</v>
      </c>
      <c r="I40" s="184">
        <v>117182.6</v>
      </c>
      <c r="J40" s="184">
        <v>1.45</v>
      </c>
    </row>
    <row r="41" spans="1:10" ht="18" customHeight="1">
      <c r="A41" s="212">
        <v>42585</v>
      </c>
      <c r="B41" s="214" t="s">
        <v>269</v>
      </c>
      <c r="C41" s="220">
        <v>300009406201</v>
      </c>
      <c r="D41" s="184" t="s">
        <v>234</v>
      </c>
      <c r="E41" s="184">
        <v>24</v>
      </c>
      <c r="F41" s="184">
        <v>3126</v>
      </c>
      <c r="G41" s="184">
        <v>24</v>
      </c>
      <c r="H41" s="184">
        <v>8</v>
      </c>
      <c r="I41" s="184">
        <v>49402.9</v>
      </c>
      <c r="J41" s="184">
        <v>1.62</v>
      </c>
    </row>
    <row r="42" spans="1:10" ht="18" customHeight="1">
      <c r="A42" s="212">
        <v>42585</v>
      </c>
      <c r="B42" s="214" t="s">
        <v>269</v>
      </c>
      <c r="C42" s="220">
        <v>300009374215</v>
      </c>
      <c r="D42" s="184" t="s">
        <v>236</v>
      </c>
      <c r="E42" s="184">
        <v>10</v>
      </c>
      <c r="F42" s="184">
        <v>2003</v>
      </c>
      <c r="G42" s="184">
        <v>10</v>
      </c>
      <c r="H42" s="184">
        <v>6</v>
      </c>
      <c r="I42" s="184">
        <v>49005.4</v>
      </c>
      <c r="J42" s="184">
        <v>1.22</v>
      </c>
    </row>
    <row r="43" spans="1:10" ht="18" customHeight="1">
      <c r="A43" s="212">
        <v>42585</v>
      </c>
      <c r="B43" s="214" t="s">
        <v>269</v>
      </c>
      <c r="C43" s="220">
        <v>300009406202</v>
      </c>
      <c r="D43" s="184" t="s">
        <v>232</v>
      </c>
      <c r="E43" s="184">
        <v>16</v>
      </c>
      <c r="F43" s="184">
        <v>1463</v>
      </c>
      <c r="G43" s="184">
        <v>16</v>
      </c>
      <c r="H43" s="184">
        <v>6</v>
      </c>
      <c r="I43" s="184">
        <v>24169</v>
      </c>
      <c r="J43" s="184">
        <v>2.48</v>
      </c>
    </row>
    <row r="44" spans="1:10" ht="18" customHeight="1">
      <c r="A44" s="212">
        <v>42585</v>
      </c>
      <c r="B44" s="214" t="s">
        <v>269</v>
      </c>
      <c r="C44" s="220">
        <v>300009185572</v>
      </c>
      <c r="D44" s="184" t="s">
        <v>237</v>
      </c>
      <c r="E44" s="184">
        <v>3</v>
      </c>
      <c r="F44" s="184" t="s">
        <v>242</v>
      </c>
      <c r="G44" s="184">
        <v>3</v>
      </c>
      <c r="H44" s="184">
        <v>2</v>
      </c>
      <c r="I44" s="184">
        <v>0</v>
      </c>
      <c r="J44" s="184">
        <v>2</v>
      </c>
    </row>
    <row r="45" spans="1:10" ht="18" customHeight="1">
      <c r="A45" s="212">
        <v>42585</v>
      </c>
      <c r="B45" s="214" t="s">
        <v>270</v>
      </c>
      <c r="C45" s="220">
        <v>300009235974</v>
      </c>
      <c r="D45" s="184" t="s">
        <v>187</v>
      </c>
      <c r="E45" s="184">
        <v>26</v>
      </c>
      <c r="F45" s="184">
        <v>6687</v>
      </c>
      <c r="G45" s="184">
        <v>26</v>
      </c>
      <c r="H45" s="184">
        <v>21</v>
      </c>
      <c r="I45" s="184">
        <v>164323.70000000001</v>
      </c>
      <c r="J45" s="184">
        <v>1.28</v>
      </c>
    </row>
    <row r="46" spans="1:10" ht="18" customHeight="1">
      <c r="A46" s="212">
        <v>42585</v>
      </c>
      <c r="B46" s="214" t="s">
        <v>270</v>
      </c>
      <c r="C46" s="220">
        <v>300008839381</v>
      </c>
      <c r="D46" s="184" t="s">
        <v>190</v>
      </c>
      <c r="E46" s="184">
        <v>24</v>
      </c>
      <c r="F46" s="184">
        <v>3481</v>
      </c>
      <c r="G46" s="184">
        <v>24</v>
      </c>
      <c r="H46" s="184">
        <v>9</v>
      </c>
      <c r="I46" s="184">
        <v>55870.8</v>
      </c>
      <c r="J46" s="184">
        <v>1.61</v>
      </c>
    </row>
    <row r="47" spans="1:10" ht="18" customHeight="1">
      <c r="A47" s="212">
        <v>42585</v>
      </c>
      <c r="B47" s="214" t="s">
        <v>270</v>
      </c>
      <c r="C47" s="220">
        <v>300009235971</v>
      </c>
      <c r="D47" s="184" t="s">
        <v>241</v>
      </c>
      <c r="E47" s="184">
        <v>27</v>
      </c>
      <c r="F47" s="184">
        <v>2057</v>
      </c>
      <c r="G47" s="184">
        <v>27</v>
      </c>
      <c r="H47" s="184">
        <v>5</v>
      </c>
      <c r="I47" s="184">
        <v>35111.699999999997</v>
      </c>
      <c r="J47" s="184">
        <v>1.42</v>
      </c>
    </row>
    <row r="48" spans="1:10" ht="18" customHeight="1">
      <c r="A48" s="212">
        <v>42585</v>
      </c>
      <c r="B48" s="214" t="s">
        <v>270</v>
      </c>
      <c r="C48" s="220">
        <v>300009003496</v>
      </c>
      <c r="D48" s="184" t="s">
        <v>240</v>
      </c>
      <c r="E48" s="184">
        <v>6</v>
      </c>
      <c r="F48" s="184">
        <v>212</v>
      </c>
      <c r="G48" s="184">
        <v>6</v>
      </c>
      <c r="H48" s="184">
        <v>1</v>
      </c>
      <c r="I48" s="184">
        <v>3308.93</v>
      </c>
      <c r="J48" s="184">
        <v>1</v>
      </c>
    </row>
    <row r="49" spans="1:10" ht="18" customHeight="1">
      <c r="A49" s="212">
        <v>42585</v>
      </c>
      <c r="B49" s="214" t="s">
        <v>270</v>
      </c>
      <c r="C49" s="220">
        <v>300008875665</v>
      </c>
      <c r="D49" s="184" t="s">
        <v>189</v>
      </c>
      <c r="E49" s="184">
        <v>3</v>
      </c>
      <c r="F49" s="184">
        <v>1</v>
      </c>
      <c r="G49" s="184">
        <v>3</v>
      </c>
      <c r="H49" s="184">
        <v>1</v>
      </c>
      <c r="I49" s="184">
        <v>18</v>
      </c>
      <c r="J49" s="184">
        <v>1</v>
      </c>
    </row>
    <row r="50" spans="1:10" ht="18" customHeight="1">
      <c r="A50" s="212">
        <v>42585</v>
      </c>
      <c r="B50" s="214" t="s">
        <v>270</v>
      </c>
      <c r="C50" s="220">
        <v>300009000071</v>
      </c>
      <c r="D50" s="184" t="s">
        <v>192</v>
      </c>
      <c r="E50" s="184">
        <v>1</v>
      </c>
      <c r="F50" s="184" t="s">
        <v>242</v>
      </c>
      <c r="G50" s="184">
        <v>1</v>
      </c>
      <c r="H50" s="184">
        <v>0</v>
      </c>
      <c r="I50" s="184">
        <v>0</v>
      </c>
      <c r="J50" s="184">
        <v>0</v>
      </c>
    </row>
    <row r="51" spans="1:10" ht="18" customHeight="1">
      <c r="A51" s="212">
        <v>42585</v>
      </c>
      <c r="B51" s="214" t="s">
        <v>270</v>
      </c>
      <c r="C51" s="220">
        <v>300009000261</v>
      </c>
      <c r="D51" s="184" t="s">
        <v>191</v>
      </c>
      <c r="E51" s="184">
        <v>2</v>
      </c>
      <c r="F51" s="184" t="s">
        <v>242</v>
      </c>
      <c r="G51" s="184">
        <v>2</v>
      </c>
      <c r="H51" s="184">
        <v>0</v>
      </c>
      <c r="I51" s="184">
        <v>0</v>
      </c>
      <c r="J51" s="184">
        <v>0</v>
      </c>
    </row>
    <row r="52" spans="1:10" ht="18" customHeight="1">
      <c r="A52" s="212">
        <v>42586</v>
      </c>
      <c r="B52" s="213" t="s">
        <v>255</v>
      </c>
      <c r="C52" s="220">
        <v>300009192151</v>
      </c>
      <c r="D52" s="184" t="s">
        <v>230</v>
      </c>
      <c r="E52" s="184">
        <v>20</v>
      </c>
      <c r="F52" s="184">
        <v>3943</v>
      </c>
      <c r="G52" s="184">
        <v>20</v>
      </c>
      <c r="H52" s="184">
        <v>11</v>
      </c>
      <c r="I52" s="184">
        <v>68807.5</v>
      </c>
      <c r="J52" s="184">
        <v>1.6</v>
      </c>
    </row>
    <row r="53" spans="1:10" ht="18" customHeight="1">
      <c r="A53" s="212">
        <v>42586</v>
      </c>
      <c r="B53" s="214" t="s">
        <v>265</v>
      </c>
      <c r="C53" s="219">
        <v>300009480238</v>
      </c>
      <c r="D53" s="183" t="s">
        <v>263</v>
      </c>
      <c r="E53" s="183">
        <v>32</v>
      </c>
      <c r="F53" s="183">
        <v>2924</v>
      </c>
      <c r="G53" s="183">
        <v>32</v>
      </c>
      <c r="H53" s="183">
        <v>27</v>
      </c>
      <c r="I53" s="183">
        <v>62936.3</v>
      </c>
      <c r="J53" s="183">
        <v>4.29</v>
      </c>
    </row>
    <row r="54" spans="1:10" ht="18" customHeight="1">
      <c r="A54" s="212">
        <v>42586</v>
      </c>
      <c r="B54" s="214" t="s">
        <v>267</v>
      </c>
      <c r="C54" s="219">
        <v>300009358277</v>
      </c>
      <c r="D54" s="183" t="s">
        <v>266</v>
      </c>
      <c r="E54" s="183">
        <v>444</v>
      </c>
      <c r="F54" s="183">
        <v>57201</v>
      </c>
      <c r="G54" s="183">
        <v>77.62</v>
      </c>
      <c r="H54" s="183">
        <v>275</v>
      </c>
      <c r="I54" s="183">
        <v>865873.67</v>
      </c>
      <c r="J54" s="183">
        <v>3.18</v>
      </c>
    </row>
    <row r="55" spans="1:10" ht="18" customHeight="1">
      <c r="A55" s="212">
        <v>42586</v>
      </c>
      <c r="B55" s="214" t="s">
        <v>268</v>
      </c>
      <c r="C55" s="219">
        <v>300008823388</v>
      </c>
      <c r="D55" s="183" t="s">
        <v>231</v>
      </c>
      <c r="E55" s="183">
        <v>17</v>
      </c>
      <c r="F55" s="183">
        <v>3847</v>
      </c>
      <c r="G55" s="183">
        <v>17</v>
      </c>
      <c r="H55" s="183">
        <v>10</v>
      </c>
      <c r="I55" s="183">
        <v>73427.990000000005</v>
      </c>
      <c r="J55" s="183">
        <v>1.36</v>
      </c>
    </row>
    <row r="56" spans="1:10" ht="18" customHeight="1">
      <c r="A56" s="212">
        <v>42586</v>
      </c>
      <c r="B56" s="214" t="s">
        <v>269</v>
      </c>
      <c r="C56" s="220">
        <v>300009184067</v>
      </c>
      <c r="D56" s="184" t="s">
        <v>233</v>
      </c>
      <c r="E56" s="184">
        <v>42</v>
      </c>
      <c r="F56" s="184">
        <v>7149</v>
      </c>
      <c r="G56" s="184">
        <v>42</v>
      </c>
      <c r="H56" s="184">
        <v>18</v>
      </c>
      <c r="I56" s="184">
        <v>117068.4</v>
      </c>
      <c r="J56" s="184">
        <v>1.54</v>
      </c>
    </row>
    <row r="57" spans="1:10" ht="18" customHeight="1">
      <c r="A57" s="212">
        <v>42586</v>
      </c>
      <c r="B57" s="214" t="s">
        <v>269</v>
      </c>
      <c r="C57" s="220">
        <v>300009406201</v>
      </c>
      <c r="D57" s="184" t="s">
        <v>234</v>
      </c>
      <c r="E57" s="184">
        <v>25</v>
      </c>
      <c r="F57" s="184">
        <v>3216</v>
      </c>
      <c r="G57" s="184">
        <v>25</v>
      </c>
      <c r="H57" s="184">
        <v>8</v>
      </c>
      <c r="I57" s="184">
        <v>50876.9</v>
      </c>
      <c r="J57" s="184">
        <v>1.57</v>
      </c>
    </row>
    <row r="58" spans="1:10" ht="18" customHeight="1">
      <c r="A58" s="212">
        <v>42586</v>
      </c>
      <c r="B58" s="214" t="s">
        <v>269</v>
      </c>
      <c r="C58" s="220">
        <v>300009374215</v>
      </c>
      <c r="D58" s="184" t="s">
        <v>236</v>
      </c>
      <c r="E58" s="184">
        <v>13</v>
      </c>
      <c r="F58" s="184">
        <v>2101</v>
      </c>
      <c r="G58" s="184">
        <v>13</v>
      </c>
      <c r="H58" s="184">
        <v>8</v>
      </c>
      <c r="I58" s="184">
        <v>51656.7</v>
      </c>
      <c r="J58" s="184">
        <v>1.55</v>
      </c>
    </row>
    <row r="59" spans="1:10" ht="18" customHeight="1">
      <c r="A59" s="212">
        <v>42586</v>
      </c>
      <c r="B59" s="214" t="s">
        <v>269</v>
      </c>
      <c r="C59" s="220">
        <v>300009406202</v>
      </c>
      <c r="D59" s="184" t="s">
        <v>232</v>
      </c>
      <c r="E59" s="184">
        <v>17</v>
      </c>
      <c r="F59" s="184">
        <v>1556</v>
      </c>
      <c r="G59" s="184">
        <v>17</v>
      </c>
      <c r="H59" s="184">
        <v>6</v>
      </c>
      <c r="I59" s="184">
        <v>25758</v>
      </c>
      <c r="J59" s="184">
        <v>2.33</v>
      </c>
    </row>
    <row r="60" spans="1:10" ht="18" customHeight="1">
      <c r="A60" s="212">
        <v>42586</v>
      </c>
      <c r="B60" s="214" t="s">
        <v>269</v>
      </c>
      <c r="C60" s="220">
        <v>300009185572</v>
      </c>
      <c r="D60" s="184" t="s">
        <v>237</v>
      </c>
      <c r="E60" s="184">
        <v>3</v>
      </c>
      <c r="F60" s="184" t="s">
        <v>242</v>
      </c>
      <c r="G60" s="184">
        <v>3</v>
      </c>
      <c r="H60" s="184">
        <v>2</v>
      </c>
      <c r="I60" s="184">
        <v>0</v>
      </c>
      <c r="J60" s="184">
        <v>2</v>
      </c>
    </row>
    <row r="61" spans="1:10" ht="18" customHeight="1">
      <c r="A61" s="212">
        <v>42586</v>
      </c>
      <c r="B61" s="214" t="s">
        <v>270</v>
      </c>
      <c r="C61" s="220">
        <v>300009235974</v>
      </c>
      <c r="D61" s="184" t="s">
        <v>187</v>
      </c>
      <c r="E61" s="184">
        <v>25</v>
      </c>
      <c r="F61" s="184">
        <v>6518</v>
      </c>
      <c r="G61" s="184">
        <v>25</v>
      </c>
      <c r="H61" s="184">
        <v>21</v>
      </c>
      <c r="I61" s="184">
        <v>160709.9</v>
      </c>
      <c r="J61" s="184">
        <v>1.31</v>
      </c>
    </row>
    <row r="62" spans="1:10" ht="18" customHeight="1">
      <c r="A62" s="212">
        <v>42586</v>
      </c>
      <c r="B62" s="214" t="s">
        <v>270</v>
      </c>
      <c r="C62" s="220">
        <v>300008839381</v>
      </c>
      <c r="D62" s="184" t="s">
        <v>190</v>
      </c>
      <c r="E62" s="184">
        <v>24</v>
      </c>
      <c r="F62" s="184">
        <v>3761</v>
      </c>
      <c r="G62" s="184">
        <v>24</v>
      </c>
      <c r="H62" s="184">
        <v>9</v>
      </c>
      <c r="I62" s="184">
        <v>60379.8</v>
      </c>
      <c r="J62" s="184">
        <v>1.49</v>
      </c>
    </row>
    <row r="63" spans="1:10" ht="18" customHeight="1">
      <c r="A63" s="212">
        <v>42586</v>
      </c>
      <c r="B63" s="214" t="s">
        <v>270</v>
      </c>
      <c r="C63" s="220">
        <v>300009235971</v>
      </c>
      <c r="D63" s="184" t="s">
        <v>241</v>
      </c>
      <c r="E63" s="184">
        <v>28</v>
      </c>
      <c r="F63" s="184">
        <v>2359</v>
      </c>
      <c r="G63" s="184">
        <v>28</v>
      </c>
      <c r="H63" s="184">
        <v>6</v>
      </c>
      <c r="I63" s="184">
        <v>40620.400000000001</v>
      </c>
      <c r="J63" s="184">
        <v>1.48</v>
      </c>
    </row>
    <row r="64" spans="1:10" ht="18" customHeight="1">
      <c r="A64" s="212">
        <v>42586</v>
      </c>
      <c r="B64" s="214" t="s">
        <v>270</v>
      </c>
      <c r="C64" s="220">
        <v>300009003496</v>
      </c>
      <c r="D64" s="184" t="s">
        <v>240</v>
      </c>
      <c r="E64" s="184">
        <v>7</v>
      </c>
      <c r="F64" s="184">
        <v>487</v>
      </c>
      <c r="G64" s="184">
        <v>7</v>
      </c>
      <c r="H64" s="184">
        <v>1</v>
      </c>
      <c r="I64" s="184">
        <v>7614.85</v>
      </c>
      <c r="J64" s="184">
        <v>1</v>
      </c>
    </row>
    <row r="65" spans="1:10" ht="18" customHeight="1">
      <c r="A65" s="212">
        <v>42586</v>
      </c>
      <c r="B65" s="214" t="s">
        <v>270</v>
      </c>
      <c r="C65" s="220">
        <v>300008875665</v>
      </c>
      <c r="D65" s="184" t="s">
        <v>189</v>
      </c>
      <c r="E65" s="184">
        <v>2</v>
      </c>
      <c r="F65" s="184">
        <v>130</v>
      </c>
      <c r="G65" s="184">
        <v>2</v>
      </c>
      <c r="H65" s="184">
        <v>0</v>
      </c>
      <c r="I65" s="184">
        <v>2892.6</v>
      </c>
      <c r="J65" s="184">
        <v>0</v>
      </c>
    </row>
    <row r="66" spans="1:10" ht="18" customHeight="1">
      <c r="A66" s="212">
        <v>42586</v>
      </c>
      <c r="B66" s="214" t="s">
        <v>270</v>
      </c>
      <c r="C66" s="220">
        <v>300009000071</v>
      </c>
      <c r="D66" s="184" t="s">
        <v>192</v>
      </c>
      <c r="E66" s="184">
        <v>1</v>
      </c>
      <c r="F66" s="184" t="s">
        <v>242</v>
      </c>
      <c r="G66" s="184">
        <v>1</v>
      </c>
      <c r="H66" s="184">
        <v>0</v>
      </c>
      <c r="I66" s="184">
        <v>0</v>
      </c>
      <c r="J66" s="184">
        <v>0</v>
      </c>
    </row>
    <row r="67" spans="1:10" ht="18" customHeight="1">
      <c r="A67" s="212">
        <v>42586</v>
      </c>
      <c r="B67" s="214" t="s">
        <v>270</v>
      </c>
      <c r="C67" s="220">
        <v>300009000261</v>
      </c>
      <c r="D67" s="184" t="s">
        <v>191</v>
      </c>
      <c r="E67" s="184">
        <v>2</v>
      </c>
      <c r="F67" s="184" t="s">
        <v>242</v>
      </c>
      <c r="G67" s="184">
        <v>2</v>
      </c>
      <c r="H67" s="184">
        <v>0</v>
      </c>
      <c r="I67" s="184">
        <v>0</v>
      </c>
      <c r="J67" s="184">
        <v>0</v>
      </c>
    </row>
    <row r="68" spans="1:10" ht="18" customHeight="1">
      <c r="A68" s="212">
        <v>42586</v>
      </c>
      <c r="B68" s="214" t="s">
        <v>271</v>
      </c>
      <c r="C68" s="219">
        <v>300009290321</v>
      </c>
      <c r="D68" s="183" t="s">
        <v>194</v>
      </c>
      <c r="E68" s="183">
        <v>1</v>
      </c>
      <c r="F68" s="183">
        <v>420</v>
      </c>
      <c r="G68" s="183">
        <v>1</v>
      </c>
      <c r="H68" s="183">
        <v>1</v>
      </c>
      <c r="I68" s="183">
        <v>9996.5</v>
      </c>
      <c r="J68" s="183">
        <v>1</v>
      </c>
    </row>
    <row r="69" spans="1:10" ht="18" customHeight="1">
      <c r="A69" s="212">
        <v>42587</v>
      </c>
      <c r="B69" s="213" t="s">
        <v>255</v>
      </c>
      <c r="C69" s="219">
        <v>300009192151</v>
      </c>
      <c r="D69" s="183" t="s">
        <v>230</v>
      </c>
      <c r="E69" s="183">
        <v>20</v>
      </c>
      <c r="F69" s="183">
        <v>4186</v>
      </c>
      <c r="G69" s="183">
        <v>20</v>
      </c>
      <c r="H69" s="183">
        <v>11</v>
      </c>
      <c r="I69" s="183">
        <v>73145.100000000006</v>
      </c>
      <c r="J69" s="183">
        <v>1.5</v>
      </c>
    </row>
    <row r="70" spans="1:10" ht="18" customHeight="1">
      <c r="A70" s="212">
        <v>42587</v>
      </c>
      <c r="B70" s="214" t="s">
        <v>265</v>
      </c>
      <c r="C70" s="219">
        <v>300009480238</v>
      </c>
      <c r="D70" s="183" t="s">
        <v>263</v>
      </c>
      <c r="E70" s="183">
        <v>32</v>
      </c>
      <c r="F70" s="183">
        <v>2924</v>
      </c>
      <c r="G70" s="183">
        <v>32</v>
      </c>
      <c r="H70" s="183">
        <v>27</v>
      </c>
      <c r="I70" s="183">
        <v>62936.3</v>
      </c>
      <c r="J70" s="183">
        <v>4.29</v>
      </c>
    </row>
    <row r="71" spans="1:10" ht="18" customHeight="1">
      <c r="A71" s="212">
        <v>42587</v>
      </c>
      <c r="B71" s="214" t="s">
        <v>267</v>
      </c>
      <c r="C71" s="219">
        <v>300009358277</v>
      </c>
      <c r="D71" s="183" t="s">
        <v>266</v>
      </c>
      <c r="E71" s="183">
        <v>447</v>
      </c>
      <c r="F71" s="183">
        <v>57306</v>
      </c>
      <c r="G71" s="183">
        <v>78</v>
      </c>
      <c r="H71" s="183">
        <v>276</v>
      </c>
      <c r="I71" s="183">
        <v>873129.57</v>
      </c>
      <c r="J71" s="183">
        <v>3.16</v>
      </c>
    </row>
    <row r="72" spans="1:10" ht="18" customHeight="1">
      <c r="A72" s="212">
        <v>42587</v>
      </c>
      <c r="B72" s="214" t="s">
        <v>268</v>
      </c>
      <c r="C72" s="219">
        <v>300008823388</v>
      </c>
      <c r="D72" s="183" t="s">
        <v>231</v>
      </c>
      <c r="E72" s="183">
        <v>18</v>
      </c>
      <c r="F72" s="183">
        <v>4079</v>
      </c>
      <c r="G72" s="183">
        <v>18</v>
      </c>
      <c r="H72" s="183">
        <v>10</v>
      </c>
      <c r="I72" s="183">
        <v>78271.3</v>
      </c>
      <c r="J72" s="183">
        <v>1.28</v>
      </c>
    </row>
    <row r="73" spans="1:10" ht="18" customHeight="1">
      <c r="A73" s="212">
        <v>42587</v>
      </c>
      <c r="B73" s="214" t="s">
        <v>269</v>
      </c>
      <c r="C73" s="220">
        <v>300009184067</v>
      </c>
      <c r="D73" s="184" t="s">
        <v>233</v>
      </c>
      <c r="E73" s="184">
        <v>42</v>
      </c>
      <c r="F73" s="184">
        <v>7149</v>
      </c>
      <c r="G73" s="184">
        <v>42</v>
      </c>
      <c r="H73" s="184">
        <v>18</v>
      </c>
      <c r="I73" s="184">
        <v>117068.4</v>
      </c>
      <c r="J73" s="184">
        <v>1.54</v>
      </c>
    </row>
    <row r="74" spans="1:10" ht="18" customHeight="1">
      <c r="A74" s="212">
        <v>42587</v>
      </c>
      <c r="B74" s="214" t="s">
        <v>269</v>
      </c>
      <c r="C74" s="220">
        <v>300009406201</v>
      </c>
      <c r="D74" s="184" t="s">
        <v>234</v>
      </c>
      <c r="E74" s="184">
        <v>26</v>
      </c>
      <c r="F74" s="184">
        <v>3298</v>
      </c>
      <c r="G74" s="184">
        <v>26</v>
      </c>
      <c r="H74" s="184">
        <v>8</v>
      </c>
      <c r="I74" s="184">
        <v>52249.4</v>
      </c>
      <c r="J74" s="184">
        <v>1.53</v>
      </c>
    </row>
    <row r="75" spans="1:10" ht="18" customHeight="1">
      <c r="A75" s="212">
        <v>42587</v>
      </c>
      <c r="B75" s="214" t="s">
        <v>269</v>
      </c>
      <c r="C75" s="220">
        <v>300009374215</v>
      </c>
      <c r="D75" s="184" t="s">
        <v>236</v>
      </c>
      <c r="E75" s="184">
        <v>14</v>
      </c>
      <c r="F75" s="184">
        <v>2176</v>
      </c>
      <c r="G75" s="184">
        <v>14</v>
      </c>
      <c r="H75" s="184">
        <v>9</v>
      </c>
      <c r="I75" s="184">
        <v>53349.4</v>
      </c>
      <c r="J75" s="184">
        <v>1.69</v>
      </c>
    </row>
    <row r="76" spans="1:10" ht="18" customHeight="1">
      <c r="A76" s="212">
        <v>42587</v>
      </c>
      <c r="B76" s="214" t="s">
        <v>269</v>
      </c>
      <c r="C76" s="220">
        <v>300009406202</v>
      </c>
      <c r="D76" s="184" t="s">
        <v>232</v>
      </c>
      <c r="E76" s="184">
        <v>17</v>
      </c>
      <c r="F76" s="184">
        <v>1677</v>
      </c>
      <c r="G76" s="184">
        <v>17</v>
      </c>
      <c r="H76" s="184">
        <v>6</v>
      </c>
      <c r="I76" s="184">
        <v>27825.200000000001</v>
      </c>
      <c r="J76" s="184">
        <v>2.16</v>
      </c>
    </row>
    <row r="77" spans="1:10" ht="18" customHeight="1">
      <c r="A77" s="212">
        <v>42587</v>
      </c>
      <c r="B77" s="214" t="s">
        <v>269</v>
      </c>
      <c r="C77" s="220">
        <v>300009185572</v>
      </c>
      <c r="D77" s="184" t="s">
        <v>237</v>
      </c>
      <c r="E77" s="184">
        <v>3</v>
      </c>
      <c r="F77" s="184" t="s">
        <v>242</v>
      </c>
      <c r="G77" s="184">
        <v>3</v>
      </c>
      <c r="H77" s="184">
        <v>2</v>
      </c>
      <c r="I77" s="184">
        <v>0</v>
      </c>
      <c r="J77" s="184">
        <v>2</v>
      </c>
    </row>
    <row r="78" spans="1:10" ht="18" customHeight="1">
      <c r="A78" s="212">
        <v>42587</v>
      </c>
      <c r="B78" s="214" t="s">
        <v>270</v>
      </c>
      <c r="C78" s="220">
        <v>300009235974</v>
      </c>
      <c r="D78" s="184" t="s">
        <v>187</v>
      </c>
      <c r="E78" s="184">
        <v>26</v>
      </c>
      <c r="F78" s="184">
        <v>6320</v>
      </c>
      <c r="G78" s="184">
        <v>26</v>
      </c>
      <c r="H78" s="184">
        <v>21</v>
      </c>
      <c r="I78" s="184">
        <v>156311.20000000001</v>
      </c>
      <c r="J78" s="184">
        <v>1.34</v>
      </c>
    </row>
    <row r="79" spans="1:10" ht="18" customHeight="1">
      <c r="A79" s="212">
        <v>42587</v>
      </c>
      <c r="B79" s="214" t="s">
        <v>270</v>
      </c>
      <c r="C79" s="220">
        <v>300008839381</v>
      </c>
      <c r="D79" s="184" t="s">
        <v>190</v>
      </c>
      <c r="E79" s="184">
        <v>24</v>
      </c>
      <c r="F79" s="184">
        <v>4023</v>
      </c>
      <c r="G79" s="184">
        <v>24</v>
      </c>
      <c r="H79" s="184">
        <v>9</v>
      </c>
      <c r="I79" s="184">
        <v>65093.5</v>
      </c>
      <c r="J79" s="184">
        <v>1.38</v>
      </c>
    </row>
    <row r="80" spans="1:10" ht="18" customHeight="1">
      <c r="A80" s="212">
        <v>42587</v>
      </c>
      <c r="B80" s="214" t="s">
        <v>270</v>
      </c>
      <c r="C80" s="220">
        <v>300009235971</v>
      </c>
      <c r="D80" s="184" t="s">
        <v>241</v>
      </c>
      <c r="E80" s="184">
        <v>30</v>
      </c>
      <c r="F80" s="184">
        <v>2581</v>
      </c>
      <c r="G80" s="184">
        <v>30</v>
      </c>
      <c r="H80" s="184">
        <v>8</v>
      </c>
      <c r="I80" s="184">
        <v>44332.6</v>
      </c>
      <c r="J80" s="184">
        <v>1.8</v>
      </c>
    </row>
    <row r="81" spans="1:10" ht="18" customHeight="1">
      <c r="A81" s="212">
        <v>42587</v>
      </c>
      <c r="B81" s="214" t="s">
        <v>270</v>
      </c>
      <c r="C81" s="220">
        <v>300009003496</v>
      </c>
      <c r="D81" s="184" t="s">
        <v>240</v>
      </c>
      <c r="E81" s="184">
        <v>8</v>
      </c>
      <c r="F81" s="184">
        <v>762</v>
      </c>
      <c r="G81" s="184">
        <v>8</v>
      </c>
      <c r="H81" s="184">
        <v>2</v>
      </c>
      <c r="I81" s="184">
        <v>11837.59</v>
      </c>
      <c r="J81" s="184">
        <v>1.69</v>
      </c>
    </row>
    <row r="82" spans="1:10" ht="18" customHeight="1">
      <c r="A82" s="212">
        <v>42587</v>
      </c>
      <c r="B82" s="214" t="s">
        <v>270</v>
      </c>
      <c r="C82" s="220">
        <v>300008875665</v>
      </c>
      <c r="D82" s="184" t="s">
        <v>189</v>
      </c>
      <c r="E82" s="184">
        <v>2</v>
      </c>
      <c r="F82" s="184">
        <v>411</v>
      </c>
      <c r="G82" s="184">
        <v>2</v>
      </c>
      <c r="H82" s="184">
        <v>0</v>
      </c>
      <c r="I82" s="184">
        <v>9479.31</v>
      </c>
      <c r="J82" s="184">
        <v>0</v>
      </c>
    </row>
    <row r="83" spans="1:10" ht="18" customHeight="1">
      <c r="A83" s="212">
        <v>42587</v>
      </c>
      <c r="B83" s="214" t="s">
        <v>270</v>
      </c>
      <c r="C83" s="220">
        <v>300009000071</v>
      </c>
      <c r="D83" s="184" t="s">
        <v>192</v>
      </c>
      <c r="E83" s="184">
        <v>1</v>
      </c>
      <c r="F83" s="184" t="s">
        <v>242</v>
      </c>
      <c r="G83" s="184">
        <v>1</v>
      </c>
      <c r="H83" s="184">
        <v>0</v>
      </c>
      <c r="I83" s="184">
        <v>0</v>
      </c>
      <c r="J83" s="184">
        <v>0</v>
      </c>
    </row>
    <row r="84" spans="1:10" ht="18" customHeight="1">
      <c r="A84" s="212">
        <v>42587</v>
      </c>
      <c r="B84" s="214" t="s">
        <v>270</v>
      </c>
      <c r="C84" s="220">
        <v>300009000261</v>
      </c>
      <c r="D84" s="184" t="s">
        <v>191</v>
      </c>
      <c r="E84" s="184">
        <v>2</v>
      </c>
      <c r="F84" s="184" t="s">
        <v>242</v>
      </c>
      <c r="G84" s="184">
        <v>2</v>
      </c>
      <c r="H84" s="184">
        <v>0</v>
      </c>
      <c r="I84" s="184">
        <v>0</v>
      </c>
      <c r="J84" s="184">
        <v>0</v>
      </c>
    </row>
    <row r="85" spans="1:10" ht="18" customHeight="1">
      <c r="A85" s="212">
        <v>42587</v>
      </c>
      <c r="B85" s="214" t="s">
        <v>271</v>
      </c>
      <c r="C85" s="219">
        <v>300009290321</v>
      </c>
      <c r="D85" s="183" t="s">
        <v>194</v>
      </c>
      <c r="E85" s="183">
        <v>2</v>
      </c>
      <c r="F85" s="183">
        <v>626</v>
      </c>
      <c r="G85" s="183">
        <v>2</v>
      </c>
      <c r="H85" s="183">
        <v>1</v>
      </c>
      <c r="I85" s="183">
        <v>14996.5</v>
      </c>
      <c r="J85" s="183">
        <v>0.67</v>
      </c>
    </row>
    <row r="86" spans="1:10" ht="18" customHeight="1">
      <c r="A86" s="212">
        <v>42588</v>
      </c>
      <c r="B86" s="213" t="s">
        <v>255</v>
      </c>
      <c r="C86" s="219">
        <v>300009192151</v>
      </c>
      <c r="D86" s="183" t="s">
        <v>230</v>
      </c>
      <c r="E86" s="183">
        <v>22</v>
      </c>
      <c r="F86" s="183">
        <v>4390</v>
      </c>
      <c r="G86" s="183">
        <v>22</v>
      </c>
      <c r="H86" s="183">
        <v>13</v>
      </c>
      <c r="I86" s="183">
        <v>76727</v>
      </c>
      <c r="J86" s="183">
        <v>1.69</v>
      </c>
    </row>
    <row r="87" spans="1:10" ht="18" customHeight="1">
      <c r="A87" s="212">
        <v>42588</v>
      </c>
      <c r="B87" s="214" t="s">
        <v>267</v>
      </c>
      <c r="C87" s="219">
        <v>300009358277</v>
      </c>
      <c r="D87" s="183" t="s">
        <v>266</v>
      </c>
      <c r="E87" s="183">
        <v>455</v>
      </c>
      <c r="F87" s="183">
        <v>57829</v>
      </c>
      <c r="G87" s="183">
        <v>78.680000000000007</v>
      </c>
      <c r="H87" s="183">
        <v>279</v>
      </c>
      <c r="I87" s="183">
        <v>890671.17</v>
      </c>
      <c r="J87" s="183">
        <v>3.13</v>
      </c>
    </row>
    <row r="88" spans="1:10" ht="18" customHeight="1">
      <c r="A88" s="212">
        <v>42588</v>
      </c>
      <c r="B88" s="214" t="s">
        <v>268</v>
      </c>
      <c r="C88" s="219">
        <v>300008823388</v>
      </c>
      <c r="D88" s="183" t="s">
        <v>231</v>
      </c>
      <c r="E88" s="183">
        <v>19</v>
      </c>
      <c r="F88" s="183">
        <v>4342</v>
      </c>
      <c r="G88" s="183">
        <v>19</v>
      </c>
      <c r="H88" s="183">
        <v>11</v>
      </c>
      <c r="I88" s="183">
        <v>83270.509999999995</v>
      </c>
      <c r="J88" s="183">
        <v>1.32</v>
      </c>
    </row>
    <row r="89" spans="1:10" ht="18" customHeight="1">
      <c r="A89" s="212">
        <v>42588</v>
      </c>
      <c r="B89" s="214" t="s">
        <v>269</v>
      </c>
      <c r="C89" s="220">
        <v>300009406201</v>
      </c>
      <c r="D89" s="184" t="s">
        <v>234</v>
      </c>
      <c r="E89" s="184">
        <v>29</v>
      </c>
      <c r="F89" s="184">
        <v>3367</v>
      </c>
      <c r="G89" s="184">
        <v>29</v>
      </c>
      <c r="H89" s="184">
        <v>10</v>
      </c>
      <c r="I89" s="184">
        <v>53585</v>
      </c>
      <c r="J89" s="184">
        <v>1.87</v>
      </c>
    </row>
    <row r="90" spans="1:10" ht="18" customHeight="1">
      <c r="A90" s="212">
        <v>42588</v>
      </c>
      <c r="B90" s="214" t="s">
        <v>269</v>
      </c>
      <c r="C90" s="220">
        <v>300009374215</v>
      </c>
      <c r="D90" s="184" t="s">
        <v>236</v>
      </c>
      <c r="E90" s="184">
        <v>15</v>
      </c>
      <c r="F90" s="184">
        <v>2290</v>
      </c>
      <c r="G90" s="184">
        <v>15</v>
      </c>
      <c r="H90" s="184">
        <v>10</v>
      </c>
      <c r="I90" s="184">
        <v>55854.1</v>
      </c>
      <c r="J90" s="184">
        <v>1.79</v>
      </c>
    </row>
    <row r="91" spans="1:10" ht="18" customHeight="1">
      <c r="A91" s="212">
        <v>42588</v>
      </c>
      <c r="B91" s="214" t="s">
        <v>269</v>
      </c>
      <c r="C91" s="220">
        <v>300009406202</v>
      </c>
      <c r="D91" s="184" t="s">
        <v>232</v>
      </c>
      <c r="E91" s="184">
        <v>18</v>
      </c>
      <c r="F91" s="184">
        <v>1784</v>
      </c>
      <c r="G91" s="184">
        <v>18</v>
      </c>
      <c r="H91" s="184">
        <v>6</v>
      </c>
      <c r="I91" s="184">
        <v>29666.2</v>
      </c>
      <c r="J91" s="184">
        <v>2.02</v>
      </c>
    </row>
    <row r="92" spans="1:10" ht="18" customHeight="1">
      <c r="A92" s="212">
        <v>42588</v>
      </c>
      <c r="B92" s="214" t="s">
        <v>269</v>
      </c>
      <c r="C92" s="220">
        <v>300009185572</v>
      </c>
      <c r="D92" s="184" t="s">
        <v>237</v>
      </c>
      <c r="E92" s="184">
        <v>4</v>
      </c>
      <c r="F92" s="184" t="s">
        <v>242</v>
      </c>
      <c r="G92" s="184">
        <v>4</v>
      </c>
      <c r="H92" s="184">
        <v>2</v>
      </c>
      <c r="I92" s="184">
        <v>0</v>
      </c>
      <c r="J92" s="184">
        <v>2</v>
      </c>
    </row>
    <row r="93" spans="1:10" ht="18" customHeight="1">
      <c r="A93" s="212">
        <v>42588</v>
      </c>
      <c r="B93" s="214" t="s">
        <v>270</v>
      </c>
      <c r="C93" s="220">
        <v>300008839381</v>
      </c>
      <c r="D93" s="184" t="s">
        <v>190</v>
      </c>
      <c r="E93" s="184">
        <v>24</v>
      </c>
      <c r="F93" s="184">
        <v>4331</v>
      </c>
      <c r="G93" s="184">
        <v>24</v>
      </c>
      <c r="H93" s="184">
        <v>9</v>
      </c>
      <c r="I93" s="184">
        <v>70691.8</v>
      </c>
      <c r="J93" s="184">
        <v>1.27</v>
      </c>
    </row>
    <row r="94" spans="1:10" ht="18" customHeight="1">
      <c r="A94" s="212">
        <v>42588</v>
      </c>
      <c r="B94" s="214" t="s">
        <v>270</v>
      </c>
      <c r="C94" s="220">
        <v>300009235971</v>
      </c>
      <c r="D94" s="184" t="s">
        <v>241</v>
      </c>
      <c r="E94" s="184">
        <v>30</v>
      </c>
      <c r="F94" s="184">
        <v>2595</v>
      </c>
      <c r="G94" s="184">
        <v>30</v>
      </c>
      <c r="H94" s="184">
        <v>8</v>
      </c>
      <c r="I94" s="184">
        <v>44520.7</v>
      </c>
      <c r="J94" s="184">
        <v>1.8</v>
      </c>
    </row>
    <row r="95" spans="1:10" ht="18" customHeight="1">
      <c r="A95" s="212">
        <v>42588</v>
      </c>
      <c r="B95" s="214" t="s">
        <v>270</v>
      </c>
      <c r="C95" s="220">
        <v>300009003496</v>
      </c>
      <c r="D95" s="184" t="s">
        <v>240</v>
      </c>
      <c r="E95" s="184">
        <v>10</v>
      </c>
      <c r="F95" s="184">
        <v>1088</v>
      </c>
      <c r="G95" s="184">
        <v>10</v>
      </c>
      <c r="H95" s="184">
        <v>3</v>
      </c>
      <c r="I95" s="184">
        <v>17527.62</v>
      </c>
      <c r="J95" s="184">
        <v>1.71</v>
      </c>
    </row>
    <row r="96" spans="1:10" ht="18" customHeight="1">
      <c r="A96" s="212">
        <v>42588</v>
      </c>
      <c r="B96" s="214" t="s">
        <v>270</v>
      </c>
      <c r="C96" s="220">
        <v>300008875665</v>
      </c>
      <c r="D96" s="184" t="s">
        <v>189</v>
      </c>
      <c r="E96" s="184">
        <v>3</v>
      </c>
      <c r="F96" s="184">
        <v>854</v>
      </c>
      <c r="G96" s="184">
        <v>3</v>
      </c>
      <c r="H96" s="184">
        <v>2</v>
      </c>
      <c r="I96" s="184">
        <v>19817.73</v>
      </c>
      <c r="J96" s="184">
        <v>1.01</v>
      </c>
    </row>
    <row r="97" spans="1:10" ht="18" customHeight="1">
      <c r="A97" s="212">
        <v>42588</v>
      </c>
      <c r="B97" s="214" t="s">
        <v>270</v>
      </c>
      <c r="C97" s="220">
        <v>300009000071</v>
      </c>
      <c r="D97" s="184" t="s">
        <v>192</v>
      </c>
      <c r="E97" s="184">
        <v>2</v>
      </c>
      <c r="F97" s="184" t="s">
        <v>242</v>
      </c>
      <c r="G97" s="184">
        <v>2</v>
      </c>
      <c r="H97" s="184">
        <v>0</v>
      </c>
      <c r="I97" s="184">
        <v>0</v>
      </c>
      <c r="J97" s="184">
        <v>0</v>
      </c>
    </row>
    <row r="98" spans="1:10" ht="18" customHeight="1">
      <c r="A98" s="212">
        <v>42588</v>
      </c>
      <c r="B98" s="214" t="s">
        <v>270</v>
      </c>
      <c r="C98" s="220">
        <v>300009000261</v>
      </c>
      <c r="D98" s="184" t="s">
        <v>191</v>
      </c>
      <c r="E98" s="184">
        <v>1</v>
      </c>
      <c r="F98" s="184" t="s">
        <v>242</v>
      </c>
      <c r="G98" s="184">
        <v>1</v>
      </c>
      <c r="H98" s="184">
        <v>0</v>
      </c>
      <c r="I98" s="184">
        <v>0</v>
      </c>
      <c r="J98" s="184">
        <v>0</v>
      </c>
    </row>
    <row r="99" spans="1:10" ht="18" customHeight="1">
      <c r="A99" s="212">
        <v>42588</v>
      </c>
      <c r="B99" s="214" t="s">
        <v>270</v>
      </c>
      <c r="C99" s="220">
        <v>300009235974</v>
      </c>
      <c r="D99" s="184" t="s">
        <v>187</v>
      </c>
      <c r="E99" s="184">
        <v>1</v>
      </c>
      <c r="F99" s="184" t="s">
        <v>242</v>
      </c>
      <c r="G99" s="184">
        <v>1</v>
      </c>
      <c r="H99" s="184">
        <v>0</v>
      </c>
      <c r="I99" s="184">
        <v>0</v>
      </c>
      <c r="J99" s="184">
        <v>0</v>
      </c>
    </row>
    <row r="100" spans="1:10" ht="18" customHeight="1">
      <c r="A100" s="212">
        <v>42588</v>
      </c>
      <c r="B100" s="214" t="s">
        <v>271</v>
      </c>
      <c r="C100" s="219">
        <v>300009290321</v>
      </c>
      <c r="D100" s="183" t="s">
        <v>194</v>
      </c>
      <c r="E100" s="183">
        <v>2</v>
      </c>
      <c r="F100" s="183">
        <v>848</v>
      </c>
      <c r="G100" s="183">
        <v>2</v>
      </c>
      <c r="H100" s="183">
        <v>1</v>
      </c>
      <c r="I100" s="183">
        <v>19995.8</v>
      </c>
      <c r="J100" s="183">
        <v>0.5</v>
      </c>
    </row>
    <row r="101" spans="1:10" ht="18" customHeight="1">
      <c r="A101" s="212">
        <v>42589</v>
      </c>
      <c r="B101" s="213" t="s">
        <v>255</v>
      </c>
      <c r="C101" s="219">
        <v>300009192151</v>
      </c>
      <c r="D101" s="183" t="s">
        <v>230</v>
      </c>
      <c r="E101" s="183">
        <v>24</v>
      </c>
      <c r="F101" s="183">
        <v>4627</v>
      </c>
      <c r="G101" s="183">
        <v>24</v>
      </c>
      <c r="H101" s="183">
        <v>14</v>
      </c>
      <c r="I101" s="183">
        <v>81284.5</v>
      </c>
      <c r="J101" s="183">
        <v>1.72</v>
      </c>
    </row>
    <row r="102" spans="1:10" ht="18" customHeight="1">
      <c r="A102" s="212">
        <v>42589</v>
      </c>
      <c r="B102" s="214" t="s">
        <v>267</v>
      </c>
      <c r="C102" s="219">
        <v>300009358277</v>
      </c>
      <c r="D102" s="183" t="s">
        <v>266</v>
      </c>
      <c r="E102" s="183">
        <v>454</v>
      </c>
      <c r="F102" s="183">
        <v>57811</v>
      </c>
      <c r="G102" s="183">
        <v>78.53</v>
      </c>
      <c r="H102" s="183">
        <v>282</v>
      </c>
      <c r="I102" s="183">
        <v>901290.97</v>
      </c>
      <c r="J102" s="183">
        <v>3.13</v>
      </c>
    </row>
    <row r="103" spans="1:10" ht="18" customHeight="1">
      <c r="A103" s="212">
        <v>42589</v>
      </c>
      <c r="B103" s="214" t="s">
        <v>268</v>
      </c>
      <c r="C103" s="219">
        <v>300008823388</v>
      </c>
      <c r="D103" s="183" t="s">
        <v>231</v>
      </c>
      <c r="E103" s="183">
        <v>20</v>
      </c>
      <c r="F103" s="183">
        <v>4588</v>
      </c>
      <c r="G103" s="183">
        <v>20</v>
      </c>
      <c r="H103" s="183">
        <v>12</v>
      </c>
      <c r="I103" s="183">
        <v>88269.75</v>
      </c>
      <c r="J103" s="183">
        <v>1.36</v>
      </c>
    </row>
    <row r="104" spans="1:10" ht="18" customHeight="1">
      <c r="A104" s="212">
        <v>42589</v>
      </c>
      <c r="B104" s="214" t="s">
        <v>269</v>
      </c>
      <c r="C104" s="220">
        <v>300009406201</v>
      </c>
      <c r="D104" s="184" t="s">
        <v>234</v>
      </c>
      <c r="E104" s="184">
        <v>29</v>
      </c>
      <c r="F104" s="184">
        <v>3438</v>
      </c>
      <c r="G104" s="184">
        <v>29</v>
      </c>
      <c r="H104" s="184">
        <v>10</v>
      </c>
      <c r="I104" s="184">
        <v>54880.5</v>
      </c>
      <c r="J104" s="184">
        <v>1.82</v>
      </c>
    </row>
    <row r="105" spans="1:10" ht="18" customHeight="1">
      <c r="A105" s="212">
        <v>42589</v>
      </c>
      <c r="B105" s="214" t="s">
        <v>269</v>
      </c>
      <c r="C105" s="220">
        <v>300009374215</v>
      </c>
      <c r="D105" s="184" t="s">
        <v>236</v>
      </c>
      <c r="E105" s="184">
        <v>15</v>
      </c>
      <c r="F105" s="184">
        <v>2404</v>
      </c>
      <c r="G105" s="184">
        <v>15</v>
      </c>
      <c r="H105" s="184">
        <v>10</v>
      </c>
      <c r="I105" s="184">
        <v>57893.8</v>
      </c>
      <c r="J105" s="184">
        <v>1.73</v>
      </c>
    </row>
    <row r="106" spans="1:10" ht="18" customHeight="1">
      <c r="A106" s="212">
        <v>42589</v>
      </c>
      <c r="B106" s="214" t="s">
        <v>269</v>
      </c>
      <c r="C106" s="220">
        <v>300009406202</v>
      </c>
      <c r="D106" s="184" t="s">
        <v>232</v>
      </c>
      <c r="E106" s="184">
        <v>18</v>
      </c>
      <c r="F106" s="184">
        <v>1883</v>
      </c>
      <c r="G106" s="184">
        <v>18</v>
      </c>
      <c r="H106" s="184">
        <v>6</v>
      </c>
      <c r="I106" s="184">
        <v>31555</v>
      </c>
      <c r="J106" s="184">
        <v>1.9</v>
      </c>
    </row>
    <row r="107" spans="1:10" ht="18" customHeight="1">
      <c r="A107" s="212">
        <v>42589</v>
      </c>
      <c r="B107" s="214" t="s">
        <v>269</v>
      </c>
      <c r="C107" s="220">
        <v>300009184067</v>
      </c>
      <c r="D107" s="184" t="s">
        <v>233</v>
      </c>
      <c r="E107" s="184">
        <v>1</v>
      </c>
      <c r="F107" s="184" t="s">
        <v>242</v>
      </c>
      <c r="G107" s="184">
        <v>1</v>
      </c>
      <c r="H107" s="184">
        <v>0</v>
      </c>
      <c r="I107" s="184">
        <v>0</v>
      </c>
      <c r="J107" s="184">
        <v>0</v>
      </c>
    </row>
    <row r="108" spans="1:10" ht="18" customHeight="1">
      <c r="A108" s="212">
        <v>42589</v>
      </c>
      <c r="B108" s="214" t="s">
        <v>269</v>
      </c>
      <c r="C108" s="220">
        <v>300009185572</v>
      </c>
      <c r="D108" s="184" t="s">
        <v>237</v>
      </c>
      <c r="E108" s="184">
        <v>6</v>
      </c>
      <c r="F108" s="184" t="s">
        <v>242</v>
      </c>
      <c r="G108" s="184">
        <v>6</v>
      </c>
      <c r="H108" s="184">
        <v>3</v>
      </c>
      <c r="I108" s="184">
        <v>0</v>
      </c>
      <c r="J108" s="184">
        <v>3</v>
      </c>
    </row>
    <row r="109" spans="1:10" ht="18" customHeight="1">
      <c r="A109" s="212">
        <v>42589</v>
      </c>
      <c r="B109" s="214" t="s">
        <v>270</v>
      </c>
      <c r="C109" s="220">
        <v>300008839381</v>
      </c>
      <c r="D109" s="184" t="s">
        <v>190</v>
      </c>
      <c r="E109" s="184">
        <v>24</v>
      </c>
      <c r="F109" s="184">
        <v>4682</v>
      </c>
      <c r="G109" s="184">
        <v>24</v>
      </c>
      <c r="H109" s="184">
        <v>9</v>
      </c>
      <c r="I109" s="184">
        <v>76795.8</v>
      </c>
      <c r="J109" s="184">
        <v>1.17</v>
      </c>
    </row>
    <row r="110" spans="1:10" ht="18" customHeight="1">
      <c r="A110" s="212">
        <v>42589</v>
      </c>
      <c r="B110" s="214" t="s">
        <v>270</v>
      </c>
      <c r="C110" s="220">
        <v>300009235971</v>
      </c>
      <c r="D110" s="184" t="s">
        <v>241</v>
      </c>
      <c r="E110" s="184">
        <v>30</v>
      </c>
      <c r="F110" s="184">
        <v>2595</v>
      </c>
      <c r="G110" s="184">
        <v>30</v>
      </c>
      <c r="H110" s="184">
        <v>8</v>
      </c>
      <c r="I110" s="184">
        <v>44520.7</v>
      </c>
      <c r="J110" s="184">
        <v>1.8</v>
      </c>
    </row>
    <row r="111" spans="1:10" ht="18" customHeight="1">
      <c r="A111" s="212">
        <v>42589</v>
      </c>
      <c r="B111" s="214" t="s">
        <v>270</v>
      </c>
      <c r="C111" s="220">
        <v>300009003496</v>
      </c>
      <c r="D111" s="184" t="s">
        <v>240</v>
      </c>
      <c r="E111" s="184">
        <v>10</v>
      </c>
      <c r="F111" s="184">
        <v>1446</v>
      </c>
      <c r="G111" s="184">
        <v>10</v>
      </c>
      <c r="H111" s="184">
        <v>3</v>
      </c>
      <c r="I111" s="184">
        <v>23641.53</v>
      </c>
      <c r="J111" s="184">
        <v>1.27</v>
      </c>
    </row>
    <row r="112" spans="1:10" ht="18" customHeight="1">
      <c r="A112" s="212">
        <v>42589</v>
      </c>
      <c r="B112" s="214" t="s">
        <v>270</v>
      </c>
      <c r="C112" s="220">
        <v>300008875665</v>
      </c>
      <c r="D112" s="184" t="s">
        <v>189</v>
      </c>
      <c r="E112" s="184">
        <v>9</v>
      </c>
      <c r="F112" s="184">
        <v>1201</v>
      </c>
      <c r="G112" s="184">
        <v>9</v>
      </c>
      <c r="H112" s="184">
        <v>6</v>
      </c>
      <c r="I112" s="184">
        <v>28004.13</v>
      </c>
      <c r="J112" s="184">
        <v>2.14</v>
      </c>
    </row>
    <row r="113" spans="1:10" ht="18" customHeight="1">
      <c r="A113" s="212">
        <v>42589</v>
      </c>
      <c r="B113" s="214" t="s">
        <v>270</v>
      </c>
      <c r="C113" s="220">
        <v>300009000071</v>
      </c>
      <c r="D113" s="184" t="s">
        <v>192</v>
      </c>
      <c r="E113" s="184">
        <v>2</v>
      </c>
      <c r="F113" s="184" t="s">
        <v>242</v>
      </c>
      <c r="G113" s="184">
        <v>2</v>
      </c>
      <c r="H113" s="184">
        <v>0</v>
      </c>
      <c r="I113" s="184">
        <v>0</v>
      </c>
      <c r="J113" s="184">
        <v>0</v>
      </c>
    </row>
    <row r="114" spans="1:10" ht="18" customHeight="1">
      <c r="A114" s="212">
        <v>42589</v>
      </c>
      <c r="B114" s="214" t="s">
        <v>270</v>
      </c>
      <c r="C114" s="220">
        <v>300009000261</v>
      </c>
      <c r="D114" s="184" t="s">
        <v>191</v>
      </c>
      <c r="E114" s="184">
        <v>1</v>
      </c>
      <c r="F114" s="184" t="s">
        <v>242</v>
      </c>
      <c r="G114" s="184">
        <v>1</v>
      </c>
      <c r="H114" s="184">
        <v>0</v>
      </c>
      <c r="I114" s="184">
        <v>0</v>
      </c>
      <c r="J114" s="184">
        <v>0</v>
      </c>
    </row>
    <row r="115" spans="1:10" ht="18" customHeight="1">
      <c r="A115" s="212">
        <v>42589</v>
      </c>
      <c r="B115" s="214" t="s">
        <v>270</v>
      </c>
      <c r="C115" s="220">
        <v>300009235974</v>
      </c>
      <c r="D115" s="184" t="s">
        <v>187</v>
      </c>
      <c r="E115" s="184">
        <v>1</v>
      </c>
      <c r="F115" s="184" t="s">
        <v>242</v>
      </c>
      <c r="G115" s="184">
        <v>1</v>
      </c>
      <c r="H115" s="184">
        <v>0</v>
      </c>
      <c r="I115" s="184">
        <v>0</v>
      </c>
      <c r="J115" s="184">
        <v>0</v>
      </c>
    </row>
    <row r="116" spans="1:10" ht="18" customHeight="1">
      <c r="A116" s="212">
        <v>42589</v>
      </c>
      <c r="B116" s="214" t="s">
        <v>271</v>
      </c>
      <c r="C116" s="219">
        <v>300009290321</v>
      </c>
      <c r="D116" s="183" t="s">
        <v>194</v>
      </c>
      <c r="E116" s="183">
        <v>3</v>
      </c>
      <c r="F116" s="183">
        <v>1079</v>
      </c>
      <c r="G116" s="183">
        <v>3</v>
      </c>
      <c r="H116" s="183">
        <v>1</v>
      </c>
      <c r="I116" s="183">
        <v>24995.4</v>
      </c>
      <c r="J116" s="183">
        <v>0.4</v>
      </c>
    </row>
    <row r="117" spans="1:10" ht="18" customHeight="1">
      <c r="A117" s="212">
        <v>42590</v>
      </c>
      <c r="B117" s="213" t="s">
        <v>255</v>
      </c>
      <c r="C117" s="219">
        <v>300009192151</v>
      </c>
      <c r="D117" s="183" t="s">
        <v>230</v>
      </c>
      <c r="E117" s="183">
        <v>25</v>
      </c>
      <c r="F117" s="183">
        <v>4876</v>
      </c>
      <c r="G117" s="183">
        <v>25</v>
      </c>
      <c r="H117" s="183">
        <v>16</v>
      </c>
      <c r="I117" s="183">
        <v>86282.6</v>
      </c>
      <c r="J117" s="183">
        <v>1.85</v>
      </c>
    </row>
    <row r="118" spans="1:10" ht="18" customHeight="1">
      <c r="A118" s="212">
        <v>42590</v>
      </c>
      <c r="B118" s="214" t="s">
        <v>265</v>
      </c>
      <c r="C118" s="219">
        <v>300009480238</v>
      </c>
      <c r="D118" s="183" t="s">
        <v>263</v>
      </c>
      <c r="E118" s="183">
        <v>3</v>
      </c>
      <c r="F118" s="183">
        <v>171</v>
      </c>
      <c r="G118" s="183">
        <v>3</v>
      </c>
      <c r="H118" s="183">
        <v>1</v>
      </c>
      <c r="I118" s="183">
        <v>3601.7</v>
      </c>
      <c r="J118" s="183">
        <v>1</v>
      </c>
    </row>
    <row r="119" spans="1:10" ht="18" customHeight="1">
      <c r="A119" s="212">
        <v>42590</v>
      </c>
      <c r="B119" s="214" t="s">
        <v>267</v>
      </c>
      <c r="C119" s="219">
        <v>300009358277</v>
      </c>
      <c r="D119" s="183" t="s">
        <v>266</v>
      </c>
      <c r="E119" s="183">
        <v>457</v>
      </c>
      <c r="F119" s="183">
        <v>57486</v>
      </c>
      <c r="G119" s="183">
        <v>79.5</v>
      </c>
      <c r="H119" s="183">
        <v>286</v>
      </c>
      <c r="I119" s="183">
        <v>905352.87</v>
      </c>
      <c r="J119" s="183">
        <v>3.16</v>
      </c>
    </row>
    <row r="120" spans="1:10" ht="18" customHeight="1">
      <c r="A120" s="212">
        <v>42590</v>
      </c>
      <c r="B120" s="214" t="s">
        <v>268</v>
      </c>
      <c r="C120" s="219">
        <v>300008823388</v>
      </c>
      <c r="D120" s="183" t="s">
        <v>231</v>
      </c>
      <c r="E120" s="183">
        <v>20</v>
      </c>
      <c r="F120" s="183">
        <v>4809</v>
      </c>
      <c r="G120" s="183">
        <v>20</v>
      </c>
      <c r="H120" s="183">
        <v>12</v>
      </c>
      <c r="I120" s="183">
        <v>92761.95</v>
      </c>
      <c r="J120" s="183">
        <v>1.29</v>
      </c>
    </row>
    <row r="121" spans="1:10" ht="18" customHeight="1">
      <c r="A121" s="212">
        <v>42590</v>
      </c>
      <c r="B121" s="214" t="s">
        <v>269</v>
      </c>
      <c r="C121" s="220">
        <v>300009406201</v>
      </c>
      <c r="D121" s="184" t="s">
        <v>234</v>
      </c>
      <c r="E121" s="184">
        <v>29</v>
      </c>
      <c r="F121" s="184">
        <v>3486</v>
      </c>
      <c r="G121" s="184">
        <v>29</v>
      </c>
      <c r="H121" s="184">
        <v>11</v>
      </c>
      <c r="I121" s="184">
        <v>55612.5</v>
      </c>
      <c r="J121" s="184">
        <v>1.98</v>
      </c>
    </row>
    <row r="122" spans="1:10" ht="18" customHeight="1">
      <c r="A122" s="212">
        <v>42590</v>
      </c>
      <c r="B122" s="214" t="s">
        <v>269</v>
      </c>
      <c r="C122" s="220">
        <v>300009374215</v>
      </c>
      <c r="D122" s="184" t="s">
        <v>236</v>
      </c>
      <c r="E122" s="184">
        <v>15</v>
      </c>
      <c r="F122" s="184">
        <v>2455</v>
      </c>
      <c r="G122" s="184">
        <v>15</v>
      </c>
      <c r="H122" s="184">
        <v>10</v>
      </c>
      <c r="I122" s="184">
        <v>58983.5</v>
      </c>
      <c r="J122" s="184">
        <v>1.7</v>
      </c>
    </row>
    <row r="123" spans="1:10" ht="18" customHeight="1">
      <c r="A123" s="212">
        <v>42590</v>
      </c>
      <c r="B123" s="214" t="s">
        <v>269</v>
      </c>
      <c r="C123" s="220">
        <v>300009406202</v>
      </c>
      <c r="D123" s="184" t="s">
        <v>232</v>
      </c>
      <c r="E123" s="184">
        <v>19</v>
      </c>
      <c r="F123" s="184">
        <v>1948</v>
      </c>
      <c r="G123" s="184">
        <v>19</v>
      </c>
      <c r="H123" s="184">
        <v>6</v>
      </c>
      <c r="I123" s="184">
        <v>32634.9</v>
      </c>
      <c r="J123" s="184">
        <v>1.84</v>
      </c>
    </row>
    <row r="124" spans="1:10" ht="18" customHeight="1">
      <c r="A124" s="212">
        <v>42590</v>
      </c>
      <c r="B124" s="214" t="s">
        <v>269</v>
      </c>
      <c r="C124" s="220">
        <v>300009185572</v>
      </c>
      <c r="D124" s="184" t="s">
        <v>237</v>
      </c>
      <c r="E124" s="184">
        <v>6</v>
      </c>
      <c r="F124" s="184">
        <v>53</v>
      </c>
      <c r="G124" s="184">
        <v>6</v>
      </c>
      <c r="H124" s="184">
        <v>4</v>
      </c>
      <c r="I124" s="184">
        <v>628.1</v>
      </c>
      <c r="J124" s="184">
        <v>4</v>
      </c>
    </row>
    <row r="125" spans="1:10" ht="18" customHeight="1">
      <c r="A125" s="212">
        <v>42590</v>
      </c>
      <c r="B125" s="214" t="s">
        <v>269</v>
      </c>
      <c r="C125" s="220">
        <v>300009184067</v>
      </c>
      <c r="D125" s="184" t="s">
        <v>233</v>
      </c>
      <c r="E125" s="184">
        <v>2</v>
      </c>
      <c r="F125" s="184">
        <v>31</v>
      </c>
      <c r="G125" s="184">
        <v>2</v>
      </c>
      <c r="H125" s="184">
        <v>0</v>
      </c>
      <c r="I125" s="184">
        <v>406.5</v>
      </c>
      <c r="J125" s="184">
        <v>0</v>
      </c>
    </row>
    <row r="126" spans="1:10" ht="18" customHeight="1">
      <c r="A126" s="212">
        <v>42590</v>
      </c>
      <c r="B126" s="214" t="s">
        <v>270</v>
      </c>
      <c r="C126" s="220">
        <v>300008839381</v>
      </c>
      <c r="D126" s="184" t="s">
        <v>190</v>
      </c>
      <c r="E126" s="184">
        <v>27</v>
      </c>
      <c r="F126" s="184">
        <v>4886</v>
      </c>
      <c r="G126" s="184">
        <v>27</v>
      </c>
      <c r="H126" s="184">
        <v>11</v>
      </c>
      <c r="I126" s="184">
        <v>80317.2</v>
      </c>
      <c r="J126" s="184">
        <v>1.37</v>
      </c>
    </row>
    <row r="127" spans="1:10" ht="18" customHeight="1">
      <c r="A127" s="212">
        <v>42590</v>
      </c>
      <c r="B127" s="214" t="s">
        <v>270</v>
      </c>
      <c r="C127" s="220">
        <v>300009235971</v>
      </c>
      <c r="D127" s="184" t="s">
        <v>241</v>
      </c>
      <c r="E127" s="184">
        <v>30</v>
      </c>
      <c r="F127" s="184">
        <v>2595</v>
      </c>
      <c r="G127" s="184">
        <v>30</v>
      </c>
      <c r="H127" s="184">
        <v>8</v>
      </c>
      <c r="I127" s="184">
        <v>44520.7</v>
      </c>
      <c r="J127" s="184">
        <v>1.8</v>
      </c>
    </row>
    <row r="128" spans="1:10" ht="18" customHeight="1">
      <c r="A128" s="212">
        <v>42590</v>
      </c>
      <c r="B128" s="214" t="s">
        <v>270</v>
      </c>
      <c r="C128" s="220">
        <v>300009003496</v>
      </c>
      <c r="D128" s="184" t="s">
        <v>240</v>
      </c>
      <c r="E128" s="184">
        <v>11</v>
      </c>
      <c r="F128" s="184">
        <v>1662</v>
      </c>
      <c r="G128" s="184">
        <v>11</v>
      </c>
      <c r="H128" s="184">
        <v>3</v>
      </c>
      <c r="I128" s="184">
        <v>27282.22</v>
      </c>
      <c r="J128" s="184">
        <v>1.1000000000000001</v>
      </c>
    </row>
    <row r="129" spans="1:10" ht="18" customHeight="1">
      <c r="A129" s="212">
        <v>42590</v>
      </c>
      <c r="B129" s="214" t="s">
        <v>270</v>
      </c>
      <c r="C129" s="220">
        <v>300008875665</v>
      </c>
      <c r="D129" s="184" t="s">
        <v>189</v>
      </c>
      <c r="E129" s="184">
        <v>9</v>
      </c>
      <c r="F129" s="184">
        <v>1350</v>
      </c>
      <c r="G129" s="184">
        <v>9</v>
      </c>
      <c r="H129" s="184">
        <v>6</v>
      </c>
      <c r="I129" s="184">
        <v>30998.94</v>
      </c>
      <c r="J129" s="184">
        <v>1.94</v>
      </c>
    </row>
    <row r="130" spans="1:10" ht="18" customHeight="1">
      <c r="A130" s="212">
        <v>42590</v>
      </c>
      <c r="B130" s="214" t="s">
        <v>270</v>
      </c>
      <c r="C130" s="220">
        <v>300009000071</v>
      </c>
      <c r="D130" s="184" t="s">
        <v>192</v>
      </c>
      <c r="E130" s="184">
        <v>2</v>
      </c>
      <c r="F130" s="184">
        <v>144</v>
      </c>
      <c r="G130" s="184">
        <v>2</v>
      </c>
      <c r="H130" s="184">
        <v>0</v>
      </c>
      <c r="I130" s="184">
        <v>2022.14</v>
      </c>
      <c r="J130" s="184">
        <v>0</v>
      </c>
    </row>
    <row r="131" spans="1:10" ht="18" customHeight="1">
      <c r="A131" s="212">
        <v>42590</v>
      </c>
      <c r="B131" s="214" t="s">
        <v>270</v>
      </c>
      <c r="C131" s="220">
        <v>300009235974</v>
      </c>
      <c r="D131" s="184" t="s">
        <v>187</v>
      </c>
      <c r="E131" s="184">
        <v>1</v>
      </c>
      <c r="F131" s="184">
        <v>106</v>
      </c>
      <c r="G131" s="184">
        <v>1</v>
      </c>
      <c r="H131" s="184">
        <v>0</v>
      </c>
      <c r="I131" s="184">
        <v>2032.7</v>
      </c>
      <c r="J131" s="184">
        <v>0</v>
      </c>
    </row>
    <row r="132" spans="1:10" ht="18" customHeight="1">
      <c r="A132" s="212">
        <v>42590</v>
      </c>
      <c r="B132" s="214" t="s">
        <v>270</v>
      </c>
      <c r="C132" s="220">
        <v>300009000261</v>
      </c>
      <c r="D132" s="184" t="s">
        <v>191</v>
      </c>
      <c r="E132" s="184">
        <v>1</v>
      </c>
      <c r="F132" s="184" t="s">
        <v>242</v>
      </c>
      <c r="G132" s="184">
        <v>1</v>
      </c>
      <c r="H132" s="184">
        <v>0</v>
      </c>
      <c r="I132" s="184">
        <v>0</v>
      </c>
      <c r="J132" s="184">
        <v>0</v>
      </c>
    </row>
    <row r="133" spans="1:10" ht="18" customHeight="1">
      <c r="A133" s="212">
        <v>42590</v>
      </c>
      <c r="B133" s="214" t="s">
        <v>271</v>
      </c>
      <c r="C133" s="219">
        <v>300009290321</v>
      </c>
      <c r="D133" s="183" t="s">
        <v>194</v>
      </c>
      <c r="E133" s="183">
        <v>3</v>
      </c>
      <c r="F133" s="183">
        <v>1302</v>
      </c>
      <c r="G133" s="183">
        <v>3</v>
      </c>
      <c r="H133" s="183">
        <v>1</v>
      </c>
      <c r="I133" s="183">
        <v>29993.8</v>
      </c>
      <c r="J133" s="183">
        <v>0.33</v>
      </c>
    </row>
    <row r="134" spans="1:10" ht="18" customHeight="1">
      <c r="A134" s="212">
        <v>42591</v>
      </c>
      <c r="B134" s="213" t="s">
        <v>255</v>
      </c>
      <c r="C134" s="219">
        <v>300009192151</v>
      </c>
      <c r="D134" s="183" t="s">
        <v>230</v>
      </c>
      <c r="E134" s="183">
        <v>26</v>
      </c>
      <c r="F134" s="183">
        <v>4972</v>
      </c>
      <c r="G134" s="183">
        <v>26</v>
      </c>
      <c r="H134" s="183">
        <v>16</v>
      </c>
      <c r="I134" s="183">
        <v>88037.6</v>
      </c>
      <c r="J134" s="183">
        <v>1.82</v>
      </c>
    </row>
    <row r="135" spans="1:10" ht="18" customHeight="1">
      <c r="A135" s="212">
        <v>42591</v>
      </c>
      <c r="B135" s="214" t="s">
        <v>265</v>
      </c>
      <c r="C135" s="219">
        <v>300009480238</v>
      </c>
      <c r="D135" s="183" t="s">
        <v>263</v>
      </c>
      <c r="E135" s="183">
        <v>3</v>
      </c>
      <c r="F135" s="183">
        <v>341</v>
      </c>
      <c r="G135" s="183">
        <v>3</v>
      </c>
      <c r="H135" s="183">
        <v>1</v>
      </c>
      <c r="I135" s="183">
        <v>7647.8</v>
      </c>
      <c r="J135" s="183">
        <v>1</v>
      </c>
    </row>
    <row r="136" spans="1:10" ht="18" customHeight="1">
      <c r="A136" s="212">
        <v>42591</v>
      </c>
      <c r="B136" s="214" t="s">
        <v>267</v>
      </c>
      <c r="C136" s="219">
        <v>300009358277</v>
      </c>
      <c r="D136" s="183" t="s">
        <v>266</v>
      </c>
      <c r="E136" s="183">
        <v>462</v>
      </c>
      <c r="F136" s="183">
        <v>57156</v>
      </c>
      <c r="G136" s="183">
        <v>80.83</v>
      </c>
      <c r="H136" s="183">
        <v>289</v>
      </c>
      <c r="I136" s="183">
        <v>909097.17</v>
      </c>
      <c r="J136" s="183">
        <v>3.18</v>
      </c>
    </row>
    <row r="137" spans="1:10" ht="18" customHeight="1">
      <c r="A137" s="212">
        <v>42591</v>
      </c>
      <c r="B137" s="214" t="s">
        <v>268</v>
      </c>
      <c r="C137" s="219">
        <v>300008823388</v>
      </c>
      <c r="D137" s="183" t="s">
        <v>231</v>
      </c>
      <c r="E137" s="183">
        <v>21</v>
      </c>
      <c r="F137" s="183">
        <v>4994</v>
      </c>
      <c r="G137" s="183">
        <v>21</v>
      </c>
      <c r="H137" s="183">
        <v>12</v>
      </c>
      <c r="I137" s="183">
        <v>96274.07</v>
      </c>
      <c r="J137" s="183">
        <v>1.25</v>
      </c>
    </row>
    <row r="138" spans="1:10" ht="18" customHeight="1">
      <c r="A138" s="212">
        <v>42591</v>
      </c>
      <c r="B138" s="214" t="s">
        <v>269</v>
      </c>
      <c r="C138" s="220">
        <v>300009406201</v>
      </c>
      <c r="D138" s="184" t="s">
        <v>234</v>
      </c>
      <c r="E138" s="184">
        <v>30</v>
      </c>
      <c r="F138" s="184">
        <v>3518</v>
      </c>
      <c r="G138" s="184">
        <v>30</v>
      </c>
      <c r="H138" s="184">
        <v>11</v>
      </c>
      <c r="I138" s="184">
        <v>56088.7</v>
      </c>
      <c r="J138" s="184">
        <v>1.96</v>
      </c>
    </row>
    <row r="139" spans="1:10" ht="18" customHeight="1">
      <c r="A139" s="212">
        <v>42591</v>
      </c>
      <c r="B139" s="214" t="s">
        <v>269</v>
      </c>
      <c r="C139" s="220">
        <v>300009374215</v>
      </c>
      <c r="D139" s="184" t="s">
        <v>236</v>
      </c>
      <c r="E139" s="184">
        <v>15</v>
      </c>
      <c r="F139" s="184">
        <v>2505</v>
      </c>
      <c r="G139" s="184">
        <v>15</v>
      </c>
      <c r="H139" s="184">
        <v>10</v>
      </c>
      <c r="I139" s="184">
        <v>59960.2</v>
      </c>
      <c r="J139" s="184">
        <v>1.67</v>
      </c>
    </row>
    <row r="140" spans="1:10" ht="18" customHeight="1">
      <c r="A140" s="212">
        <v>42591</v>
      </c>
      <c r="B140" s="214" t="s">
        <v>269</v>
      </c>
      <c r="C140" s="220">
        <v>300009406202</v>
      </c>
      <c r="D140" s="184" t="s">
        <v>232</v>
      </c>
      <c r="E140" s="184">
        <v>19</v>
      </c>
      <c r="F140" s="184">
        <v>2016</v>
      </c>
      <c r="G140" s="184">
        <v>19</v>
      </c>
      <c r="H140" s="184">
        <v>6</v>
      </c>
      <c r="I140" s="184">
        <v>33523.699999999997</v>
      </c>
      <c r="J140" s="184">
        <v>1.79</v>
      </c>
    </row>
    <row r="141" spans="1:10" ht="18" customHeight="1">
      <c r="A141" s="212">
        <v>42591</v>
      </c>
      <c r="B141" s="214" t="s">
        <v>269</v>
      </c>
      <c r="C141" s="220">
        <v>300009185572</v>
      </c>
      <c r="D141" s="184" t="s">
        <v>237</v>
      </c>
      <c r="E141" s="184">
        <v>6</v>
      </c>
      <c r="F141" s="184">
        <v>118</v>
      </c>
      <c r="G141" s="184">
        <v>6</v>
      </c>
      <c r="H141" s="184">
        <v>4</v>
      </c>
      <c r="I141" s="184">
        <v>1470.6</v>
      </c>
      <c r="J141" s="184">
        <v>4</v>
      </c>
    </row>
    <row r="142" spans="1:10" ht="18" customHeight="1">
      <c r="A142" s="212">
        <v>42591</v>
      </c>
      <c r="B142" s="214" t="s">
        <v>269</v>
      </c>
      <c r="C142" s="220">
        <v>300009184067</v>
      </c>
      <c r="D142" s="184" t="s">
        <v>233</v>
      </c>
      <c r="E142" s="184">
        <v>2</v>
      </c>
      <c r="F142" s="184">
        <v>74</v>
      </c>
      <c r="G142" s="184">
        <v>2</v>
      </c>
      <c r="H142" s="184">
        <v>0</v>
      </c>
      <c r="I142" s="184">
        <v>1057.0999999999999</v>
      </c>
      <c r="J142" s="184">
        <v>0</v>
      </c>
    </row>
    <row r="143" spans="1:10" ht="18" customHeight="1">
      <c r="A143" s="212">
        <v>42591</v>
      </c>
      <c r="B143" s="214" t="s">
        <v>270</v>
      </c>
      <c r="C143" s="220">
        <v>300008839381</v>
      </c>
      <c r="D143" s="184" t="s">
        <v>190</v>
      </c>
      <c r="E143" s="184">
        <v>28</v>
      </c>
      <c r="F143" s="184">
        <v>5099</v>
      </c>
      <c r="G143" s="184">
        <v>28</v>
      </c>
      <c r="H143" s="184">
        <v>11</v>
      </c>
      <c r="I143" s="184">
        <v>83727.100000000006</v>
      </c>
      <c r="J143" s="184">
        <v>1.31</v>
      </c>
    </row>
    <row r="144" spans="1:10" ht="18" customHeight="1">
      <c r="A144" s="212">
        <v>42591</v>
      </c>
      <c r="B144" s="214" t="s">
        <v>270</v>
      </c>
      <c r="C144" s="220">
        <v>300009235971</v>
      </c>
      <c r="D144" s="184" t="s">
        <v>241</v>
      </c>
      <c r="E144" s="184">
        <v>30</v>
      </c>
      <c r="F144" s="184">
        <v>2595</v>
      </c>
      <c r="G144" s="184">
        <v>30</v>
      </c>
      <c r="H144" s="184">
        <v>8</v>
      </c>
      <c r="I144" s="184">
        <v>44520.7</v>
      </c>
      <c r="J144" s="184">
        <v>1.8</v>
      </c>
    </row>
    <row r="145" spans="1:10" ht="18" customHeight="1">
      <c r="A145" s="212">
        <v>42591</v>
      </c>
      <c r="B145" s="214" t="s">
        <v>270</v>
      </c>
      <c r="C145" s="220">
        <v>300009003496</v>
      </c>
      <c r="D145" s="184" t="s">
        <v>240</v>
      </c>
      <c r="E145" s="184">
        <v>12</v>
      </c>
      <c r="F145" s="184">
        <v>1899</v>
      </c>
      <c r="G145" s="184">
        <v>12</v>
      </c>
      <c r="H145" s="184">
        <v>3</v>
      </c>
      <c r="I145" s="184">
        <v>30851.01</v>
      </c>
      <c r="J145" s="184">
        <v>0.97</v>
      </c>
    </row>
    <row r="146" spans="1:10" ht="18" customHeight="1">
      <c r="A146" s="212">
        <v>42591</v>
      </c>
      <c r="B146" s="214" t="s">
        <v>270</v>
      </c>
      <c r="C146" s="220">
        <v>300008875665</v>
      </c>
      <c r="D146" s="184" t="s">
        <v>189</v>
      </c>
      <c r="E146" s="184">
        <v>10</v>
      </c>
      <c r="F146" s="184">
        <v>1504</v>
      </c>
      <c r="G146" s="184">
        <v>10</v>
      </c>
      <c r="H146" s="184">
        <v>7</v>
      </c>
      <c r="I146" s="184">
        <v>33996.160000000003</v>
      </c>
      <c r="J146" s="184">
        <v>2.06</v>
      </c>
    </row>
    <row r="147" spans="1:10" ht="18" customHeight="1">
      <c r="A147" s="212">
        <v>42591</v>
      </c>
      <c r="B147" s="214" t="s">
        <v>270</v>
      </c>
      <c r="C147" s="220">
        <v>300009000071</v>
      </c>
      <c r="D147" s="184" t="s">
        <v>192</v>
      </c>
      <c r="E147" s="184">
        <v>2</v>
      </c>
      <c r="F147" s="184">
        <v>406</v>
      </c>
      <c r="G147" s="184">
        <v>2</v>
      </c>
      <c r="H147" s="184">
        <v>0</v>
      </c>
      <c r="I147" s="184">
        <v>5657.58</v>
      </c>
      <c r="J147" s="184">
        <v>0</v>
      </c>
    </row>
    <row r="148" spans="1:10" ht="18" customHeight="1">
      <c r="A148" s="212">
        <v>42591</v>
      </c>
      <c r="B148" s="214" t="s">
        <v>270</v>
      </c>
      <c r="C148" s="220">
        <v>300008579657</v>
      </c>
      <c r="D148" s="184" t="s">
        <v>188</v>
      </c>
      <c r="E148" s="184">
        <v>1</v>
      </c>
      <c r="F148" s="184">
        <v>396</v>
      </c>
      <c r="G148" s="184">
        <v>1</v>
      </c>
      <c r="H148" s="184">
        <v>0</v>
      </c>
      <c r="I148" s="184">
        <v>5482.55</v>
      </c>
      <c r="J148" s="184">
        <v>0</v>
      </c>
    </row>
    <row r="149" spans="1:10" ht="18" customHeight="1">
      <c r="A149" s="212">
        <v>42591</v>
      </c>
      <c r="B149" s="214" t="s">
        <v>270</v>
      </c>
      <c r="C149" s="220">
        <v>300009235974</v>
      </c>
      <c r="D149" s="184" t="s">
        <v>187</v>
      </c>
      <c r="E149" s="184">
        <v>1</v>
      </c>
      <c r="F149" s="184">
        <v>241</v>
      </c>
      <c r="G149" s="184">
        <v>1</v>
      </c>
      <c r="H149" s="184">
        <v>0</v>
      </c>
      <c r="I149" s="184">
        <v>4466.3</v>
      </c>
      <c r="J149" s="184">
        <v>0</v>
      </c>
    </row>
    <row r="150" spans="1:10" ht="18" customHeight="1">
      <c r="A150" s="212">
        <v>42591</v>
      </c>
      <c r="B150" s="214" t="s">
        <v>270</v>
      </c>
      <c r="C150" s="220">
        <v>300009000261</v>
      </c>
      <c r="D150" s="184" t="s">
        <v>191</v>
      </c>
      <c r="E150" s="184">
        <v>1</v>
      </c>
      <c r="F150" s="184" t="s">
        <v>242</v>
      </c>
      <c r="G150" s="184">
        <v>1</v>
      </c>
      <c r="H150" s="184">
        <v>0</v>
      </c>
      <c r="I150" s="184">
        <v>0</v>
      </c>
      <c r="J150" s="184">
        <v>0</v>
      </c>
    </row>
    <row r="151" spans="1:10" ht="18" customHeight="1">
      <c r="A151" s="212">
        <v>42591</v>
      </c>
      <c r="B151" s="214" t="s">
        <v>271</v>
      </c>
      <c r="C151" s="220">
        <v>300009290321</v>
      </c>
      <c r="D151" s="184" t="s">
        <v>194</v>
      </c>
      <c r="E151" s="184">
        <v>4</v>
      </c>
      <c r="F151" s="184">
        <v>1542</v>
      </c>
      <c r="G151" s="184">
        <v>4</v>
      </c>
      <c r="H151" s="184">
        <v>1</v>
      </c>
      <c r="I151" s="184">
        <v>34991.800000000003</v>
      </c>
      <c r="J151" s="184">
        <v>0.28999999999999998</v>
      </c>
    </row>
    <row r="152" spans="1:10" ht="18" customHeight="1">
      <c r="A152" s="212">
        <v>42592</v>
      </c>
      <c r="B152" s="213" t="s">
        <v>255</v>
      </c>
      <c r="C152" s="219">
        <v>300009192151</v>
      </c>
      <c r="D152" s="183" t="s">
        <v>230</v>
      </c>
      <c r="E152" s="183">
        <v>27</v>
      </c>
      <c r="F152" s="183">
        <v>5150</v>
      </c>
      <c r="G152" s="183">
        <v>27</v>
      </c>
      <c r="H152" s="183">
        <v>16</v>
      </c>
      <c r="I152" s="183">
        <v>90476</v>
      </c>
      <c r="J152" s="183">
        <v>1.77</v>
      </c>
    </row>
    <row r="153" spans="1:10" ht="18" customHeight="1">
      <c r="A153" s="212">
        <v>42592</v>
      </c>
      <c r="B153" s="214" t="s">
        <v>265</v>
      </c>
      <c r="C153" s="219">
        <v>300009480238</v>
      </c>
      <c r="D153" s="183" t="s">
        <v>263</v>
      </c>
      <c r="E153" s="183">
        <v>3</v>
      </c>
      <c r="F153" s="183">
        <v>537</v>
      </c>
      <c r="G153" s="183">
        <v>3</v>
      </c>
      <c r="H153" s="183">
        <v>1</v>
      </c>
      <c r="I153" s="183">
        <v>11865.2</v>
      </c>
      <c r="J153" s="183">
        <v>0.84</v>
      </c>
    </row>
    <row r="154" spans="1:10" ht="18" customHeight="1">
      <c r="A154" s="212">
        <v>42592</v>
      </c>
      <c r="B154" s="214" t="s">
        <v>267</v>
      </c>
      <c r="C154" s="220">
        <v>300009358277</v>
      </c>
      <c r="D154" s="184" t="s">
        <v>266</v>
      </c>
      <c r="E154" s="184">
        <v>460</v>
      </c>
      <c r="F154" s="184">
        <v>57020</v>
      </c>
      <c r="G154" s="184">
        <v>80.67</v>
      </c>
      <c r="H154" s="184">
        <v>289</v>
      </c>
      <c r="I154" s="184">
        <v>917580.67</v>
      </c>
      <c r="J154" s="184">
        <v>3.15</v>
      </c>
    </row>
    <row r="155" spans="1:10" ht="18" customHeight="1">
      <c r="A155" s="212">
        <v>42592</v>
      </c>
      <c r="B155" s="214" t="s">
        <v>268</v>
      </c>
      <c r="C155" s="219">
        <v>300008823388</v>
      </c>
      <c r="D155" s="183" t="s">
        <v>231</v>
      </c>
      <c r="E155" s="183">
        <v>21</v>
      </c>
      <c r="F155" s="183">
        <v>5195</v>
      </c>
      <c r="G155" s="183">
        <v>21</v>
      </c>
      <c r="H155" s="183">
        <v>12</v>
      </c>
      <c r="I155" s="183">
        <v>99890.23</v>
      </c>
      <c r="J155" s="183">
        <v>1.2</v>
      </c>
    </row>
    <row r="156" spans="1:10" ht="18" customHeight="1">
      <c r="A156" s="212">
        <v>42592</v>
      </c>
      <c r="B156" s="214" t="s">
        <v>269</v>
      </c>
      <c r="C156" s="220">
        <v>300009406201</v>
      </c>
      <c r="D156" s="184" t="s">
        <v>234</v>
      </c>
      <c r="E156" s="184">
        <v>32</v>
      </c>
      <c r="F156" s="184">
        <v>3523</v>
      </c>
      <c r="G156" s="184">
        <v>32</v>
      </c>
      <c r="H156" s="184">
        <v>11</v>
      </c>
      <c r="I156" s="184">
        <v>56207.9</v>
      </c>
      <c r="J156" s="184">
        <v>1.96</v>
      </c>
    </row>
    <row r="157" spans="1:10" ht="18" customHeight="1">
      <c r="A157" s="212">
        <v>42592</v>
      </c>
      <c r="B157" s="214" t="s">
        <v>269</v>
      </c>
      <c r="C157" s="220">
        <v>300009374215</v>
      </c>
      <c r="D157" s="184" t="s">
        <v>236</v>
      </c>
      <c r="E157" s="184">
        <v>15</v>
      </c>
      <c r="F157" s="184">
        <v>2537</v>
      </c>
      <c r="G157" s="184">
        <v>15</v>
      </c>
      <c r="H157" s="184">
        <v>10</v>
      </c>
      <c r="I157" s="184">
        <v>60621.599999999999</v>
      </c>
      <c r="J157" s="184">
        <v>1.65</v>
      </c>
    </row>
    <row r="158" spans="1:10" ht="18" customHeight="1">
      <c r="A158" s="212">
        <v>42592</v>
      </c>
      <c r="B158" s="214" t="s">
        <v>269</v>
      </c>
      <c r="C158" s="220">
        <v>300009406202</v>
      </c>
      <c r="D158" s="184" t="s">
        <v>232</v>
      </c>
      <c r="E158" s="184">
        <v>24</v>
      </c>
      <c r="F158" s="184">
        <v>2089</v>
      </c>
      <c r="G158" s="184">
        <v>24</v>
      </c>
      <c r="H158" s="184">
        <v>9</v>
      </c>
      <c r="I158" s="184">
        <v>34608.400000000001</v>
      </c>
      <c r="J158" s="184">
        <v>2.6</v>
      </c>
    </row>
    <row r="159" spans="1:10" ht="18" customHeight="1">
      <c r="A159" s="212">
        <v>42592</v>
      </c>
      <c r="B159" s="214" t="s">
        <v>269</v>
      </c>
      <c r="C159" s="220">
        <v>300009374212</v>
      </c>
      <c r="D159" s="184" t="s">
        <v>235</v>
      </c>
      <c r="E159" s="184">
        <v>1</v>
      </c>
      <c r="F159" s="184">
        <v>376</v>
      </c>
      <c r="G159" s="184">
        <v>1</v>
      </c>
      <c r="H159" s="184">
        <v>1</v>
      </c>
      <c r="I159" s="184">
        <v>9490.9</v>
      </c>
      <c r="J159" s="184">
        <v>1</v>
      </c>
    </row>
    <row r="160" spans="1:10" ht="18" customHeight="1">
      <c r="A160" s="212">
        <v>42592</v>
      </c>
      <c r="B160" s="214" t="s">
        <v>269</v>
      </c>
      <c r="C160" s="220">
        <v>300009185572</v>
      </c>
      <c r="D160" s="184" t="s">
        <v>237</v>
      </c>
      <c r="E160" s="184">
        <v>9</v>
      </c>
      <c r="F160" s="184">
        <v>205</v>
      </c>
      <c r="G160" s="184">
        <v>9</v>
      </c>
      <c r="H160" s="184">
        <v>4</v>
      </c>
      <c r="I160" s="184">
        <v>2687.2</v>
      </c>
      <c r="J160" s="184">
        <v>4</v>
      </c>
    </row>
    <row r="161" spans="1:10" ht="18" customHeight="1">
      <c r="A161" s="212">
        <v>42592</v>
      </c>
      <c r="B161" s="214" t="s">
        <v>269</v>
      </c>
      <c r="C161" s="220">
        <v>300009184067</v>
      </c>
      <c r="D161" s="184" t="s">
        <v>233</v>
      </c>
      <c r="E161" s="184">
        <v>3</v>
      </c>
      <c r="F161" s="184">
        <v>124</v>
      </c>
      <c r="G161" s="184">
        <v>3</v>
      </c>
      <c r="H161" s="184">
        <v>0</v>
      </c>
      <c r="I161" s="184">
        <v>1752.6</v>
      </c>
      <c r="J161" s="184">
        <v>0</v>
      </c>
    </row>
    <row r="162" spans="1:10" ht="18" customHeight="1">
      <c r="A162" s="212">
        <v>42592</v>
      </c>
      <c r="B162" s="214" t="s">
        <v>270</v>
      </c>
      <c r="C162" s="220">
        <v>300008839381</v>
      </c>
      <c r="D162" s="184" t="s">
        <v>190</v>
      </c>
      <c r="E162" s="184">
        <v>29</v>
      </c>
      <c r="F162" s="184">
        <v>5346</v>
      </c>
      <c r="G162" s="184">
        <v>29</v>
      </c>
      <c r="H162" s="184">
        <v>12</v>
      </c>
      <c r="I162" s="184">
        <v>87213.2</v>
      </c>
      <c r="J162" s="184">
        <v>1.38</v>
      </c>
    </row>
    <row r="163" spans="1:10" ht="18" customHeight="1">
      <c r="A163" s="212">
        <v>42592</v>
      </c>
      <c r="B163" s="214" t="s">
        <v>270</v>
      </c>
      <c r="C163" s="220">
        <v>300009235971</v>
      </c>
      <c r="D163" s="184" t="s">
        <v>241</v>
      </c>
      <c r="E163" s="184">
        <v>31</v>
      </c>
      <c r="F163" s="184">
        <v>2595</v>
      </c>
      <c r="G163" s="184">
        <v>31</v>
      </c>
      <c r="H163" s="184">
        <v>8</v>
      </c>
      <c r="I163" s="184">
        <v>44520.7</v>
      </c>
      <c r="J163" s="184">
        <v>1.8</v>
      </c>
    </row>
    <row r="164" spans="1:10" ht="18" customHeight="1">
      <c r="A164" s="212">
        <v>42592</v>
      </c>
      <c r="B164" s="214" t="s">
        <v>270</v>
      </c>
      <c r="C164" s="220">
        <v>300009003496</v>
      </c>
      <c r="D164" s="184" t="s">
        <v>240</v>
      </c>
      <c r="E164" s="184">
        <v>14</v>
      </c>
      <c r="F164" s="184">
        <v>2150</v>
      </c>
      <c r="G164" s="184">
        <v>14</v>
      </c>
      <c r="H164" s="184">
        <v>4</v>
      </c>
      <c r="I164" s="184">
        <v>34121.68</v>
      </c>
      <c r="J164" s="184">
        <v>1.17</v>
      </c>
    </row>
    <row r="165" spans="1:10" ht="18" customHeight="1">
      <c r="A165" s="212">
        <v>42592</v>
      </c>
      <c r="B165" s="214" t="s">
        <v>270</v>
      </c>
      <c r="C165" s="220">
        <v>300008875665</v>
      </c>
      <c r="D165" s="184" t="s">
        <v>189</v>
      </c>
      <c r="E165" s="184">
        <v>12</v>
      </c>
      <c r="F165" s="184">
        <v>1682</v>
      </c>
      <c r="G165" s="184">
        <v>12</v>
      </c>
      <c r="H165" s="184">
        <v>9</v>
      </c>
      <c r="I165" s="184">
        <v>37443.300000000003</v>
      </c>
      <c r="J165" s="184">
        <v>2.4</v>
      </c>
    </row>
    <row r="166" spans="1:10" ht="18" customHeight="1">
      <c r="A166" s="212">
        <v>42592</v>
      </c>
      <c r="B166" s="214" t="s">
        <v>270</v>
      </c>
      <c r="C166" s="220">
        <v>300008579657</v>
      </c>
      <c r="D166" s="184" t="s">
        <v>188</v>
      </c>
      <c r="E166" s="184">
        <v>2</v>
      </c>
      <c r="F166" s="184">
        <v>677</v>
      </c>
      <c r="G166" s="184">
        <v>2</v>
      </c>
      <c r="H166" s="184">
        <v>1</v>
      </c>
      <c r="I166" s="184">
        <v>9705.11</v>
      </c>
      <c r="J166" s="184">
        <v>1</v>
      </c>
    </row>
    <row r="167" spans="1:10" ht="18" customHeight="1">
      <c r="A167" s="212">
        <v>42592</v>
      </c>
      <c r="B167" s="214" t="s">
        <v>270</v>
      </c>
      <c r="C167" s="220">
        <v>300009000071</v>
      </c>
      <c r="D167" s="184" t="s">
        <v>192</v>
      </c>
      <c r="E167" s="184">
        <v>3</v>
      </c>
      <c r="F167" s="184">
        <v>675</v>
      </c>
      <c r="G167" s="184">
        <v>3</v>
      </c>
      <c r="H167" s="184">
        <v>0</v>
      </c>
      <c r="I167" s="184">
        <v>9133.0400000000009</v>
      </c>
      <c r="J167" s="184">
        <v>0</v>
      </c>
    </row>
    <row r="168" spans="1:10" ht="18" customHeight="1">
      <c r="A168" s="212">
        <v>42592</v>
      </c>
      <c r="B168" s="214" t="s">
        <v>270</v>
      </c>
      <c r="C168" s="220">
        <v>300009235974</v>
      </c>
      <c r="D168" s="184" t="s">
        <v>187</v>
      </c>
      <c r="E168" s="184">
        <v>1</v>
      </c>
      <c r="F168" s="184">
        <v>387</v>
      </c>
      <c r="G168" s="184">
        <v>1</v>
      </c>
      <c r="H168" s="184">
        <v>0</v>
      </c>
      <c r="I168" s="184">
        <v>7261.7</v>
      </c>
      <c r="J168" s="184">
        <v>0</v>
      </c>
    </row>
    <row r="169" spans="1:10" ht="18" customHeight="1">
      <c r="A169" s="212">
        <v>42592</v>
      </c>
      <c r="B169" s="214" t="s">
        <v>270</v>
      </c>
      <c r="C169" s="220">
        <v>300009000261</v>
      </c>
      <c r="D169" s="184" t="s">
        <v>191</v>
      </c>
      <c r="E169" s="184">
        <v>1</v>
      </c>
      <c r="F169" s="184" t="s">
        <v>242</v>
      </c>
      <c r="G169" s="184">
        <v>1</v>
      </c>
      <c r="H169" s="184">
        <v>0</v>
      </c>
      <c r="I169" s="184">
        <v>0</v>
      </c>
      <c r="J169" s="215">
        <v>0</v>
      </c>
    </row>
    <row r="170" spans="1:10" ht="18" customHeight="1">
      <c r="A170" s="212">
        <v>42592</v>
      </c>
      <c r="B170" s="214" t="s">
        <v>271</v>
      </c>
      <c r="C170" s="219">
        <v>300009290321</v>
      </c>
      <c r="D170" s="183" t="s">
        <v>194</v>
      </c>
      <c r="E170" s="183">
        <v>4</v>
      </c>
      <c r="F170" s="183">
        <v>1714</v>
      </c>
      <c r="G170" s="183">
        <v>4</v>
      </c>
      <c r="H170" s="183">
        <v>1</v>
      </c>
      <c r="I170" s="183">
        <v>38443.800000000003</v>
      </c>
      <c r="J170" s="183">
        <v>0.26</v>
      </c>
    </row>
    <row r="171" spans="1:10" ht="18" customHeight="1">
      <c r="A171" s="212">
        <v>42593</v>
      </c>
      <c r="B171" s="213" t="s">
        <v>255</v>
      </c>
      <c r="C171" s="219">
        <v>300009192151</v>
      </c>
      <c r="D171" s="183" t="s">
        <v>230</v>
      </c>
      <c r="E171" s="183">
        <v>27</v>
      </c>
      <c r="F171" s="183">
        <v>5287</v>
      </c>
      <c r="G171" s="183">
        <v>27</v>
      </c>
      <c r="H171" s="183">
        <v>16</v>
      </c>
      <c r="I171" s="183">
        <v>92782.2</v>
      </c>
      <c r="J171" s="183">
        <v>1.72</v>
      </c>
    </row>
    <row r="172" spans="1:10" ht="18" customHeight="1">
      <c r="A172" s="212">
        <v>42593</v>
      </c>
      <c r="B172" s="214" t="s">
        <v>265</v>
      </c>
      <c r="C172" s="219">
        <v>300009480238</v>
      </c>
      <c r="D172" s="183" t="s">
        <v>263</v>
      </c>
      <c r="E172" s="183">
        <v>4</v>
      </c>
      <c r="F172" s="183">
        <v>707</v>
      </c>
      <c r="G172" s="183">
        <v>4</v>
      </c>
      <c r="H172" s="183">
        <v>2</v>
      </c>
      <c r="I172" s="183">
        <v>16126.4</v>
      </c>
      <c r="J172" s="183">
        <v>1.24</v>
      </c>
    </row>
    <row r="173" spans="1:10" ht="18" customHeight="1">
      <c r="A173" s="212">
        <v>42593</v>
      </c>
      <c r="B173" s="214" t="s">
        <v>267</v>
      </c>
      <c r="C173" s="219">
        <v>300009358277</v>
      </c>
      <c r="D173" s="183" t="s">
        <v>266</v>
      </c>
      <c r="E173" s="183">
        <v>462</v>
      </c>
      <c r="F173" s="183">
        <v>56792</v>
      </c>
      <c r="G173" s="183">
        <v>81.349999999999994</v>
      </c>
      <c r="H173" s="183">
        <v>293</v>
      </c>
      <c r="I173" s="183">
        <v>918819.27</v>
      </c>
      <c r="J173" s="183">
        <v>3.19</v>
      </c>
    </row>
    <row r="174" spans="1:10" ht="18" customHeight="1">
      <c r="A174" s="212">
        <v>42593</v>
      </c>
      <c r="B174" s="214" t="s">
        <v>268</v>
      </c>
      <c r="C174" s="219">
        <v>300008823388</v>
      </c>
      <c r="D174" s="183" t="s">
        <v>231</v>
      </c>
      <c r="E174" s="183">
        <v>22</v>
      </c>
      <c r="F174" s="183">
        <v>5286</v>
      </c>
      <c r="G174" s="183">
        <v>22</v>
      </c>
      <c r="H174" s="183">
        <v>13</v>
      </c>
      <c r="I174" s="183">
        <v>101717.32</v>
      </c>
      <c r="J174" s="183">
        <v>1.28</v>
      </c>
    </row>
    <row r="175" spans="1:10" ht="18" customHeight="1">
      <c r="A175" s="212">
        <v>42593</v>
      </c>
      <c r="B175" s="214" t="s">
        <v>269</v>
      </c>
      <c r="C175" s="220">
        <v>300009406201</v>
      </c>
      <c r="D175" s="184" t="s">
        <v>234</v>
      </c>
      <c r="E175" s="184">
        <v>32</v>
      </c>
      <c r="F175" s="184">
        <v>3523</v>
      </c>
      <c r="G175" s="184">
        <v>32</v>
      </c>
      <c r="H175" s="184">
        <v>11</v>
      </c>
      <c r="I175" s="184">
        <v>56207.9</v>
      </c>
      <c r="J175" s="184">
        <v>1.96</v>
      </c>
    </row>
    <row r="176" spans="1:10" ht="18" customHeight="1">
      <c r="A176" s="212">
        <v>42593</v>
      </c>
      <c r="B176" s="214" t="s">
        <v>269</v>
      </c>
      <c r="C176" s="220">
        <v>300009374215</v>
      </c>
      <c r="D176" s="184" t="s">
        <v>236</v>
      </c>
      <c r="E176" s="184">
        <v>16</v>
      </c>
      <c r="F176" s="184">
        <v>2568</v>
      </c>
      <c r="G176" s="184">
        <v>16</v>
      </c>
      <c r="H176" s="184">
        <v>10</v>
      </c>
      <c r="I176" s="184">
        <v>61227.8</v>
      </c>
      <c r="J176" s="184">
        <v>1.63</v>
      </c>
    </row>
    <row r="177" spans="1:10" ht="18" customHeight="1">
      <c r="A177" s="212">
        <v>42593</v>
      </c>
      <c r="B177" s="214" t="s">
        <v>269</v>
      </c>
      <c r="C177" s="220">
        <v>300009406202</v>
      </c>
      <c r="D177" s="184" t="s">
        <v>232</v>
      </c>
      <c r="E177" s="184">
        <v>24</v>
      </c>
      <c r="F177" s="184">
        <v>2154</v>
      </c>
      <c r="G177" s="184">
        <v>24</v>
      </c>
      <c r="H177" s="184">
        <v>9</v>
      </c>
      <c r="I177" s="184">
        <v>35479</v>
      </c>
      <c r="J177" s="184">
        <v>2.54</v>
      </c>
    </row>
    <row r="178" spans="1:10" ht="18" customHeight="1">
      <c r="A178" s="212">
        <v>42593</v>
      </c>
      <c r="B178" s="214" t="s">
        <v>269</v>
      </c>
      <c r="C178" s="220">
        <v>300009374212</v>
      </c>
      <c r="D178" s="184" t="s">
        <v>235</v>
      </c>
      <c r="E178" s="184">
        <v>1</v>
      </c>
      <c r="F178" s="184">
        <v>417</v>
      </c>
      <c r="G178" s="184">
        <v>1</v>
      </c>
      <c r="H178" s="184">
        <v>1</v>
      </c>
      <c r="I178" s="184">
        <v>10328.299999999999</v>
      </c>
      <c r="J178" s="184">
        <v>0.97</v>
      </c>
    </row>
    <row r="179" spans="1:10" ht="18" customHeight="1">
      <c r="A179" s="212">
        <v>42593</v>
      </c>
      <c r="B179" s="214" t="s">
        <v>269</v>
      </c>
      <c r="C179" s="220">
        <v>300009185572</v>
      </c>
      <c r="D179" s="184" t="s">
        <v>237</v>
      </c>
      <c r="E179" s="184">
        <v>10</v>
      </c>
      <c r="F179" s="184">
        <v>269</v>
      </c>
      <c r="G179" s="184">
        <v>10</v>
      </c>
      <c r="H179" s="184">
        <v>5</v>
      </c>
      <c r="I179" s="184">
        <v>3544.7</v>
      </c>
      <c r="J179" s="184">
        <v>5</v>
      </c>
    </row>
    <row r="180" spans="1:10" ht="18" customHeight="1">
      <c r="A180" s="212">
        <v>42593</v>
      </c>
      <c r="B180" s="214" t="s">
        <v>167</v>
      </c>
      <c r="C180" s="220">
        <v>300009184067</v>
      </c>
      <c r="D180" s="184" t="s">
        <v>233</v>
      </c>
      <c r="E180" s="184">
        <v>3</v>
      </c>
      <c r="F180" s="184">
        <v>185</v>
      </c>
      <c r="G180" s="184">
        <v>3</v>
      </c>
      <c r="H180" s="184">
        <v>0</v>
      </c>
      <c r="I180" s="184">
        <v>2704.1</v>
      </c>
      <c r="J180" s="184">
        <v>0</v>
      </c>
    </row>
    <row r="181" spans="1:10" ht="18" customHeight="1">
      <c r="A181" s="212">
        <v>42593</v>
      </c>
      <c r="B181" s="214" t="s">
        <v>270</v>
      </c>
      <c r="C181" s="220">
        <v>300008839381</v>
      </c>
      <c r="D181" s="184" t="s">
        <v>190</v>
      </c>
      <c r="E181" s="184">
        <v>31</v>
      </c>
      <c r="F181" s="184">
        <v>5451</v>
      </c>
      <c r="G181" s="184">
        <v>31</v>
      </c>
      <c r="H181" s="184">
        <v>13</v>
      </c>
      <c r="I181" s="184">
        <v>88734.8</v>
      </c>
      <c r="J181" s="184">
        <v>1.47</v>
      </c>
    </row>
    <row r="182" spans="1:10" ht="18" customHeight="1">
      <c r="A182" s="212">
        <v>42593</v>
      </c>
      <c r="B182" s="214" t="s">
        <v>270</v>
      </c>
      <c r="C182" s="220">
        <v>300009235971</v>
      </c>
      <c r="D182" s="184" t="s">
        <v>241</v>
      </c>
      <c r="E182" s="184">
        <v>31</v>
      </c>
      <c r="F182" s="184">
        <v>2595</v>
      </c>
      <c r="G182" s="184">
        <v>31</v>
      </c>
      <c r="H182" s="184">
        <v>8</v>
      </c>
      <c r="I182" s="184">
        <v>44520.7</v>
      </c>
      <c r="J182" s="184">
        <v>1.8</v>
      </c>
    </row>
    <row r="183" spans="1:10" ht="18" customHeight="1">
      <c r="A183" s="212">
        <v>42593</v>
      </c>
      <c r="B183" s="214" t="s">
        <v>270</v>
      </c>
      <c r="C183" s="220">
        <v>300009003496</v>
      </c>
      <c r="D183" s="184" t="s">
        <v>240</v>
      </c>
      <c r="E183" s="184">
        <v>16</v>
      </c>
      <c r="F183" s="184">
        <v>2247</v>
      </c>
      <c r="G183" s="184">
        <v>16</v>
      </c>
      <c r="H183" s="184">
        <v>4</v>
      </c>
      <c r="I183" s="184">
        <v>35502.79</v>
      </c>
      <c r="J183" s="184">
        <v>1.1299999999999999</v>
      </c>
    </row>
    <row r="184" spans="1:10" ht="18" customHeight="1">
      <c r="A184" s="212">
        <v>42593</v>
      </c>
      <c r="B184" s="214" t="s">
        <v>270</v>
      </c>
      <c r="C184" s="220">
        <v>300008875665</v>
      </c>
      <c r="D184" s="184" t="s">
        <v>189</v>
      </c>
      <c r="E184" s="184">
        <v>12</v>
      </c>
      <c r="F184" s="184">
        <v>1731</v>
      </c>
      <c r="G184" s="184">
        <v>12</v>
      </c>
      <c r="H184" s="184">
        <v>9</v>
      </c>
      <c r="I184" s="184">
        <v>38327.800000000003</v>
      </c>
      <c r="J184" s="184">
        <v>2.35</v>
      </c>
    </row>
    <row r="185" spans="1:10" ht="18" customHeight="1">
      <c r="A185" s="212">
        <v>42593</v>
      </c>
      <c r="B185" s="214" t="s">
        <v>270</v>
      </c>
      <c r="C185" s="220">
        <v>300009000071</v>
      </c>
      <c r="D185" s="184" t="s">
        <v>192</v>
      </c>
      <c r="E185" s="184">
        <v>3</v>
      </c>
      <c r="F185" s="184">
        <v>791</v>
      </c>
      <c r="G185" s="184">
        <v>3</v>
      </c>
      <c r="H185" s="184">
        <v>0</v>
      </c>
      <c r="I185" s="184">
        <v>10643.95</v>
      </c>
      <c r="J185" s="184">
        <v>0</v>
      </c>
    </row>
    <row r="186" spans="1:10" ht="18" customHeight="1">
      <c r="A186" s="212">
        <v>42593</v>
      </c>
      <c r="B186" s="214" t="s">
        <v>270</v>
      </c>
      <c r="C186" s="220">
        <v>300008579657</v>
      </c>
      <c r="D186" s="184" t="s">
        <v>188</v>
      </c>
      <c r="E186" s="184">
        <v>5</v>
      </c>
      <c r="F186" s="184">
        <v>772</v>
      </c>
      <c r="G186" s="184">
        <v>5</v>
      </c>
      <c r="H186" s="184">
        <v>3</v>
      </c>
      <c r="I186" s="184">
        <v>11047.29</v>
      </c>
      <c r="J186" s="184">
        <v>2.72</v>
      </c>
    </row>
    <row r="187" spans="1:10" ht="18" customHeight="1">
      <c r="A187" s="212">
        <v>42593</v>
      </c>
      <c r="B187" s="214" t="s">
        <v>270</v>
      </c>
      <c r="C187" s="220">
        <v>300009235974</v>
      </c>
      <c r="D187" s="184" t="s">
        <v>187</v>
      </c>
      <c r="E187" s="184">
        <v>1</v>
      </c>
      <c r="F187" s="184">
        <v>433</v>
      </c>
      <c r="G187" s="184">
        <v>1</v>
      </c>
      <c r="H187" s="184">
        <v>0</v>
      </c>
      <c r="I187" s="184">
        <v>8140.4</v>
      </c>
      <c r="J187" s="184">
        <v>0</v>
      </c>
    </row>
    <row r="188" spans="1:10" ht="18" customHeight="1">
      <c r="A188" s="212">
        <v>42593</v>
      </c>
      <c r="B188" s="214" t="s">
        <v>163</v>
      </c>
      <c r="C188" s="220">
        <v>300009000261</v>
      </c>
      <c r="D188" s="184" t="s">
        <v>191</v>
      </c>
      <c r="E188" s="184">
        <v>1</v>
      </c>
      <c r="F188" s="184" t="s">
        <v>242</v>
      </c>
      <c r="G188" s="184">
        <v>1</v>
      </c>
      <c r="H188" s="184">
        <v>0</v>
      </c>
      <c r="I188" s="184">
        <v>0</v>
      </c>
      <c r="J188" s="184">
        <v>0</v>
      </c>
    </row>
    <row r="189" spans="1:10" ht="18" customHeight="1">
      <c r="A189" s="212">
        <v>42593</v>
      </c>
      <c r="B189" s="214" t="s">
        <v>271</v>
      </c>
      <c r="C189" s="219">
        <v>300009290321</v>
      </c>
      <c r="D189" s="183" t="s">
        <v>194</v>
      </c>
      <c r="E189" s="183">
        <v>5</v>
      </c>
      <c r="F189" s="183">
        <v>1778</v>
      </c>
      <c r="G189" s="183">
        <v>5</v>
      </c>
      <c r="H189" s="183">
        <v>2</v>
      </c>
      <c r="I189" s="183">
        <v>40050.1</v>
      </c>
      <c r="J189" s="183">
        <v>0.5</v>
      </c>
    </row>
    <row r="190" spans="1:10" ht="18" customHeight="1">
      <c r="A190" s="212">
        <v>42594</v>
      </c>
      <c r="B190" s="214" t="s">
        <v>167</v>
      </c>
      <c r="C190" s="221">
        <v>300009406201</v>
      </c>
      <c r="D190" s="189" t="s">
        <v>234</v>
      </c>
      <c r="E190" s="189">
        <v>32</v>
      </c>
      <c r="F190" s="189">
        <v>3523</v>
      </c>
      <c r="G190" s="189">
        <v>32</v>
      </c>
      <c r="H190" s="189">
        <v>11</v>
      </c>
      <c r="I190" s="189">
        <v>56207.9</v>
      </c>
      <c r="J190" s="189">
        <v>1.96</v>
      </c>
    </row>
    <row r="191" spans="1:10" ht="18" customHeight="1">
      <c r="A191" s="212">
        <v>42594</v>
      </c>
      <c r="B191" s="214" t="s">
        <v>167</v>
      </c>
      <c r="C191" s="221">
        <v>300009374215</v>
      </c>
      <c r="D191" s="189" t="s">
        <v>236</v>
      </c>
      <c r="E191" s="189">
        <v>16</v>
      </c>
      <c r="F191" s="189">
        <v>2607</v>
      </c>
      <c r="G191" s="189">
        <v>16</v>
      </c>
      <c r="H191" s="189">
        <v>10</v>
      </c>
      <c r="I191" s="189">
        <v>61979.3</v>
      </c>
      <c r="J191" s="189">
        <v>1.61</v>
      </c>
    </row>
    <row r="192" spans="1:10" ht="18" customHeight="1">
      <c r="A192" s="212">
        <v>42594</v>
      </c>
      <c r="B192" s="214" t="s">
        <v>167</v>
      </c>
      <c r="C192" s="221">
        <v>300009406202</v>
      </c>
      <c r="D192" s="189" t="s">
        <v>232</v>
      </c>
      <c r="E192" s="189">
        <v>25</v>
      </c>
      <c r="F192" s="189">
        <v>2205</v>
      </c>
      <c r="G192" s="189">
        <v>25</v>
      </c>
      <c r="H192" s="189">
        <v>9</v>
      </c>
      <c r="I192" s="189">
        <v>36363.699999999997</v>
      </c>
      <c r="J192" s="189">
        <v>2.4700000000000002</v>
      </c>
    </row>
    <row r="193" spans="1:10" ht="18" customHeight="1">
      <c r="A193" s="212">
        <v>42594</v>
      </c>
      <c r="B193" s="214" t="s">
        <v>167</v>
      </c>
      <c r="C193" s="221">
        <v>300009374212</v>
      </c>
      <c r="D193" s="189" t="s">
        <v>235</v>
      </c>
      <c r="E193" s="189">
        <v>2</v>
      </c>
      <c r="F193" s="189">
        <v>475</v>
      </c>
      <c r="G193" s="189">
        <v>2</v>
      </c>
      <c r="H193" s="189">
        <v>2</v>
      </c>
      <c r="I193" s="189">
        <v>11568.7</v>
      </c>
      <c r="J193" s="189">
        <v>1.73</v>
      </c>
    </row>
    <row r="194" spans="1:10" ht="18" customHeight="1">
      <c r="A194" s="212">
        <v>42594</v>
      </c>
      <c r="B194" s="214" t="s">
        <v>167</v>
      </c>
      <c r="C194" s="221">
        <v>300009185572</v>
      </c>
      <c r="D194" s="189" t="s">
        <v>237</v>
      </c>
      <c r="E194" s="189">
        <v>10</v>
      </c>
      <c r="F194" s="189">
        <v>333</v>
      </c>
      <c r="G194" s="189">
        <v>10</v>
      </c>
      <c r="H194" s="189">
        <v>5</v>
      </c>
      <c r="I194" s="189">
        <v>4502.2</v>
      </c>
      <c r="J194" s="189">
        <v>5</v>
      </c>
    </row>
    <row r="195" spans="1:10" ht="18" customHeight="1">
      <c r="A195" s="212">
        <v>42594</v>
      </c>
      <c r="B195" s="214" t="s">
        <v>167</v>
      </c>
      <c r="C195" s="221">
        <v>300009184067</v>
      </c>
      <c r="D195" s="189" t="s">
        <v>233</v>
      </c>
      <c r="E195" s="189">
        <v>3</v>
      </c>
      <c r="F195" s="189">
        <v>260</v>
      </c>
      <c r="G195" s="189">
        <v>3</v>
      </c>
      <c r="H195" s="189">
        <v>0</v>
      </c>
      <c r="I195" s="189">
        <v>3764</v>
      </c>
      <c r="J195" s="189">
        <v>0</v>
      </c>
    </row>
    <row r="196" spans="1:10" ht="18" customHeight="1">
      <c r="A196" s="212">
        <v>42594</v>
      </c>
      <c r="B196" s="214" t="s">
        <v>168</v>
      </c>
      <c r="C196" s="222">
        <v>300008823388</v>
      </c>
      <c r="D196" s="190" t="s">
        <v>231</v>
      </c>
      <c r="E196" s="190">
        <v>22</v>
      </c>
      <c r="F196" s="190">
        <v>5458</v>
      </c>
      <c r="G196" s="190">
        <v>22</v>
      </c>
      <c r="H196" s="190">
        <v>13</v>
      </c>
      <c r="I196" s="190">
        <v>104967.69</v>
      </c>
      <c r="J196" s="190">
        <v>1.24</v>
      </c>
    </row>
    <row r="197" spans="1:10" ht="18" customHeight="1">
      <c r="A197" s="212">
        <v>42594</v>
      </c>
      <c r="B197" s="214" t="s">
        <v>244</v>
      </c>
      <c r="C197" s="222">
        <v>300008823388</v>
      </c>
      <c r="D197" s="190" t="s">
        <v>231</v>
      </c>
      <c r="E197" s="190">
        <v>26</v>
      </c>
      <c r="F197" s="190">
        <v>6155</v>
      </c>
      <c r="G197" s="190">
        <v>26</v>
      </c>
      <c r="H197" s="190">
        <v>15</v>
      </c>
      <c r="I197" s="190">
        <v>117607.4</v>
      </c>
      <c r="J197" s="190">
        <v>1.28</v>
      </c>
    </row>
    <row r="198" spans="1:10" ht="18" customHeight="1">
      <c r="A198" s="212">
        <v>42594</v>
      </c>
      <c r="B198" s="213" t="s">
        <v>166</v>
      </c>
      <c r="C198" s="222">
        <v>300009192151</v>
      </c>
      <c r="D198" s="190" t="s">
        <v>230</v>
      </c>
      <c r="E198" s="190">
        <v>27</v>
      </c>
      <c r="F198" s="190">
        <v>5475</v>
      </c>
      <c r="G198" s="190">
        <v>27</v>
      </c>
      <c r="H198" s="190">
        <v>17</v>
      </c>
      <c r="I198" s="190">
        <v>96072.3</v>
      </c>
      <c r="J198" s="190">
        <v>1.77</v>
      </c>
    </row>
    <row r="199" spans="1:10" ht="18" customHeight="1">
      <c r="A199" s="212">
        <v>42594</v>
      </c>
      <c r="B199" s="214" t="s">
        <v>163</v>
      </c>
      <c r="C199" s="221">
        <v>300008839381</v>
      </c>
      <c r="D199" s="189" t="s">
        <v>190</v>
      </c>
      <c r="E199" s="189">
        <v>32</v>
      </c>
      <c r="F199" s="189">
        <v>5612</v>
      </c>
      <c r="G199" s="189">
        <v>32</v>
      </c>
      <c r="H199" s="189">
        <v>13</v>
      </c>
      <c r="I199" s="189">
        <v>91122.2</v>
      </c>
      <c r="J199" s="189">
        <v>1.43</v>
      </c>
    </row>
    <row r="200" spans="1:10" ht="18" customHeight="1">
      <c r="A200" s="212">
        <v>42594</v>
      </c>
      <c r="B200" s="214" t="s">
        <v>163</v>
      </c>
      <c r="C200" s="221">
        <v>300009235971</v>
      </c>
      <c r="D200" s="189" t="s">
        <v>241</v>
      </c>
      <c r="E200" s="189">
        <v>31</v>
      </c>
      <c r="F200" s="189">
        <v>2595</v>
      </c>
      <c r="G200" s="189">
        <v>31</v>
      </c>
      <c r="H200" s="189">
        <v>8</v>
      </c>
      <c r="I200" s="189">
        <v>44520.7</v>
      </c>
      <c r="J200" s="189">
        <v>1.8</v>
      </c>
    </row>
    <row r="201" spans="1:10" ht="18" customHeight="1">
      <c r="A201" s="212">
        <v>42594</v>
      </c>
      <c r="B201" s="214" t="s">
        <v>163</v>
      </c>
      <c r="C201" s="221">
        <v>300009003496</v>
      </c>
      <c r="D201" s="189" t="s">
        <v>240</v>
      </c>
      <c r="E201" s="189">
        <v>16</v>
      </c>
      <c r="F201" s="189">
        <v>2405</v>
      </c>
      <c r="G201" s="189">
        <v>16</v>
      </c>
      <c r="H201" s="189">
        <v>4</v>
      </c>
      <c r="I201" s="189">
        <v>37393</v>
      </c>
      <c r="J201" s="189">
        <v>1.07</v>
      </c>
    </row>
    <row r="202" spans="1:10" ht="18" customHeight="1">
      <c r="A202" s="212">
        <v>42594</v>
      </c>
      <c r="B202" s="214" t="s">
        <v>163</v>
      </c>
      <c r="C202" s="221">
        <v>300008875665</v>
      </c>
      <c r="D202" s="189" t="s">
        <v>189</v>
      </c>
      <c r="E202" s="189">
        <v>12</v>
      </c>
      <c r="F202" s="189">
        <v>1835</v>
      </c>
      <c r="G202" s="189">
        <v>12</v>
      </c>
      <c r="H202" s="189">
        <v>9</v>
      </c>
      <c r="I202" s="189">
        <v>40216.82</v>
      </c>
      <c r="J202" s="189">
        <v>2.2400000000000002</v>
      </c>
    </row>
    <row r="203" spans="1:10" ht="18" customHeight="1">
      <c r="A203" s="212">
        <v>42594</v>
      </c>
      <c r="B203" s="214" t="s">
        <v>163</v>
      </c>
      <c r="C203" s="221">
        <v>300009000071</v>
      </c>
      <c r="D203" s="189" t="s">
        <v>192</v>
      </c>
      <c r="E203" s="189">
        <v>3</v>
      </c>
      <c r="F203" s="189">
        <v>970</v>
      </c>
      <c r="G203" s="189">
        <v>3</v>
      </c>
      <c r="H203" s="189">
        <v>0</v>
      </c>
      <c r="I203" s="189">
        <v>13191.4</v>
      </c>
      <c r="J203" s="189">
        <v>0</v>
      </c>
    </row>
    <row r="204" spans="1:10" ht="18" customHeight="1">
      <c r="A204" s="212">
        <v>42594</v>
      </c>
      <c r="B204" s="214" t="s">
        <v>163</v>
      </c>
      <c r="C204" s="221">
        <v>300008579657</v>
      </c>
      <c r="D204" s="189" t="s">
        <v>188</v>
      </c>
      <c r="E204" s="189">
        <v>5</v>
      </c>
      <c r="F204" s="189">
        <v>953</v>
      </c>
      <c r="G204" s="189">
        <v>5</v>
      </c>
      <c r="H204" s="189">
        <v>3</v>
      </c>
      <c r="I204" s="189">
        <v>13617.65</v>
      </c>
      <c r="J204" s="189">
        <v>2.2000000000000002</v>
      </c>
    </row>
    <row r="205" spans="1:10" ht="18" customHeight="1">
      <c r="A205" s="212">
        <v>42594</v>
      </c>
      <c r="B205" s="214" t="s">
        <v>163</v>
      </c>
      <c r="C205" s="221">
        <v>300009235974</v>
      </c>
      <c r="D205" s="189" t="s">
        <v>187</v>
      </c>
      <c r="E205" s="189">
        <v>1</v>
      </c>
      <c r="F205" s="189">
        <v>551</v>
      </c>
      <c r="G205" s="189">
        <v>1</v>
      </c>
      <c r="H205" s="189">
        <v>0</v>
      </c>
      <c r="I205" s="189">
        <v>10477.799999999999</v>
      </c>
      <c r="J205" s="189">
        <v>0</v>
      </c>
    </row>
    <row r="206" spans="1:10" ht="18" customHeight="1">
      <c r="A206" s="212">
        <v>42594</v>
      </c>
      <c r="B206" s="214" t="s">
        <v>163</v>
      </c>
      <c r="C206" s="221">
        <v>300009000261</v>
      </c>
      <c r="D206" s="189" t="s">
        <v>191</v>
      </c>
      <c r="E206" s="189">
        <v>1</v>
      </c>
      <c r="F206" s="189" t="s">
        <v>242</v>
      </c>
      <c r="G206" s="189">
        <v>1</v>
      </c>
      <c r="H206" s="189">
        <v>0</v>
      </c>
      <c r="I206" s="189">
        <v>0</v>
      </c>
      <c r="J206" s="189">
        <v>0</v>
      </c>
    </row>
    <row r="207" spans="1:10" ht="18" customHeight="1">
      <c r="A207" s="212">
        <v>42594</v>
      </c>
      <c r="B207" s="214" t="s">
        <v>169</v>
      </c>
      <c r="C207" s="222">
        <v>300009290321</v>
      </c>
      <c r="D207" s="190" t="s">
        <v>194</v>
      </c>
      <c r="E207" s="190">
        <v>6</v>
      </c>
      <c r="F207" s="190">
        <v>1952</v>
      </c>
      <c r="G207" s="190">
        <v>6</v>
      </c>
      <c r="H207" s="190">
        <v>2</v>
      </c>
      <c r="I207" s="190">
        <v>43412.4</v>
      </c>
      <c r="J207" s="190">
        <v>0.46</v>
      </c>
    </row>
    <row r="208" spans="1:10" ht="18" customHeight="1">
      <c r="A208" s="212">
        <v>42594</v>
      </c>
      <c r="B208" s="214" t="s">
        <v>245</v>
      </c>
      <c r="C208" s="222">
        <v>300009480238</v>
      </c>
      <c r="D208" s="190" t="s">
        <v>263</v>
      </c>
      <c r="E208" s="190">
        <v>5</v>
      </c>
      <c r="F208" s="190">
        <v>903</v>
      </c>
      <c r="G208" s="190">
        <v>5</v>
      </c>
      <c r="H208" s="190">
        <v>4</v>
      </c>
      <c r="I208" s="190">
        <v>20688.3</v>
      </c>
      <c r="J208" s="190">
        <v>1.93</v>
      </c>
    </row>
    <row r="209" spans="1:10" ht="18" customHeight="1">
      <c r="A209" s="212">
        <v>42595</v>
      </c>
      <c r="B209" s="214" t="s">
        <v>167</v>
      </c>
      <c r="C209" s="221">
        <v>300009406201</v>
      </c>
      <c r="D209" s="189" t="s">
        <v>234</v>
      </c>
      <c r="E209" s="189">
        <v>32</v>
      </c>
      <c r="F209" s="189">
        <v>3523</v>
      </c>
      <c r="G209" s="189">
        <v>32</v>
      </c>
      <c r="H209" s="189">
        <v>11</v>
      </c>
      <c r="I209" s="189">
        <v>56207.9</v>
      </c>
      <c r="J209" s="189">
        <v>1.96</v>
      </c>
    </row>
    <row r="210" spans="1:10" ht="18" customHeight="1">
      <c r="A210" s="212">
        <v>42595</v>
      </c>
      <c r="B210" s="214" t="s">
        <v>167</v>
      </c>
      <c r="C210" s="221">
        <v>300009374215</v>
      </c>
      <c r="D210" s="189" t="s">
        <v>236</v>
      </c>
      <c r="E210" s="189">
        <v>17</v>
      </c>
      <c r="F210" s="189">
        <v>2695</v>
      </c>
      <c r="G210" s="189">
        <v>17</v>
      </c>
      <c r="H210" s="189">
        <v>11</v>
      </c>
      <c r="I210" s="189">
        <v>63349.599999999999</v>
      </c>
      <c r="J210" s="189">
        <v>1.74</v>
      </c>
    </row>
    <row r="211" spans="1:10" ht="18" customHeight="1">
      <c r="A211" s="212">
        <v>42595</v>
      </c>
      <c r="B211" s="214" t="s">
        <v>167</v>
      </c>
      <c r="C211" s="221">
        <v>300009406202</v>
      </c>
      <c r="D211" s="189" t="s">
        <v>232</v>
      </c>
      <c r="E211" s="189">
        <v>25</v>
      </c>
      <c r="F211" s="189">
        <v>2315</v>
      </c>
      <c r="G211" s="189">
        <v>25</v>
      </c>
      <c r="H211" s="189">
        <v>9</v>
      </c>
      <c r="I211" s="189">
        <v>37983.4</v>
      </c>
      <c r="J211" s="189">
        <v>2.37</v>
      </c>
    </row>
    <row r="212" spans="1:10" ht="18" customHeight="1">
      <c r="A212" s="212">
        <v>42595</v>
      </c>
      <c r="B212" s="214" t="s">
        <v>167</v>
      </c>
      <c r="C212" s="221">
        <v>300009374212</v>
      </c>
      <c r="D212" s="189" t="s">
        <v>235</v>
      </c>
      <c r="E212" s="189">
        <v>2</v>
      </c>
      <c r="F212" s="189">
        <v>563</v>
      </c>
      <c r="G212" s="189">
        <v>2</v>
      </c>
      <c r="H212" s="189">
        <v>2</v>
      </c>
      <c r="I212" s="189">
        <v>13223</v>
      </c>
      <c r="J212" s="189">
        <v>1.51</v>
      </c>
    </row>
    <row r="213" spans="1:10" ht="18" customHeight="1">
      <c r="A213" s="212">
        <v>42595</v>
      </c>
      <c r="B213" s="214" t="s">
        <v>167</v>
      </c>
      <c r="C213" s="221">
        <v>300009185572</v>
      </c>
      <c r="D213" s="189" t="s">
        <v>237</v>
      </c>
      <c r="E213" s="189">
        <v>11</v>
      </c>
      <c r="F213" s="189">
        <v>374</v>
      </c>
      <c r="G213" s="189">
        <v>11</v>
      </c>
      <c r="H213" s="189">
        <v>5</v>
      </c>
      <c r="I213" s="189">
        <v>5121.7</v>
      </c>
      <c r="J213" s="189">
        <v>5</v>
      </c>
    </row>
    <row r="214" spans="1:10" ht="18" customHeight="1">
      <c r="A214" s="212">
        <v>42595</v>
      </c>
      <c r="B214" s="214" t="s">
        <v>167</v>
      </c>
      <c r="C214" s="221">
        <v>300009184067</v>
      </c>
      <c r="D214" s="189" t="s">
        <v>233</v>
      </c>
      <c r="E214" s="189">
        <v>3</v>
      </c>
      <c r="F214" s="189">
        <v>352</v>
      </c>
      <c r="G214" s="189">
        <v>3</v>
      </c>
      <c r="H214" s="189">
        <v>0</v>
      </c>
      <c r="I214" s="189">
        <v>5188.1000000000004</v>
      </c>
      <c r="J214" s="189">
        <v>0</v>
      </c>
    </row>
    <row r="215" spans="1:10" ht="18" customHeight="1">
      <c r="A215" s="212">
        <v>42595</v>
      </c>
      <c r="B215" s="214" t="s">
        <v>168</v>
      </c>
      <c r="C215" s="222">
        <v>300008823388</v>
      </c>
      <c r="D215" s="190" t="s">
        <v>231</v>
      </c>
      <c r="E215" s="190">
        <v>24</v>
      </c>
      <c r="F215" s="190">
        <v>5683</v>
      </c>
      <c r="G215" s="190">
        <v>24</v>
      </c>
      <c r="H215" s="190">
        <v>13</v>
      </c>
      <c r="I215" s="190">
        <v>108747.96</v>
      </c>
      <c r="J215" s="190">
        <v>1.2</v>
      </c>
    </row>
    <row r="216" spans="1:10" ht="18" customHeight="1">
      <c r="A216" s="212">
        <v>42595</v>
      </c>
      <c r="B216" s="214" t="s">
        <v>244</v>
      </c>
      <c r="C216" s="223">
        <v>300009358277</v>
      </c>
      <c r="D216" s="217" t="s">
        <v>266</v>
      </c>
      <c r="E216" s="217">
        <v>453</v>
      </c>
      <c r="F216" s="217">
        <v>56751</v>
      </c>
      <c r="G216" s="217">
        <v>79.819999999999993</v>
      </c>
      <c r="H216" s="217">
        <v>291</v>
      </c>
      <c r="I216" s="217">
        <v>926718.77</v>
      </c>
      <c r="J216" s="217">
        <v>3.14</v>
      </c>
    </row>
    <row r="217" spans="1:10" ht="18" customHeight="1">
      <c r="A217" s="212">
        <v>42595</v>
      </c>
      <c r="B217" s="213" t="s">
        <v>166</v>
      </c>
      <c r="C217" s="222">
        <v>300009192151</v>
      </c>
      <c r="D217" s="190" t="s">
        <v>230</v>
      </c>
      <c r="E217" s="190">
        <v>27</v>
      </c>
      <c r="F217" s="190">
        <v>5712</v>
      </c>
      <c r="G217" s="190">
        <v>27</v>
      </c>
      <c r="H217" s="190">
        <v>17</v>
      </c>
      <c r="I217" s="190">
        <v>100159.9</v>
      </c>
      <c r="J217" s="190">
        <v>1.7</v>
      </c>
    </row>
    <row r="218" spans="1:10" ht="18" customHeight="1">
      <c r="A218" s="212">
        <v>42595</v>
      </c>
      <c r="B218" s="214" t="s">
        <v>163</v>
      </c>
      <c r="C218" s="221">
        <v>300008839381</v>
      </c>
      <c r="D218" s="189" t="s">
        <v>190</v>
      </c>
      <c r="E218" s="189">
        <v>32</v>
      </c>
      <c r="F218" s="189">
        <v>5739</v>
      </c>
      <c r="G218" s="189">
        <v>32</v>
      </c>
      <c r="H218" s="189">
        <v>13</v>
      </c>
      <c r="I218" s="189">
        <v>93314.4</v>
      </c>
      <c r="J218" s="189">
        <v>1.39</v>
      </c>
    </row>
    <row r="219" spans="1:10" ht="18" customHeight="1">
      <c r="A219" s="212">
        <v>42595</v>
      </c>
      <c r="B219" s="214" t="s">
        <v>163</v>
      </c>
      <c r="C219" s="221">
        <v>300009003496</v>
      </c>
      <c r="D219" s="189" t="s">
        <v>240</v>
      </c>
      <c r="E219" s="189">
        <v>17</v>
      </c>
      <c r="F219" s="189">
        <v>2642</v>
      </c>
      <c r="G219" s="189">
        <v>17</v>
      </c>
      <c r="H219" s="189">
        <v>5</v>
      </c>
      <c r="I219" s="189">
        <v>40903.07</v>
      </c>
      <c r="J219" s="189">
        <v>1.22</v>
      </c>
    </row>
    <row r="220" spans="1:10" ht="18" customHeight="1">
      <c r="A220" s="212">
        <v>42595</v>
      </c>
      <c r="B220" s="214" t="s">
        <v>163</v>
      </c>
      <c r="C220" s="221">
        <v>300008875665</v>
      </c>
      <c r="D220" s="189" t="s">
        <v>189</v>
      </c>
      <c r="E220" s="189">
        <v>12</v>
      </c>
      <c r="F220" s="189">
        <v>2015</v>
      </c>
      <c r="G220" s="189">
        <v>12</v>
      </c>
      <c r="H220" s="189">
        <v>9</v>
      </c>
      <c r="I220" s="189">
        <v>43519.34</v>
      </c>
      <c r="J220" s="189">
        <v>2.0699999999999998</v>
      </c>
    </row>
    <row r="221" spans="1:10" ht="18" customHeight="1">
      <c r="A221" s="212">
        <v>42595</v>
      </c>
      <c r="B221" s="214" t="s">
        <v>163</v>
      </c>
      <c r="C221" s="221">
        <v>300009000071</v>
      </c>
      <c r="D221" s="189" t="s">
        <v>192</v>
      </c>
      <c r="E221" s="189">
        <v>3</v>
      </c>
      <c r="F221" s="189">
        <v>1328</v>
      </c>
      <c r="G221" s="189">
        <v>3</v>
      </c>
      <c r="H221" s="189">
        <v>0</v>
      </c>
      <c r="I221" s="189">
        <v>18456.43</v>
      </c>
      <c r="J221" s="189">
        <v>0</v>
      </c>
    </row>
    <row r="222" spans="1:10" ht="18" customHeight="1">
      <c r="A222" s="212">
        <v>42595</v>
      </c>
      <c r="B222" s="214" t="s">
        <v>163</v>
      </c>
      <c r="C222" s="221">
        <v>300008579657</v>
      </c>
      <c r="D222" s="189" t="s">
        <v>188</v>
      </c>
      <c r="E222" s="189">
        <v>6</v>
      </c>
      <c r="F222" s="189">
        <v>1319</v>
      </c>
      <c r="G222" s="189">
        <v>6</v>
      </c>
      <c r="H222" s="189">
        <v>4</v>
      </c>
      <c r="I222" s="189">
        <v>19512.400000000001</v>
      </c>
      <c r="J222" s="189">
        <v>2.0499999999999998</v>
      </c>
    </row>
    <row r="223" spans="1:10" ht="18" customHeight="1">
      <c r="A223" s="212">
        <v>42595</v>
      </c>
      <c r="B223" s="214" t="s">
        <v>163</v>
      </c>
      <c r="C223" s="221">
        <v>300009235974</v>
      </c>
      <c r="D223" s="189" t="s">
        <v>187</v>
      </c>
      <c r="E223" s="189">
        <v>1</v>
      </c>
      <c r="F223" s="189">
        <v>853</v>
      </c>
      <c r="G223" s="189">
        <v>1</v>
      </c>
      <c r="H223" s="189">
        <v>0</v>
      </c>
      <c r="I223" s="189">
        <v>16135.3</v>
      </c>
      <c r="J223" s="189">
        <v>0</v>
      </c>
    </row>
    <row r="224" spans="1:10" ht="18" customHeight="1">
      <c r="A224" s="212">
        <v>42595</v>
      </c>
      <c r="B224" s="214" t="s">
        <v>163</v>
      </c>
      <c r="C224" s="221">
        <v>300009000261</v>
      </c>
      <c r="D224" s="189" t="s">
        <v>191</v>
      </c>
      <c r="E224" s="189">
        <v>1</v>
      </c>
      <c r="F224" s="189" t="s">
        <v>242</v>
      </c>
      <c r="G224" s="189">
        <v>1</v>
      </c>
      <c r="H224" s="189">
        <v>0</v>
      </c>
      <c r="I224" s="189">
        <v>0</v>
      </c>
      <c r="J224" s="189">
        <v>0</v>
      </c>
    </row>
    <row r="225" spans="1:10" ht="18" customHeight="1">
      <c r="A225" s="212">
        <v>42595</v>
      </c>
      <c r="B225" s="214" t="s">
        <v>169</v>
      </c>
      <c r="C225" s="222">
        <v>300009290321</v>
      </c>
      <c r="D225" s="190" t="s">
        <v>194</v>
      </c>
      <c r="E225" s="190">
        <v>9</v>
      </c>
      <c r="F225" s="190">
        <v>2165</v>
      </c>
      <c r="G225" s="190">
        <v>9</v>
      </c>
      <c r="H225" s="190">
        <v>5</v>
      </c>
      <c r="I225" s="190">
        <v>47674.1</v>
      </c>
      <c r="J225" s="190">
        <v>1.05</v>
      </c>
    </row>
    <row r="226" spans="1:10" ht="18" customHeight="1">
      <c r="A226" s="212">
        <v>42595</v>
      </c>
      <c r="B226" s="214" t="s">
        <v>245</v>
      </c>
      <c r="C226" s="222">
        <v>300009480238</v>
      </c>
      <c r="D226" s="190" t="s">
        <v>263</v>
      </c>
      <c r="E226" s="190">
        <v>7</v>
      </c>
      <c r="F226" s="190">
        <v>1099</v>
      </c>
      <c r="G226" s="190">
        <v>7</v>
      </c>
      <c r="H226" s="190">
        <v>6</v>
      </c>
      <c r="I226" s="190">
        <v>25688.1</v>
      </c>
      <c r="J226" s="190">
        <v>2.34</v>
      </c>
    </row>
    <row r="227" spans="1:10" ht="18" customHeight="1">
      <c r="A227" s="212">
        <v>42596</v>
      </c>
      <c r="B227" s="214" t="s">
        <v>167</v>
      </c>
      <c r="C227" s="221">
        <v>300009406201</v>
      </c>
      <c r="D227" s="189" t="s">
        <v>234</v>
      </c>
      <c r="E227" s="189">
        <v>33</v>
      </c>
      <c r="F227" s="189">
        <v>3523</v>
      </c>
      <c r="G227" s="189">
        <v>33</v>
      </c>
      <c r="H227" s="189">
        <v>11</v>
      </c>
      <c r="I227" s="189">
        <v>56207.9</v>
      </c>
      <c r="J227" s="189">
        <v>1.96</v>
      </c>
    </row>
    <row r="228" spans="1:10" ht="18" customHeight="1">
      <c r="A228" s="212">
        <v>42596</v>
      </c>
      <c r="B228" s="214" t="s">
        <v>167</v>
      </c>
      <c r="C228" s="221">
        <v>300009374215</v>
      </c>
      <c r="D228" s="189" t="s">
        <v>236</v>
      </c>
      <c r="E228" s="189">
        <v>19</v>
      </c>
      <c r="F228" s="189">
        <v>2768</v>
      </c>
      <c r="G228" s="189">
        <v>19</v>
      </c>
      <c r="H228" s="189">
        <v>12</v>
      </c>
      <c r="I228" s="189">
        <v>64694.6</v>
      </c>
      <c r="J228" s="189">
        <v>1.85</v>
      </c>
    </row>
    <row r="229" spans="1:10" ht="18" customHeight="1">
      <c r="A229" s="212">
        <v>42596</v>
      </c>
      <c r="B229" s="214" t="s">
        <v>167</v>
      </c>
      <c r="C229" s="221">
        <v>300009406202</v>
      </c>
      <c r="D229" s="189" t="s">
        <v>232</v>
      </c>
      <c r="E229" s="189">
        <v>28</v>
      </c>
      <c r="F229" s="189">
        <v>2489</v>
      </c>
      <c r="G229" s="189">
        <v>28</v>
      </c>
      <c r="H229" s="189">
        <v>11</v>
      </c>
      <c r="I229" s="189">
        <v>40647.9</v>
      </c>
      <c r="J229" s="189">
        <v>2.71</v>
      </c>
    </row>
    <row r="230" spans="1:10" ht="18" customHeight="1">
      <c r="A230" s="212">
        <v>42596</v>
      </c>
      <c r="B230" s="214" t="s">
        <v>167</v>
      </c>
      <c r="C230" s="221">
        <v>300009374212</v>
      </c>
      <c r="D230" s="189" t="s">
        <v>235</v>
      </c>
      <c r="E230" s="189">
        <v>2</v>
      </c>
      <c r="F230" s="189">
        <v>662</v>
      </c>
      <c r="G230" s="189">
        <v>2</v>
      </c>
      <c r="H230" s="189">
        <v>2</v>
      </c>
      <c r="I230" s="189">
        <v>15106.5</v>
      </c>
      <c r="J230" s="189">
        <v>1.32</v>
      </c>
    </row>
    <row r="231" spans="1:10" ht="18" customHeight="1">
      <c r="A231" s="212">
        <v>42596</v>
      </c>
      <c r="B231" s="214" t="s">
        <v>167</v>
      </c>
      <c r="C231" s="221">
        <v>300009184067</v>
      </c>
      <c r="D231" s="189" t="s">
        <v>233</v>
      </c>
      <c r="E231" s="189">
        <v>3</v>
      </c>
      <c r="F231" s="189">
        <v>434</v>
      </c>
      <c r="G231" s="189">
        <v>3</v>
      </c>
      <c r="H231" s="189">
        <v>0</v>
      </c>
      <c r="I231" s="189">
        <v>6459.4</v>
      </c>
      <c r="J231" s="189">
        <v>0</v>
      </c>
    </row>
    <row r="232" spans="1:10" ht="18" customHeight="1">
      <c r="A232" s="212">
        <v>42596</v>
      </c>
      <c r="B232" s="214" t="s">
        <v>167</v>
      </c>
      <c r="C232" s="221">
        <v>300009185572</v>
      </c>
      <c r="D232" s="189" t="s">
        <v>237</v>
      </c>
      <c r="E232" s="189">
        <v>11</v>
      </c>
      <c r="F232" s="189">
        <v>423</v>
      </c>
      <c r="G232" s="189">
        <v>11</v>
      </c>
      <c r="H232" s="189">
        <v>5</v>
      </c>
      <c r="I232" s="189">
        <v>5835.4</v>
      </c>
      <c r="J232" s="189">
        <v>5</v>
      </c>
    </row>
    <row r="233" spans="1:10" ht="18" customHeight="1">
      <c r="A233" s="212">
        <v>42596</v>
      </c>
      <c r="B233" s="214" t="s">
        <v>168</v>
      </c>
      <c r="C233" s="222">
        <v>300008823388</v>
      </c>
      <c r="D233" s="190" t="s">
        <v>231</v>
      </c>
      <c r="E233" s="190">
        <v>26</v>
      </c>
      <c r="F233" s="190">
        <v>5895</v>
      </c>
      <c r="G233" s="190">
        <v>26</v>
      </c>
      <c r="H233" s="190">
        <v>15</v>
      </c>
      <c r="I233" s="190">
        <v>112608.11</v>
      </c>
      <c r="J233" s="190">
        <v>1.33</v>
      </c>
    </row>
    <row r="234" spans="1:10" ht="18" customHeight="1">
      <c r="A234" s="212">
        <v>42596</v>
      </c>
      <c r="B234" s="214" t="s">
        <v>244</v>
      </c>
      <c r="C234" s="223">
        <v>300009358277</v>
      </c>
      <c r="D234" s="217" t="s">
        <v>266</v>
      </c>
      <c r="E234" s="217">
        <v>463</v>
      </c>
      <c r="F234" s="217">
        <v>56696</v>
      </c>
      <c r="G234" s="217">
        <v>81.66</v>
      </c>
      <c r="H234" s="217">
        <v>299</v>
      </c>
      <c r="I234" s="217">
        <v>929915.17</v>
      </c>
      <c r="J234" s="217">
        <v>3.22</v>
      </c>
    </row>
    <row r="235" spans="1:10" ht="18" customHeight="1">
      <c r="A235" s="212">
        <v>42596</v>
      </c>
      <c r="B235" s="213" t="s">
        <v>166</v>
      </c>
      <c r="C235" s="222">
        <v>300009192151</v>
      </c>
      <c r="D235" s="190" t="s">
        <v>230</v>
      </c>
      <c r="E235" s="190">
        <v>27</v>
      </c>
      <c r="F235" s="190">
        <v>5983</v>
      </c>
      <c r="G235" s="190">
        <v>27</v>
      </c>
      <c r="H235" s="190">
        <v>17</v>
      </c>
      <c r="I235" s="190">
        <v>104974</v>
      </c>
      <c r="J235" s="190">
        <v>1.62</v>
      </c>
    </row>
    <row r="236" spans="1:10" ht="18" customHeight="1">
      <c r="A236" s="212">
        <v>42596</v>
      </c>
      <c r="B236" s="214" t="s">
        <v>163</v>
      </c>
      <c r="C236" s="221">
        <v>300008839381</v>
      </c>
      <c r="D236" s="189" t="s">
        <v>190</v>
      </c>
      <c r="E236" s="189">
        <v>33</v>
      </c>
      <c r="F236" s="189">
        <v>5739</v>
      </c>
      <c r="G236" s="189">
        <v>33</v>
      </c>
      <c r="H236" s="189">
        <v>13</v>
      </c>
      <c r="I236" s="189">
        <v>93314.4</v>
      </c>
      <c r="J236" s="189">
        <v>1.39</v>
      </c>
    </row>
    <row r="237" spans="1:10" ht="18" customHeight="1">
      <c r="A237" s="212">
        <v>42596</v>
      </c>
      <c r="B237" s="214" t="s">
        <v>163</v>
      </c>
      <c r="C237" s="221">
        <v>300009003496</v>
      </c>
      <c r="D237" s="189" t="s">
        <v>240</v>
      </c>
      <c r="E237" s="189">
        <v>17</v>
      </c>
      <c r="F237" s="189">
        <v>2918</v>
      </c>
      <c r="G237" s="189">
        <v>17</v>
      </c>
      <c r="H237" s="189">
        <v>5</v>
      </c>
      <c r="I237" s="189">
        <v>45426.45</v>
      </c>
      <c r="J237" s="189">
        <v>1.1000000000000001</v>
      </c>
    </row>
    <row r="238" spans="1:10" ht="18" customHeight="1">
      <c r="A238" s="212">
        <v>42596</v>
      </c>
      <c r="B238" s="214" t="s">
        <v>163</v>
      </c>
      <c r="C238" s="221">
        <v>300008875665</v>
      </c>
      <c r="D238" s="189" t="s">
        <v>189</v>
      </c>
      <c r="E238" s="189">
        <v>13</v>
      </c>
      <c r="F238" s="189">
        <v>2244</v>
      </c>
      <c r="G238" s="189">
        <v>13</v>
      </c>
      <c r="H238" s="189">
        <v>10</v>
      </c>
      <c r="I238" s="189">
        <v>47994.76</v>
      </c>
      <c r="J238" s="189">
        <v>2.08</v>
      </c>
    </row>
    <row r="239" spans="1:10" ht="18" customHeight="1">
      <c r="A239" s="212">
        <v>42596</v>
      </c>
      <c r="B239" s="214" t="s">
        <v>163</v>
      </c>
      <c r="C239" s="221">
        <v>300009000071</v>
      </c>
      <c r="D239" s="189" t="s">
        <v>192</v>
      </c>
      <c r="E239" s="189">
        <v>4</v>
      </c>
      <c r="F239" s="189">
        <v>1709</v>
      </c>
      <c r="G239" s="189">
        <v>4</v>
      </c>
      <c r="H239" s="189">
        <v>1</v>
      </c>
      <c r="I239" s="189">
        <v>23714.69</v>
      </c>
      <c r="J239" s="189">
        <v>0.42</v>
      </c>
    </row>
    <row r="240" spans="1:10" ht="18" customHeight="1">
      <c r="A240" s="212">
        <v>42596</v>
      </c>
      <c r="B240" s="214" t="s">
        <v>163</v>
      </c>
      <c r="C240" s="221">
        <v>300008579657</v>
      </c>
      <c r="D240" s="189" t="s">
        <v>188</v>
      </c>
      <c r="E240" s="189">
        <v>9</v>
      </c>
      <c r="F240" s="189">
        <v>1698</v>
      </c>
      <c r="G240" s="189">
        <v>9</v>
      </c>
      <c r="H240" s="189">
        <v>6</v>
      </c>
      <c r="I240" s="189">
        <v>25357.16</v>
      </c>
      <c r="J240" s="189">
        <v>2.37</v>
      </c>
    </row>
    <row r="241" spans="1:10" ht="18" customHeight="1">
      <c r="A241" s="212">
        <v>42596</v>
      </c>
      <c r="B241" s="214" t="s">
        <v>163</v>
      </c>
      <c r="C241" s="221">
        <v>300009235974</v>
      </c>
      <c r="D241" s="189" t="s">
        <v>187</v>
      </c>
      <c r="E241" s="189">
        <v>4</v>
      </c>
      <c r="F241" s="189">
        <v>1167</v>
      </c>
      <c r="G241" s="189">
        <v>4</v>
      </c>
      <c r="H241" s="189">
        <v>2</v>
      </c>
      <c r="I241" s="189">
        <v>22313.4</v>
      </c>
      <c r="J241" s="189">
        <v>0.9</v>
      </c>
    </row>
    <row r="242" spans="1:10" ht="18" customHeight="1">
      <c r="A242" s="212">
        <v>42596</v>
      </c>
      <c r="B242" s="214" t="s">
        <v>163</v>
      </c>
      <c r="C242" s="221">
        <v>300009000261</v>
      </c>
      <c r="D242" s="189" t="s">
        <v>191</v>
      </c>
      <c r="E242" s="189">
        <v>1</v>
      </c>
      <c r="F242" s="189" t="s">
        <v>242</v>
      </c>
      <c r="G242" s="189">
        <v>1</v>
      </c>
      <c r="H242" s="189">
        <v>0</v>
      </c>
      <c r="I242" s="189">
        <v>0</v>
      </c>
      <c r="J242" s="189">
        <v>0</v>
      </c>
    </row>
    <row r="243" spans="1:10" ht="18" customHeight="1">
      <c r="A243" s="212">
        <v>42596</v>
      </c>
      <c r="B243" s="214" t="s">
        <v>169</v>
      </c>
      <c r="C243" s="222">
        <v>300009290321</v>
      </c>
      <c r="D243" s="190" t="s">
        <v>194</v>
      </c>
      <c r="E243" s="190">
        <v>12</v>
      </c>
      <c r="F243" s="190">
        <v>2376</v>
      </c>
      <c r="G243" s="190">
        <v>12</v>
      </c>
      <c r="H243" s="190">
        <v>7</v>
      </c>
      <c r="I243" s="190">
        <v>51907.3</v>
      </c>
      <c r="J243" s="190">
        <v>1.35</v>
      </c>
    </row>
    <row r="244" spans="1:10" ht="18" customHeight="1">
      <c r="A244" s="212">
        <v>42596</v>
      </c>
      <c r="B244" s="214" t="s">
        <v>245</v>
      </c>
      <c r="C244" s="222">
        <v>300009480238</v>
      </c>
      <c r="D244" s="190" t="s">
        <v>263</v>
      </c>
      <c r="E244" s="190">
        <v>8</v>
      </c>
      <c r="F244" s="190">
        <v>1264</v>
      </c>
      <c r="G244" s="190">
        <v>8</v>
      </c>
      <c r="H244" s="190">
        <v>7</v>
      </c>
      <c r="I244" s="190">
        <v>30218.3</v>
      </c>
      <c r="J244" s="190">
        <v>2.3199999999999998</v>
      </c>
    </row>
    <row r="245" spans="1:10" ht="18" customHeight="1">
      <c r="A245" s="212">
        <v>42597</v>
      </c>
      <c r="B245" s="214" t="s">
        <v>167</v>
      </c>
      <c r="C245" s="221">
        <v>300009406201</v>
      </c>
      <c r="D245" s="189" t="s">
        <v>234</v>
      </c>
      <c r="E245" s="189">
        <v>33</v>
      </c>
      <c r="F245" s="189">
        <v>3523</v>
      </c>
      <c r="G245" s="189">
        <v>33</v>
      </c>
      <c r="H245" s="189">
        <v>11</v>
      </c>
      <c r="I245" s="189">
        <v>56207.9</v>
      </c>
      <c r="J245" s="189">
        <v>1.96</v>
      </c>
    </row>
    <row r="246" spans="1:10" ht="18" customHeight="1">
      <c r="A246" s="212">
        <v>42597</v>
      </c>
      <c r="B246" s="214" t="s">
        <v>167</v>
      </c>
      <c r="C246" s="221">
        <v>300009374215</v>
      </c>
      <c r="D246" s="189" t="s">
        <v>236</v>
      </c>
      <c r="E246" s="189">
        <v>20</v>
      </c>
      <c r="F246" s="189">
        <v>2795</v>
      </c>
      <c r="G246" s="189">
        <v>20</v>
      </c>
      <c r="H246" s="189">
        <v>13</v>
      </c>
      <c r="I246" s="189">
        <v>65243</v>
      </c>
      <c r="J246" s="189">
        <v>1.99</v>
      </c>
    </row>
    <row r="247" spans="1:10" ht="18" customHeight="1">
      <c r="A247" s="212">
        <v>42597</v>
      </c>
      <c r="B247" s="214" t="s">
        <v>167</v>
      </c>
      <c r="C247" s="221">
        <v>300009406202</v>
      </c>
      <c r="D247" s="189" t="s">
        <v>232</v>
      </c>
      <c r="E247" s="189">
        <v>33</v>
      </c>
      <c r="F247" s="189">
        <v>2549</v>
      </c>
      <c r="G247" s="189">
        <v>33</v>
      </c>
      <c r="H247" s="189">
        <v>14</v>
      </c>
      <c r="I247" s="189">
        <v>41741.599999999999</v>
      </c>
      <c r="J247" s="189">
        <v>3.35</v>
      </c>
    </row>
    <row r="248" spans="1:10" ht="18" customHeight="1">
      <c r="A248" s="212">
        <v>42597</v>
      </c>
      <c r="B248" s="214" t="s">
        <v>167</v>
      </c>
      <c r="C248" s="221">
        <v>300009374212</v>
      </c>
      <c r="D248" s="189" t="s">
        <v>235</v>
      </c>
      <c r="E248" s="189">
        <v>2</v>
      </c>
      <c r="F248" s="189">
        <v>747</v>
      </c>
      <c r="G248" s="189">
        <v>2</v>
      </c>
      <c r="H248" s="189">
        <v>2</v>
      </c>
      <c r="I248" s="189">
        <v>16564</v>
      </c>
      <c r="J248" s="189">
        <v>1.21</v>
      </c>
    </row>
    <row r="249" spans="1:10" ht="18" customHeight="1">
      <c r="A249" s="212">
        <v>42597</v>
      </c>
      <c r="B249" s="214" t="s">
        <v>167</v>
      </c>
      <c r="C249" s="221">
        <v>300009184067</v>
      </c>
      <c r="D249" s="189" t="s">
        <v>233</v>
      </c>
      <c r="E249" s="189">
        <v>4</v>
      </c>
      <c r="F249" s="189">
        <v>507</v>
      </c>
      <c r="G249" s="189">
        <v>4</v>
      </c>
      <c r="H249" s="189">
        <v>1</v>
      </c>
      <c r="I249" s="189">
        <v>7698.5</v>
      </c>
      <c r="J249" s="189">
        <v>1</v>
      </c>
    </row>
    <row r="250" spans="1:10" ht="18" customHeight="1">
      <c r="A250" s="212">
        <v>42597</v>
      </c>
      <c r="B250" s="214" t="s">
        <v>167</v>
      </c>
      <c r="C250" s="221">
        <v>300009185572</v>
      </c>
      <c r="D250" s="189" t="s">
        <v>237</v>
      </c>
      <c r="E250" s="189">
        <v>12</v>
      </c>
      <c r="F250" s="189">
        <v>470</v>
      </c>
      <c r="G250" s="189">
        <v>12</v>
      </c>
      <c r="H250" s="189">
        <v>5</v>
      </c>
      <c r="I250" s="189">
        <v>6421.9</v>
      </c>
      <c r="J250" s="189">
        <v>5</v>
      </c>
    </row>
    <row r="251" spans="1:10" ht="18" customHeight="1">
      <c r="A251" s="212">
        <v>42597</v>
      </c>
      <c r="B251" s="214" t="s">
        <v>168</v>
      </c>
      <c r="C251" s="222">
        <v>300008823388</v>
      </c>
      <c r="D251" s="190" t="s">
        <v>231</v>
      </c>
      <c r="E251" s="190">
        <v>26</v>
      </c>
      <c r="F251" s="190">
        <v>6155</v>
      </c>
      <c r="G251" s="190">
        <v>26</v>
      </c>
      <c r="H251" s="190">
        <v>15</v>
      </c>
      <c r="I251" s="190">
        <v>117607.4</v>
      </c>
      <c r="J251" s="190">
        <v>1.28</v>
      </c>
    </row>
    <row r="252" spans="1:10" ht="18" customHeight="1">
      <c r="A252" s="212">
        <v>42597</v>
      </c>
      <c r="B252" s="214" t="s">
        <v>244</v>
      </c>
      <c r="C252" s="223">
        <v>300009358277</v>
      </c>
      <c r="D252" s="217" t="s">
        <v>266</v>
      </c>
      <c r="E252" s="217">
        <v>455</v>
      </c>
      <c r="F252" s="217">
        <v>54740</v>
      </c>
      <c r="G252" s="217">
        <v>83.12</v>
      </c>
      <c r="H252" s="217">
        <v>294</v>
      </c>
      <c r="I252" s="217">
        <v>905256.67</v>
      </c>
      <c r="J252" s="217">
        <v>3.25</v>
      </c>
    </row>
    <row r="253" spans="1:10" ht="18" customHeight="1">
      <c r="A253" s="212">
        <v>42597</v>
      </c>
      <c r="B253" s="213" t="s">
        <v>166</v>
      </c>
      <c r="C253" s="222">
        <v>300009192151</v>
      </c>
      <c r="D253" s="190" t="s">
        <v>230</v>
      </c>
      <c r="E253" s="190">
        <v>29</v>
      </c>
      <c r="F253" s="190">
        <v>6198</v>
      </c>
      <c r="G253" s="190">
        <v>29</v>
      </c>
      <c r="H253" s="190">
        <v>17</v>
      </c>
      <c r="I253" s="190">
        <v>108459.8</v>
      </c>
      <c r="J253" s="190">
        <v>1.57</v>
      </c>
    </row>
    <row r="254" spans="1:10" ht="18" customHeight="1">
      <c r="A254" s="212">
        <v>42597</v>
      </c>
      <c r="B254" s="214" t="s">
        <v>163</v>
      </c>
      <c r="C254" s="221">
        <v>300008839381</v>
      </c>
      <c r="D254" s="189" t="s">
        <v>190</v>
      </c>
      <c r="E254" s="189">
        <v>33</v>
      </c>
      <c r="F254" s="189">
        <v>5739</v>
      </c>
      <c r="G254" s="189">
        <v>33</v>
      </c>
      <c r="H254" s="189">
        <v>13</v>
      </c>
      <c r="I254" s="189">
        <v>93314.4</v>
      </c>
      <c r="J254" s="189">
        <v>1.39</v>
      </c>
    </row>
    <row r="255" spans="1:10" ht="18" customHeight="1">
      <c r="A255" s="212">
        <v>42597</v>
      </c>
      <c r="B255" s="214" t="s">
        <v>163</v>
      </c>
      <c r="C255" s="221">
        <v>300009003496</v>
      </c>
      <c r="D255" s="189" t="s">
        <v>240</v>
      </c>
      <c r="E255" s="189">
        <v>18</v>
      </c>
      <c r="F255" s="189">
        <v>3203</v>
      </c>
      <c r="G255" s="189">
        <v>18</v>
      </c>
      <c r="H255" s="189">
        <v>5</v>
      </c>
      <c r="I255" s="189">
        <v>50065.9</v>
      </c>
      <c r="J255" s="189">
        <v>1</v>
      </c>
    </row>
    <row r="256" spans="1:10" ht="18" customHeight="1">
      <c r="A256" s="212">
        <v>42597</v>
      </c>
      <c r="B256" s="214" t="s">
        <v>163</v>
      </c>
      <c r="C256" s="221">
        <v>300008875665</v>
      </c>
      <c r="D256" s="189" t="s">
        <v>189</v>
      </c>
      <c r="E256" s="189">
        <v>13</v>
      </c>
      <c r="F256" s="189">
        <v>2406</v>
      </c>
      <c r="G256" s="189">
        <v>13</v>
      </c>
      <c r="H256" s="189">
        <v>10</v>
      </c>
      <c r="I256" s="189">
        <v>51151.88</v>
      </c>
      <c r="J256" s="189">
        <v>1.95</v>
      </c>
    </row>
    <row r="257" spans="1:10" ht="18" customHeight="1">
      <c r="A257" s="212">
        <v>42597</v>
      </c>
      <c r="B257" s="214" t="s">
        <v>163</v>
      </c>
      <c r="C257" s="221">
        <v>300009000071</v>
      </c>
      <c r="D257" s="189" t="s">
        <v>192</v>
      </c>
      <c r="E257" s="189">
        <v>6</v>
      </c>
      <c r="F257" s="189">
        <v>2017</v>
      </c>
      <c r="G257" s="189">
        <v>6</v>
      </c>
      <c r="H257" s="189">
        <v>3</v>
      </c>
      <c r="I257" s="189">
        <v>28452.67</v>
      </c>
      <c r="J257" s="189">
        <v>1.05</v>
      </c>
    </row>
    <row r="258" spans="1:10" ht="18" customHeight="1">
      <c r="A258" s="212">
        <v>42597</v>
      </c>
      <c r="B258" s="214" t="s">
        <v>163</v>
      </c>
      <c r="C258" s="221">
        <v>300008579657</v>
      </c>
      <c r="D258" s="189" t="s">
        <v>188</v>
      </c>
      <c r="E258" s="189">
        <v>11</v>
      </c>
      <c r="F258" s="189">
        <v>1948</v>
      </c>
      <c r="G258" s="189">
        <v>11</v>
      </c>
      <c r="H258" s="189">
        <v>7</v>
      </c>
      <c r="I258" s="189">
        <v>29093.599999999999</v>
      </c>
      <c r="J258" s="189">
        <v>2.41</v>
      </c>
    </row>
    <row r="259" spans="1:10" ht="18" customHeight="1">
      <c r="A259" s="212">
        <v>42597</v>
      </c>
      <c r="B259" s="214" t="s">
        <v>163</v>
      </c>
      <c r="C259" s="221">
        <v>300009235974</v>
      </c>
      <c r="D259" s="189" t="s">
        <v>187</v>
      </c>
      <c r="E259" s="189">
        <v>5</v>
      </c>
      <c r="F259" s="189">
        <v>1404</v>
      </c>
      <c r="G259" s="189">
        <v>5</v>
      </c>
      <c r="H259" s="189">
        <v>2</v>
      </c>
      <c r="I259" s="189">
        <v>26870</v>
      </c>
      <c r="J259" s="189">
        <v>0.74</v>
      </c>
    </row>
    <row r="260" spans="1:10" ht="18" customHeight="1">
      <c r="A260" s="212">
        <v>42597</v>
      </c>
      <c r="B260" s="214" t="s">
        <v>163</v>
      </c>
      <c r="C260" s="221">
        <v>300009235971</v>
      </c>
      <c r="D260" s="189" t="s">
        <v>241</v>
      </c>
      <c r="E260" s="189">
        <v>1</v>
      </c>
      <c r="F260" s="189">
        <v>151</v>
      </c>
      <c r="G260" s="189">
        <v>1</v>
      </c>
      <c r="H260" s="189">
        <v>0</v>
      </c>
      <c r="I260" s="189">
        <v>2293.9</v>
      </c>
      <c r="J260" s="189">
        <v>0</v>
      </c>
    </row>
    <row r="261" spans="1:10" ht="18" customHeight="1">
      <c r="A261" s="212">
        <v>42597</v>
      </c>
      <c r="B261" s="214" t="s">
        <v>163</v>
      </c>
      <c r="C261" s="221">
        <v>300009000261</v>
      </c>
      <c r="D261" s="189" t="s">
        <v>191</v>
      </c>
      <c r="E261" s="189">
        <v>1</v>
      </c>
      <c r="F261" s="189" t="s">
        <v>242</v>
      </c>
      <c r="G261" s="189">
        <v>1</v>
      </c>
      <c r="H261" s="189">
        <v>0</v>
      </c>
      <c r="I261" s="189">
        <v>0</v>
      </c>
      <c r="J261" s="189">
        <v>0</v>
      </c>
    </row>
    <row r="262" spans="1:10" ht="18" customHeight="1">
      <c r="A262" s="212">
        <v>42597</v>
      </c>
      <c r="B262" s="214" t="s">
        <v>169</v>
      </c>
      <c r="C262" s="222">
        <v>300009290321</v>
      </c>
      <c r="D262" s="190" t="s">
        <v>194</v>
      </c>
      <c r="E262" s="190">
        <v>12</v>
      </c>
      <c r="F262" s="190">
        <v>2541</v>
      </c>
      <c r="G262" s="190">
        <v>12</v>
      </c>
      <c r="H262" s="190">
        <v>7</v>
      </c>
      <c r="I262" s="190">
        <v>55041.4</v>
      </c>
      <c r="J262" s="190">
        <v>1.27</v>
      </c>
    </row>
    <row r="263" spans="1:10" ht="18" customHeight="1">
      <c r="A263" s="212">
        <v>42597</v>
      </c>
      <c r="B263" s="214" t="s">
        <v>245</v>
      </c>
      <c r="C263" s="222">
        <v>300009480238</v>
      </c>
      <c r="D263" s="190" t="s">
        <v>263</v>
      </c>
      <c r="E263" s="190">
        <v>8</v>
      </c>
      <c r="F263" s="190">
        <v>1424</v>
      </c>
      <c r="G263" s="190">
        <v>8</v>
      </c>
      <c r="H263" s="190">
        <v>7</v>
      </c>
      <c r="I263" s="190">
        <v>34271.800000000003</v>
      </c>
      <c r="J263" s="190">
        <v>2.04</v>
      </c>
    </row>
    <row r="264" spans="1:10" ht="18" customHeight="1">
      <c r="A264" s="212">
        <v>42598</v>
      </c>
      <c r="B264" s="214" t="s">
        <v>288</v>
      </c>
      <c r="C264" s="221">
        <v>300008839381</v>
      </c>
      <c r="D264" s="189" t="s">
        <v>190</v>
      </c>
      <c r="E264" s="189">
        <v>33</v>
      </c>
      <c r="F264" s="189">
        <v>5739</v>
      </c>
      <c r="G264" s="189">
        <v>33</v>
      </c>
      <c r="H264" s="189">
        <v>13</v>
      </c>
      <c r="I264" s="189">
        <v>93314.4</v>
      </c>
      <c r="J264" s="189">
        <v>1.39</v>
      </c>
    </row>
    <row r="265" spans="1:10" ht="18" customHeight="1">
      <c r="A265" s="212">
        <v>42598</v>
      </c>
      <c r="B265" s="214" t="s">
        <v>288</v>
      </c>
      <c r="C265" s="221">
        <v>300009003496</v>
      </c>
      <c r="D265" s="189" t="s">
        <v>240</v>
      </c>
      <c r="E265" s="189">
        <v>22</v>
      </c>
      <c r="F265" s="189">
        <v>3620</v>
      </c>
      <c r="G265" s="189">
        <v>22</v>
      </c>
      <c r="H265" s="189">
        <v>7</v>
      </c>
      <c r="I265" s="189">
        <v>57038.59</v>
      </c>
      <c r="J265" s="189">
        <v>1.23</v>
      </c>
    </row>
    <row r="266" spans="1:10" ht="18" customHeight="1">
      <c r="A266" s="212">
        <v>42598</v>
      </c>
      <c r="B266" s="214" t="s">
        <v>288</v>
      </c>
      <c r="C266" s="221">
        <v>300008875665</v>
      </c>
      <c r="D266" s="189" t="s">
        <v>189</v>
      </c>
      <c r="E266" s="189">
        <v>14</v>
      </c>
      <c r="F266" s="189">
        <v>2582</v>
      </c>
      <c r="G266" s="189">
        <v>14</v>
      </c>
      <c r="H266" s="189">
        <v>11</v>
      </c>
      <c r="I266" s="189">
        <v>54320.9</v>
      </c>
      <c r="J266" s="189">
        <v>2.0299999999999998</v>
      </c>
    </row>
    <row r="267" spans="1:10" ht="18" customHeight="1">
      <c r="A267" s="212">
        <v>42598</v>
      </c>
      <c r="B267" s="214" t="s">
        <v>288</v>
      </c>
      <c r="C267" s="221">
        <v>300009000071</v>
      </c>
      <c r="D267" s="189" t="s">
        <v>192</v>
      </c>
      <c r="E267" s="189">
        <v>11</v>
      </c>
      <c r="F267" s="189">
        <v>2369</v>
      </c>
      <c r="G267" s="189">
        <v>11</v>
      </c>
      <c r="H267" s="189">
        <v>5</v>
      </c>
      <c r="I267" s="189">
        <v>33786.800000000003</v>
      </c>
      <c r="J267" s="189">
        <v>1.48</v>
      </c>
    </row>
    <row r="268" spans="1:10" ht="18" customHeight="1">
      <c r="A268" s="212">
        <v>42598</v>
      </c>
      <c r="B268" s="214" t="s">
        <v>288</v>
      </c>
      <c r="C268" s="221">
        <v>300008579657</v>
      </c>
      <c r="D268" s="189" t="s">
        <v>188</v>
      </c>
      <c r="E268" s="189">
        <v>14</v>
      </c>
      <c r="F268" s="189">
        <v>2255</v>
      </c>
      <c r="G268" s="189">
        <v>14</v>
      </c>
      <c r="H268" s="189">
        <v>8</v>
      </c>
      <c r="I268" s="189">
        <v>33738.1</v>
      </c>
      <c r="J268" s="189">
        <v>2.37</v>
      </c>
    </row>
    <row r="269" spans="1:10" ht="18" customHeight="1">
      <c r="A269" s="212">
        <v>42598</v>
      </c>
      <c r="B269" s="214" t="s">
        <v>288</v>
      </c>
      <c r="C269" s="221">
        <v>300009235974</v>
      </c>
      <c r="D269" s="189" t="s">
        <v>187</v>
      </c>
      <c r="E269" s="189">
        <v>9</v>
      </c>
      <c r="F269" s="189">
        <v>1640</v>
      </c>
      <c r="G269" s="189">
        <v>9</v>
      </c>
      <c r="H269" s="189">
        <v>5</v>
      </c>
      <c r="I269" s="189">
        <v>31672.7</v>
      </c>
      <c r="J269" s="189">
        <v>1.58</v>
      </c>
    </row>
    <row r="270" spans="1:10" ht="18" customHeight="1">
      <c r="A270" s="212">
        <v>42598</v>
      </c>
      <c r="B270" s="214" t="s">
        <v>288</v>
      </c>
      <c r="C270" s="221">
        <v>300009235971</v>
      </c>
      <c r="D270" s="189" t="s">
        <v>241</v>
      </c>
      <c r="E270" s="189">
        <v>2</v>
      </c>
      <c r="F270" s="189">
        <v>427</v>
      </c>
      <c r="G270" s="189">
        <v>2</v>
      </c>
      <c r="H270" s="189">
        <v>0</v>
      </c>
      <c r="I270" s="189">
        <v>6450.3</v>
      </c>
      <c r="J270" s="189">
        <v>0</v>
      </c>
    </row>
    <row r="271" spans="1:10" ht="18" customHeight="1">
      <c r="A271" s="212">
        <v>42598</v>
      </c>
      <c r="B271" s="214" t="s">
        <v>288</v>
      </c>
      <c r="C271" s="221">
        <v>300009000261</v>
      </c>
      <c r="D271" s="189" t="s">
        <v>191</v>
      </c>
      <c r="E271" s="189">
        <v>1</v>
      </c>
      <c r="F271" s="189" t="s">
        <v>242</v>
      </c>
      <c r="G271" s="189">
        <v>1</v>
      </c>
      <c r="H271" s="189">
        <v>0</v>
      </c>
      <c r="I271" s="189">
        <v>0</v>
      </c>
      <c r="J271" s="189">
        <v>0</v>
      </c>
    </row>
    <row r="272" spans="1:10" ht="18" customHeight="1">
      <c r="A272" s="212">
        <v>42599</v>
      </c>
      <c r="B272" s="214" t="s">
        <v>288</v>
      </c>
      <c r="C272" s="221">
        <v>300008839381</v>
      </c>
      <c r="D272" s="189" t="s">
        <v>190</v>
      </c>
      <c r="E272" s="189">
        <v>34</v>
      </c>
      <c r="F272" s="189">
        <v>5739</v>
      </c>
      <c r="G272" s="189">
        <v>34</v>
      </c>
      <c r="H272" s="189">
        <v>14</v>
      </c>
      <c r="I272" s="189">
        <v>93314.4</v>
      </c>
      <c r="J272" s="189">
        <v>1.5</v>
      </c>
    </row>
    <row r="273" spans="1:10" ht="18" customHeight="1">
      <c r="A273" s="212">
        <v>42599</v>
      </c>
      <c r="B273" s="214" t="s">
        <v>288</v>
      </c>
      <c r="C273" s="221">
        <v>300009003496</v>
      </c>
      <c r="D273" s="189" t="s">
        <v>240</v>
      </c>
      <c r="E273" s="189">
        <v>26</v>
      </c>
      <c r="F273" s="189">
        <v>4028</v>
      </c>
      <c r="G273" s="189">
        <v>26</v>
      </c>
      <c r="H273" s="189">
        <v>10</v>
      </c>
      <c r="I273" s="189">
        <v>63350.95</v>
      </c>
      <c r="J273" s="189">
        <v>1.58</v>
      </c>
    </row>
    <row r="274" spans="1:10" ht="18" customHeight="1">
      <c r="A274" s="212">
        <v>42599</v>
      </c>
      <c r="B274" s="214" t="s">
        <v>288</v>
      </c>
      <c r="C274" s="221">
        <v>300008875665</v>
      </c>
      <c r="D274" s="189" t="s">
        <v>189</v>
      </c>
      <c r="E274" s="189">
        <v>15</v>
      </c>
      <c r="F274" s="189">
        <v>2850</v>
      </c>
      <c r="G274" s="189">
        <v>15</v>
      </c>
      <c r="H274" s="189">
        <v>12</v>
      </c>
      <c r="I274" s="189">
        <v>60062.92</v>
      </c>
      <c r="J274" s="189">
        <v>2</v>
      </c>
    </row>
    <row r="275" spans="1:10" ht="18" customHeight="1">
      <c r="A275" s="212">
        <v>42599</v>
      </c>
      <c r="B275" s="214" t="s">
        <v>288</v>
      </c>
      <c r="C275" s="221">
        <v>300009000071</v>
      </c>
      <c r="D275" s="189" t="s">
        <v>192</v>
      </c>
      <c r="E275" s="189">
        <v>15</v>
      </c>
      <c r="F275" s="189">
        <v>2728</v>
      </c>
      <c r="G275" s="189">
        <v>15</v>
      </c>
      <c r="H275" s="189">
        <v>8</v>
      </c>
      <c r="I275" s="189">
        <v>38602.639999999999</v>
      </c>
      <c r="J275" s="189">
        <v>2.0699999999999998</v>
      </c>
    </row>
    <row r="276" spans="1:10" ht="18" customHeight="1">
      <c r="A276" s="212">
        <v>42599</v>
      </c>
      <c r="B276" s="214" t="s">
        <v>288</v>
      </c>
      <c r="C276" s="221">
        <v>300008579657</v>
      </c>
      <c r="D276" s="189" t="s">
        <v>188</v>
      </c>
      <c r="E276" s="189">
        <v>15</v>
      </c>
      <c r="F276" s="189">
        <v>2653</v>
      </c>
      <c r="G276" s="189">
        <v>15</v>
      </c>
      <c r="H276" s="189">
        <v>9</v>
      </c>
      <c r="I276" s="189">
        <v>39400.94</v>
      </c>
      <c r="J276" s="189">
        <v>2.2799999999999998</v>
      </c>
    </row>
    <row r="277" spans="1:10" ht="18" customHeight="1">
      <c r="A277" s="212">
        <v>42599</v>
      </c>
      <c r="B277" s="214" t="s">
        <v>288</v>
      </c>
      <c r="C277" s="221">
        <v>300009235974</v>
      </c>
      <c r="D277" s="189" t="s">
        <v>187</v>
      </c>
      <c r="E277" s="189">
        <v>9</v>
      </c>
      <c r="F277" s="189">
        <v>1945</v>
      </c>
      <c r="G277" s="189">
        <v>9</v>
      </c>
      <c r="H277" s="189">
        <v>6</v>
      </c>
      <c r="I277" s="189">
        <v>37952.300000000003</v>
      </c>
      <c r="J277" s="189">
        <v>1.58</v>
      </c>
    </row>
    <row r="278" spans="1:10" ht="18" customHeight="1">
      <c r="A278" s="212">
        <v>42599</v>
      </c>
      <c r="B278" s="214" t="s">
        <v>288</v>
      </c>
      <c r="C278" s="221">
        <v>300009235971</v>
      </c>
      <c r="D278" s="189" t="s">
        <v>241</v>
      </c>
      <c r="E278" s="189">
        <v>2</v>
      </c>
      <c r="F278" s="189">
        <v>729</v>
      </c>
      <c r="G278" s="189">
        <v>2</v>
      </c>
      <c r="H278" s="189">
        <v>0</v>
      </c>
      <c r="I278" s="189">
        <v>10735</v>
      </c>
      <c r="J278" s="189">
        <v>0</v>
      </c>
    </row>
    <row r="279" spans="1:10" ht="18" customHeight="1">
      <c r="A279" s="212">
        <v>42598</v>
      </c>
      <c r="B279" s="214" t="s">
        <v>289</v>
      </c>
      <c r="C279" s="222">
        <v>300009192151</v>
      </c>
      <c r="D279" s="190" t="s">
        <v>230</v>
      </c>
      <c r="E279" s="190">
        <v>29</v>
      </c>
      <c r="F279" s="190">
        <v>6472</v>
      </c>
      <c r="G279" s="190">
        <v>29</v>
      </c>
      <c r="H279" s="190">
        <v>17</v>
      </c>
      <c r="I279" s="190">
        <v>112837.5</v>
      </c>
      <c r="J279" s="190">
        <v>1.51</v>
      </c>
    </row>
    <row r="280" spans="1:10" ht="18" customHeight="1">
      <c r="A280" s="212">
        <v>42599</v>
      </c>
      <c r="B280" s="214" t="s">
        <v>289</v>
      </c>
      <c r="C280" s="222">
        <v>300009192151</v>
      </c>
      <c r="D280" s="190" t="s">
        <v>230</v>
      </c>
      <c r="E280" s="190">
        <v>30</v>
      </c>
      <c r="F280" s="190">
        <v>6740</v>
      </c>
      <c r="G280" s="190">
        <v>30</v>
      </c>
      <c r="H280" s="190">
        <v>18</v>
      </c>
      <c r="I280" s="190">
        <v>116524.6</v>
      </c>
      <c r="J280" s="190">
        <v>1.54</v>
      </c>
    </row>
    <row r="281" spans="1:10" ht="18" customHeight="1">
      <c r="A281" s="212">
        <v>42598</v>
      </c>
      <c r="B281" s="214" t="s">
        <v>290</v>
      </c>
      <c r="C281" s="221">
        <v>300009406201</v>
      </c>
      <c r="D281" s="189" t="s">
        <v>234</v>
      </c>
      <c r="E281" s="189">
        <v>34</v>
      </c>
      <c r="F281" s="189">
        <v>3523</v>
      </c>
      <c r="G281" s="189">
        <v>34</v>
      </c>
      <c r="H281" s="189">
        <v>12</v>
      </c>
      <c r="I281" s="189">
        <v>56207.9</v>
      </c>
      <c r="J281" s="189">
        <v>2.13</v>
      </c>
    </row>
    <row r="282" spans="1:10" ht="18" customHeight="1">
      <c r="A282" s="212">
        <v>42598</v>
      </c>
      <c r="B282" s="214" t="s">
        <v>290</v>
      </c>
      <c r="C282" s="221">
        <v>300009374215</v>
      </c>
      <c r="D282" s="189" t="s">
        <v>236</v>
      </c>
      <c r="E282" s="189">
        <v>22</v>
      </c>
      <c r="F282" s="189">
        <v>2855</v>
      </c>
      <c r="G282" s="189">
        <v>22</v>
      </c>
      <c r="H282" s="189">
        <v>14</v>
      </c>
      <c r="I282" s="189">
        <v>66466.600000000006</v>
      </c>
      <c r="J282" s="189">
        <v>2.11</v>
      </c>
    </row>
    <row r="283" spans="1:10" ht="18" customHeight="1">
      <c r="A283" s="212">
        <v>42598</v>
      </c>
      <c r="B283" s="214" t="s">
        <v>290</v>
      </c>
      <c r="C283" s="222">
        <v>300009406202</v>
      </c>
      <c r="D283" s="190" t="s">
        <v>232</v>
      </c>
      <c r="E283" s="190">
        <v>36</v>
      </c>
      <c r="F283" s="190">
        <v>2559</v>
      </c>
      <c r="G283" s="190">
        <v>36</v>
      </c>
      <c r="H283" s="190">
        <v>15</v>
      </c>
      <c r="I283" s="190">
        <v>41886.800000000003</v>
      </c>
      <c r="J283" s="190">
        <v>3.58</v>
      </c>
    </row>
    <row r="284" spans="1:10" ht="18" customHeight="1">
      <c r="A284" s="212">
        <v>42598</v>
      </c>
      <c r="B284" s="214" t="s">
        <v>290</v>
      </c>
      <c r="C284" s="221">
        <v>300009374212</v>
      </c>
      <c r="D284" s="189" t="s">
        <v>235</v>
      </c>
      <c r="E284" s="189">
        <v>4</v>
      </c>
      <c r="F284" s="189">
        <v>881</v>
      </c>
      <c r="G284" s="189">
        <v>4</v>
      </c>
      <c r="H284" s="189">
        <v>2</v>
      </c>
      <c r="I284" s="189">
        <v>19152.400000000001</v>
      </c>
      <c r="J284" s="189">
        <v>1.04</v>
      </c>
    </row>
    <row r="285" spans="1:10" ht="18" customHeight="1">
      <c r="A285" s="212">
        <v>42598</v>
      </c>
      <c r="B285" s="214" t="s">
        <v>290</v>
      </c>
      <c r="C285" s="221">
        <v>300009184067</v>
      </c>
      <c r="D285" s="189" t="s">
        <v>233</v>
      </c>
      <c r="E285" s="189">
        <v>5</v>
      </c>
      <c r="F285" s="189">
        <v>745</v>
      </c>
      <c r="G285" s="189">
        <v>5</v>
      </c>
      <c r="H285" s="189">
        <v>1</v>
      </c>
      <c r="I285" s="189">
        <v>11569.2</v>
      </c>
      <c r="J285" s="189">
        <v>0.86</v>
      </c>
    </row>
    <row r="286" spans="1:10" ht="18" customHeight="1">
      <c r="A286" s="212">
        <v>42598</v>
      </c>
      <c r="B286" s="214" t="s">
        <v>290</v>
      </c>
      <c r="C286" s="221">
        <v>300009185572</v>
      </c>
      <c r="D286" s="189" t="s">
        <v>237</v>
      </c>
      <c r="E286" s="189">
        <v>12</v>
      </c>
      <c r="F286" s="189">
        <v>574</v>
      </c>
      <c r="G286" s="189">
        <v>12</v>
      </c>
      <c r="H286" s="189">
        <v>5</v>
      </c>
      <c r="I286" s="189">
        <v>8265.2999999999993</v>
      </c>
      <c r="J286" s="189">
        <v>5</v>
      </c>
    </row>
    <row r="287" spans="1:10" ht="18" customHeight="1">
      <c r="A287" s="212">
        <v>42599</v>
      </c>
      <c r="B287" s="214" t="s">
        <v>290</v>
      </c>
      <c r="C287" s="221">
        <v>300009374215</v>
      </c>
      <c r="D287" s="189" t="s">
        <v>236</v>
      </c>
      <c r="E287" s="189">
        <v>24</v>
      </c>
      <c r="F287" s="189">
        <v>2930</v>
      </c>
      <c r="G287" s="189">
        <v>24</v>
      </c>
      <c r="H287" s="189">
        <v>16</v>
      </c>
      <c r="I287" s="189">
        <v>68031.8</v>
      </c>
      <c r="J287" s="189">
        <v>2.35</v>
      </c>
    </row>
    <row r="288" spans="1:10" ht="18" customHeight="1">
      <c r="A288" s="212">
        <v>42599</v>
      </c>
      <c r="B288" s="214" t="s">
        <v>290</v>
      </c>
      <c r="C288" s="221">
        <v>300009406202</v>
      </c>
      <c r="D288" s="189" t="s">
        <v>232</v>
      </c>
      <c r="E288" s="189">
        <v>38</v>
      </c>
      <c r="F288" s="189">
        <v>2559</v>
      </c>
      <c r="G288" s="189">
        <v>38</v>
      </c>
      <c r="H288" s="189">
        <v>16</v>
      </c>
      <c r="I288" s="189">
        <v>41886.800000000003</v>
      </c>
      <c r="J288" s="189">
        <v>3.82</v>
      </c>
    </row>
    <row r="289" spans="1:10" ht="18" customHeight="1">
      <c r="A289" s="212">
        <v>42599</v>
      </c>
      <c r="B289" s="214" t="s">
        <v>290</v>
      </c>
      <c r="C289" s="221">
        <v>300009184067</v>
      </c>
      <c r="D289" s="189" t="s">
        <v>233</v>
      </c>
      <c r="E289" s="189">
        <v>7</v>
      </c>
      <c r="F289" s="189">
        <v>1139</v>
      </c>
      <c r="G289" s="189">
        <v>7</v>
      </c>
      <c r="H289" s="189">
        <v>2</v>
      </c>
      <c r="I289" s="189">
        <v>18675</v>
      </c>
      <c r="J289" s="189">
        <v>1.07</v>
      </c>
    </row>
    <row r="290" spans="1:10" ht="18" customHeight="1">
      <c r="A290" s="212">
        <v>42599</v>
      </c>
      <c r="B290" s="214" t="s">
        <v>290</v>
      </c>
      <c r="C290" s="221">
        <v>300009374212</v>
      </c>
      <c r="D290" s="189" t="s">
        <v>235</v>
      </c>
      <c r="E290" s="189">
        <v>4</v>
      </c>
      <c r="F290" s="189">
        <v>999</v>
      </c>
      <c r="G290" s="189">
        <v>4</v>
      </c>
      <c r="H290" s="189">
        <v>2</v>
      </c>
      <c r="I290" s="189">
        <v>21353.4</v>
      </c>
      <c r="J290" s="189">
        <v>0.94</v>
      </c>
    </row>
    <row r="291" spans="1:10" ht="18" customHeight="1">
      <c r="A291" s="212">
        <v>42599</v>
      </c>
      <c r="B291" s="214" t="s">
        <v>290</v>
      </c>
      <c r="C291" s="221">
        <v>300009185572</v>
      </c>
      <c r="D291" s="189" t="s">
        <v>237</v>
      </c>
      <c r="E291" s="189">
        <v>13</v>
      </c>
      <c r="F291" s="189">
        <v>703</v>
      </c>
      <c r="G291" s="189">
        <v>13</v>
      </c>
      <c r="H291" s="189">
        <v>5</v>
      </c>
      <c r="I291" s="189">
        <v>10410.9</v>
      </c>
      <c r="J291" s="189">
        <v>4.8</v>
      </c>
    </row>
    <row r="292" spans="1:10" ht="18" customHeight="1">
      <c r="A292" s="212">
        <v>42599</v>
      </c>
      <c r="B292" s="214" t="s">
        <v>290</v>
      </c>
      <c r="C292" s="221">
        <v>300009406201</v>
      </c>
      <c r="D292" s="189" t="s">
        <v>234</v>
      </c>
      <c r="E292" s="189">
        <v>1</v>
      </c>
      <c r="F292" s="189" t="s">
        <v>242</v>
      </c>
      <c r="G292" s="189">
        <v>1</v>
      </c>
      <c r="H292" s="189">
        <v>0</v>
      </c>
      <c r="I292" s="189">
        <v>0</v>
      </c>
      <c r="J292" s="189">
        <v>0</v>
      </c>
    </row>
    <row r="293" spans="1:10" ht="18" customHeight="1">
      <c r="A293" s="212">
        <v>42598</v>
      </c>
      <c r="B293" s="214" t="s">
        <v>291</v>
      </c>
      <c r="C293" s="222">
        <v>300008823388</v>
      </c>
      <c r="D293" s="190" t="s">
        <v>231</v>
      </c>
      <c r="E293" s="190">
        <v>26</v>
      </c>
      <c r="F293" s="190">
        <v>6380</v>
      </c>
      <c r="G293" s="190">
        <v>26</v>
      </c>
      <c r="H293" s="190">
        <v>15</v>
      </c>
      <c r="I293" s="190">
        <v>122606.59</v>
      </c>
      <c r="J293" s="190">
        <v>1.22</v>
      </c>
    </row>
    <row r="294" spans="1:10" ht="18" customHeight="1">
      <c r="A294" s="212">
        <v>42599</v>
      </c>
      <c r="B294" s="214" t="s">
        <v>291</v>
      </c>
      <c r="C294" s="222">
        <v>300008823388</v>
      </c>
      <c r="D294" s="190" t="s">
        <v>231</v>
      </c>
      <c r="E294" s="190">
        <v>26</v>
      </c>
      <c r="F294" s="190">
        <v>6609</v>
      </c>
      <c r="G294" s="190">
        <v>26</v>
      </c>
      <c r="H294" s="190">
        <v>15</v>
      </c>
      <c r="I294" s="190">
        <v>127605.78</v>
      </c>
      <c r="J294" s="190">
        <v>1.18</v>
      </c>
    </row>
    <row r="295" spans="1:10" ht="18" customHeight="1">
      <c r="A295" s="212">
        <v>42598</v>
      </c>
      <c r="B295" s="214" t="s">
        <v>292</v>
      </c>
      <c r="C295" s="222">
        <v>300009290321</v>
      </c>
      <c r="D295" s="190" t="s">
        <v>194</v>
      </c>
      <c r="E295" s="190">
        <v>12</v>
      </c>
      <c r="F295" s="190">
        <v>2717</v>
      </c>
      <c r="G295" s="190">
        <v>12</v>
      </c>
      <c r="H295" s="190">
        <v>7</v>
      </c>
      <c r="I295" s="190">
        <v>58248.7</v>
      </c>
      <c r="J295" s="190">
        <v>1.2</v>
      </c>
    </row>
    <row r="296" spans="1:10" ht="18" customHeight="1">
      <c r="A296" s="212">
        <v>42599</v>
      </c>
      <c r="B296" s="214" t="s">
        <v>292</v>
      </c>
      <c r="C296" s="221">
        <v>300009290321</v>
      </c>
      <c r="D296" s="189" t="s">
        <v>194</v>
      </c>
      <c r="E296" s="189">
        <v>12</v>
      </c>
      <c r="F296" s="189">
        <v>2865</v>
      </c>
      <c r="G296" s="189">
        <v>12</v>
      </c>
      <c r="H296" s="189">
        <v>7</v>
      </c>
      <c r="I296" s="189">
        <v>61001</v>
      </c>
      <c r="J296" s="189">
        <v>1.1499999999999999</v>
      </c>
    </row>
    <row r="297" spans="1:10" ht="18" customHeight="1">
      <c r="A297" s="212">
        <v>42600</v>
      </c>
      <c r="B297" s="214" t="s">
        <v>245</v>
      </c>
      <c r="C297" s="221">
        <v>300009480238</v>
      </c>
      <c r="D297" s="189" t="s">
        <v>263</v>
      </c>
      <c r="E297" s="189">
        <v>9</v>
      </c>
      <c r="F297" s="189">
        <v>1901</v>
      </c>
      <c r="G297" s="189">
        <v>9</v>
      </c>
      <c r="H297" s="189">
        <v>9</v>
      </c>
      <c r="I297" s="189">
        <v>44571.9</v>
      </c>
      <c r="J297" s="189">
        <v>2.02</v>
      </c>
    </row>
    <row r="298" spans="1:10" ht="18" customHeight="1">
      <c r="A298" s="212">
        <v>42601</v>
      </c>
      <c r="B298" s="214" t="s">
        <v>245</v>
      </c>
      <c r="C298" s="222">
        <v>300009480238</v>
      </c>
      <c r="D298" s="190" t="s">
        <v>263</v>
      </c>
      <c r="E298" s="190">
        <v>10</v>
      </c>
      <c r="F298" s="190">
        <v>2103</v>
      </c>
      <c r="G298" s="190">
        <v>10</v>
      </c>
      <c r="H298" s="190">
        <v>11</v>
      </c>
      <c r="I298" s="190">
        <v>47056</v>
      </c>
      <c r="J298" s="190">
        <v>2.34</v>
      </c>
    </row>
    <row r="299" spans="1:10" ht="18" customHeight="1">
      <c r="A299" s="212">
        <v>42602</v>
      </c>
      <c r="B299" s="214" t="s">
        <v>245</v>
      </c>
      <c r="C299" s="222">
        <v>300009480238</v>
      </c>
      <c r="D299" s="190" t="s">
        <v>263</v>
      </c>
      <c r="E299" s="190">
        <v>11</v>
      </c>
      <c r="F299" s="190">
        <v>2276</v>
      </c>
      <c r="G299" s="190">
        <v>11</v>
      </c>
      <c r="H299" s="190">
        <v>11</v>
      </c>
      <c r="I299" s="190">
        <v>49167.1</v>
      </c>
      <c r="J299" s="190">
        <v>2.2400000000000002</v>
      </c>
    </row>
    <row r="300" spans="1:10" ht="18" customHeight="1">
      <c r="A300" s="212">
        <v>42603</v>
      </c>
      <c r="B300" s="214" t="s">
        <v>245</v>
      </c>
      <c r="C300" s="222">
        <v>300009480238</v>
      </c>
      <c r="D300" s="190" t="s">
        <v>263</v>
      </c>
      <c r="E300" s="190">
        <v>11</v>
      </c>
      <c r="F300" s="190">
        <v>2608</v>
      </c>
      <c r="G300" s="190">
        <v>11</v>
      </c>
      <c r="H300" s="190">
        <v>11</v>
      </c>
      <c r="I300" s="190">
        <v>53992.1</v>
      </c>
      <c r="J300" s="190">
        <v>2.04</v>
      </c>
    </row>
    <row r="301" spans="1:10" s="225" customFormat="1" ht="18" customHeight="1">
      <c r="A301" s="212">
        <v>42600</v>
      </c>
      <c r="B301" s="214" t="s">
        <v>293</v>
      </c>
      <c r="C301" s="223">
        <v>300009358277</v>
      </c>
      <c r="D301" s="217" t="s">
        <v>266</v>
      </c>
      <c r="E301" s="217">
        <v>432</v>
      </c>
      <c r="F301" s="217">
        <v>49435</v>
      </c>
      <c r="G301" s="217">
        <v>87.39</v>
      </c>
      <c r="H301" s="217">
        <v>274</v>
      </c>
      <c r="I301" s="217">
        <v>835802.77</v>
      </c>
      <c r="J301" s="217">
        <v>3.28</v>
      </c>
    </row>
    <row r="302" spans="1:10" s="225" customFormat="1" ht="18" customHeight="1">
      <c r="A302" s="212">
        <v>42601</v>
      </c>
      <c r="B302" s="214" t="s">
        <v>293</v>
      </c>
      <c r="C302" s="223">
        <v>300009358277</v>
      </c>
      <c r="D302" s="217" t="s">
        <v>266</v>
      </c>
      <c r="E302" s="217">
        <v>425</v>
      </c>
      <c r="F302" s="217">
        <v>47833</v>
      </c>
      <c r="G302" s="217">
        <v>88.85</v>
      </c>
      <c r="H302" s="217">
        <v>266</v>
      </c>
      <c r="I302" s="217">
        <v>814033.57</v>
      </c>
      <c r="J302" s="217">
        <v>3.27</v>
      </c>
    </row>
    <row r="303" spans="1:10" s="225" customFormat="1" ht="18" customHeight="1">
      <c r="A303" s="212">
        <v>42602</v>
      </c>
      <c r="B303" s="214" t="s">
        <v>293</v>
      </c>
      <c r="C303" s="223">
        <v>300009358277</v>
      </c>
      <c r="D303" s="217" t="s">
        <v>266</v>
      </c>
      <c r="E303" s="217">
        <v>415</v>
      </c>
      <c r="F303" s="217">
        <v>45031</v>
      </c>
      <c r="G303" s="217">
        <v>92.16</v>
      </c>
      <c r="H303" s="217">
        <v>258</v>
      </c>
      <c r="I303" s="217">
        <v>763019.02</v>
      </c>
      <c r="J303" s="217">
        <v>3.38</v>
      </c>
    </row>
    <row r="304" spans="1:10" s="225" customFormat="1" ht="18" customHeight="1">
      <c r="A304" s="212">
        <v>42603</v>
      </c>
      <c r="B304" s="214" t="s">
        <v>293</v>
      </c>
      <c r="C304" s="223">
        <v>300009358277</v>
      </c>
      <c r="D304" s="217" t="s">
        <v>266</v>
      </c>
      <c r="E304" s="217">
        <v>398</v>
      </c>
      <c r="F304" s="217">
        <v>42972</v>
      </c>
      <c r="G304" s="217">
        <v>92.62</v>
      </c>
      <c r="H304" s="217">
        <v>244</v>
      </c>
      <c r="I304" s="217">
        <v>732300.24</v>
      </c>
      <c r="J304" s="217">
        <v>3.33</v>
      </c>
    </row>
    <row r="305" spans="1:10" ht="18" customHeight="1">
      <c r="A305" s="212">
        <v>42600</v>
      </c>
      <c r="B305" s="214" t="s">
        <v>294</v>
      </c>
      <c r="C305" s="222">
        <v>300009192151</v>
      </c>
      <c r="D305" s="190" t="s">
        <v>230</v>
      </c>
      <c r="E305" s="190">
        <v>31</v>
      </c>
      <c r="F305" s="190">
        <v>6753</v>
      </c>
      <c r="G305" s="190">
        <v>31</v>
      </c>
      <c r="H305" s="190">
        <v>18</v>
      </c>
      <c r="I305" s="190">
        <v>116650.1</v>
      </c>
      <c r="J305" s="190">
        <v>1.54</v>
      </c>
    </row>
    <row r="306" spans="1:10" ht="18" customHeight="1">
      <c r="A306" s="212">
        <v>42601</v>
      </c>
      <c r="B306" s="214" t="s">
        <v>294</v>
      </c>
      <c r="C306" s="222">
        <v>300009192151</v>
      </c>
      <c r="D306" s="190" t="s">
        <v>230</v>
      </c>
      <c r="E306" s="190">
        <v>30</v>
      </c>
      <c r="F306" s="190">
        <v>6753</v>
      </c>
      <c r="G306" s="190">
        <v>30</v>
      </c>
      <c r="H306" s="190">
        <v>18</v>
      </c>
      <c r="I306" s="190">
        <v>116650.1</v>
      </c>
      <c r="J306" s="190">
        <v>1.54</v>
      </c>
    </row>
    <row r="307" spans="1:10" ht="18" customHeight="1">
      <c r="A307" s="212">
        <v>42602</v>
      </c>
      <c r="B307" s="214" t="s">
        <v>294</v>
      </c>
      <c r="C307" s="221">
        <v>300009192151</v>
      </c>
      <c r="D307" s="189" t="s">
        <v>230</v>
      </c>
      <c r="E307" s="189">
        <v>29</v>
      </c>
      <c r="F307" s="189">
        <v>6457</v>
      </c>
      <c r="G307" s="189">
        <v>29</v>
      </c>
      <c r="H307" s="189">
        <v>17</v>
      </c>
      <c r="I307" s="189">
        <v>112094.8</v>
      </c>
      <c r="J307" s="189">
        <v>1.52</v>
      </c>
    </row>
    <row r="308" spans="1:10" ht="18" customHeight="1">
      <c r="A308" s="212">
        <v>42603</v>
      </c>
      <c r="B308" s="214" t="s">
        <v>294</v>
      </c>
      <c r="C308" s="222">
        <v>300009192151</v>
      </c>
      <c r="D308" s="190" t="s">
        <v>230</v>
      </c>
      <c r="E308" s="190">
        <v>29</v>
      </c>
      <c r="F308" s="190">
        <v>6195</v>
      </c>
      <c r="G308" s="190">
        <v>29</v>
      </c>
      <c r="H308" s="190">
        <v>17</v>
      </c>
      <c r="I308" s="190">
        <v>107700.9</v>
      </c>
      <c r="J308" s="190">
        <v>1.58</v>
      </c>
    </row>
    <row r="309" spans="1:10" ht="18" customHeight="1">
      <c r="A309" s="212">
        <v>42600</v>
      </c>
      <c r="B309" s="214" t="s">
        <v>295</v>
      </c>
      <c r="C309" s="222">
        <v>300008823388</v>
      </c>
      <c r="D309" s="190" t="s">
        <v>231</v>
      </c>
      <c r="E309" s="190">
        <v>29</v>
      </c>
      <c r="F309" s="190">
        <v>6820</v>
      </c>
      <c r="G309" s="190">
        <v>29</v>
      </c>
      <c r="H309" s="190">
        <v>17</v>
      </c>
      <c r="I309" s="190">
        <v>132604.91</v>
      </c>
      <c r="J309" s="190">
        <v>1.28</v>
      </c>
    </row>
    <row r="310" spans="1:10" ht="18" customHeight="1">
      <c r="A310" s="212">
        <v>42601</v>
      </c>
      <c r="B310" s="214" t="s">
        <v>295</v>
      </c>
      <c r="C310" s="222">
        <v>300008823388</v>
      </c>
      <c r="D310" s="190" t="s">
        <v>231</v>
      </c>
      <c r="E310" s="190">
        <v>29</v>
      </c>
      <c r="F310" s="190">
        <v>6923</v>
      </c>
      <c r="G310" s="190">
        <v>29</v>
      </c>
      <c r="H310" s="190">
        <v>18</v>
      </c>
      <c r="I310" s="190">
        <v>135486.01999999999</v>
      </c>
      <c r="J310" s="190">
        <v>1.33</v>
      </c>
    </row>
    <row r="311" spans="1:10" ht="18" customHeight="1">
      <c r="A311" s="212">
        <v>42602</v>
      </c>
      <c r="B311" s="214" t="s">
        <v>295</v>
      </c>
      <c r="C311" s="222">
        <v>300008823388</v>
      </c>
      <c r="D311" s="190" t="s">
        <v>231</v>
      </c>
      <c r="E311" s="190">
        <v>28</v>
      </c>
      <c r="F311" s="190">
        <v>6979</v>
      </c>
      <c r="G311" s="190">
        <v>28</v>
      </c>
      <c r="H311" s="190">
        <v>17</v>
      </c>
      <c r="I311" s="190">
        <v>136815.57</v>
      </c>
      <c r="J311" s="190">
        <v>1.24</v>
      </c>
    </row>
    <row r="312" spans="1:10" ht="18" customHeight="1">
      <c r="A312" s="212">
        <v>42603</v>
      </c>
      <c r="B312" s="214" t="s">
        <v>295</v>
      </c>
      <c r="C312" s="222">
        <v>300008823388</v>
      </c>
      <c r="D312" s="190" t="s">
        <v>231</v>
      </c>
      <c r="E312" s="190">
        <v>31</v>
      </c>
      <c r="F312" s="190">
        <v>7096</v>
      </c>
      <c r="G312" s="190">
        <v>31</v>
      </c>
      <c r="H312" s="190">
        <v>20</v>
      </c>
      <c r="I312" s="190">
        <v>139197.01</v>
      </c>
      <c r="J312" s="190">
        <v>1.44</v>
      </c>
    </row>
    <row r="313" spans="1:10" ht="18" customHeight="1">
      <c r="A313" s="212">
        <v>42600</v>
      </c>
      <c r="B313" s="214" t="s">
        <v>296</v>
      </c>
      <c r="C313" s="221">
        <v>300008839381</v>
      </c>
      <c r="D313" s="189" t="s">
        <v>190</v>
      </c>
      <c r="E313" s="189">
        <v>34</v>
      </c>
      <c r="F313" s="189">
        <v>5739</v>
      </c>
      <c r="G313" s="189">
        <v>34</v>
      </c>
      <c r="H313" s="189">
        <v>14</v>
      </c>
      <c r="I313" s="189">
        <v>93314.4</v>
      </c>
      <c r="J313" s="189">
        <v>1.5</v>
      </c>
    </row>
    <row r="314" spans="1:10" ht="18" customHeight="1">
      <c r="A314" s="212">
        <v>42600</v>
      </c>
      <c r="B314" s="214" t="s">
        <v>296</v>
      </c>
      <c r="C314" s="221">
        <v>300009003496</v>
      </c>
      <c r="D314" s="189" t="s">
        <v>240</v>
      </c>
      <c r="E314" s="189">
        <v>32</v>
      </c>
      <c r="F314" s="189">
        <v>4440</v>
      </c>
      <c r="G314" s="189">
        <v>32</v>
      </c>
      <c r="H314" s="189">
        <v>12</v>
      </c>
      <c r="I314" s="189">
        <v>68886.880000000005</v>
      </c>
      <c r="J314" s="189">
        <v>1.74</v>
      </c>
    </row>
    <row r="315" spans="1:10" ht="18" customHeight="1">
      <c r="A315" s="212">
        <v>42600</v>
      </c>
      <c r="B315" s="214" t="s">
        <v>296</v>
      </c>
      <c r="C315" s="221">
        <v>300009000071</v>
      </c>
      <c r="D315" s="189" t="s">
        <v>192</v>
      </c>
      <c r="E315" s="189">
        <v>20</v>
      </c>
      <c r="F315" s="189">
        <v>3165</v>
      </c>
      <c r="G315" s="189">
        <v>20</v>
      </c>
      <c r="H315" s="189">
        <v>10</v>
      </c>
      <c r="I315" s="189">
        <v>44115.34</v>
      </c>
      <c r="J315" s="189">
        <v>2.27</v>
      </c>
    </row>
    <row r="316" spans="1:10" ht="18" customHeight="1">
      <c r="A316" s="212">
        <v>42600</v>
      </c>
      <c r="B316" s="214" t="s">
        <v>296</v>
      </c>
      <c r="C316" s="221">
        <v>300008875665</v>
      </c>
      <c r="D316" s="189" t="s">
        <v>189</v>
      </c>
      <c r="E316" s="189">
        <v>14</v>
      </c>
      <c r="F316" s="189">
        <v>3136</v>
      </c>
      <c r="G316" s="189">
        <v>14</v>
      </c>
      <c r="H316" s="189">
        <v>11</v>
      </c>
      <c r="I316" s="189">
        <v>66232.94</v>
      </c>
      <c r="J316" s="189">
        <v>1.66</v>
      </c>
    </row>
    <row r="317" spans="1:10" ht="18" customHeight="1">
      <c r="A317" s="212">
        <v>42600</v>
      </c>
      <c r="B317" s="214" t="s">
        <v>296</v>
      </c>
      <c r="C317" s="221">
        <v>300008579657</v>
      </c>
      <c r="D317" s="189" t="s">
        <v>188</v>
      </c>
      <c r="E317" s="189">
        <v>20</v>
      </c>
      <c r="F317" s="189">
        <v>3079</v>
      </c>
      <c r="G317" s="189">
        <v>20</v>
      </c>
      <c r="H317" s="189">
        <v>10</v>
      </c>
      <c r="I317" s="189">
        <v>45339.89</v>
      </c>
      <c r="J317" s="189">
        <v>2.21</v>
      </c>
    </row>
    <row r="318" spans="1:10" ht="18" customHeight="1">
      <c r="A318" s="212">
        <v>42600</v>
      </c>
      <c r="B318" s="214" t="s">
        <v>296</v>
      </c>
      <c r="C318" s="221">
        <v>300009235974</v>
      </c>
      <c r="D318" s="189" t="s">
        <v>187</v>
      </c>
      <c r="E318" s="189">
        <v>12</v>
      </c>
      <c r="F318" s="189">
        <v>2248</v>
      </c>
      <c r="G318" s="189">
        <v>12</v>
      </c>
      <c r="H318" s="189">
        <v>7</v>
      </c>
      <c r="I318" s="189">
        <v>44036</v>
      </c>
      <c r="J318" s="189">
        <v>1.59</v>
      </c>
    </row>
    <row r="319" spans="1:10" ht="18" customHeight="1">
      <c r="A319" s="212">
        <v>42600</v>
      </c>
      <c r="B319" s="214" t="s">
        <v>296</v>
      </c>
      <c r="C319" s="221">
        <v>300009235971</v>
      </c>
      <c r="D319" s="189" t="s">
        <v>241</v>
      </c>
      <c r="E319" s="189">
        <v>3</v>
      </c>
      <c r="F319" s="189">
        <v>1063</v>
      </c>
      <c r="G319" s="189">
        <v>3</v>
      </c>
      <c r="H319" s="189">
        <v>0</v>
      </c>
      <c r="I319" s="189">
        <v>15462.7</v>
      </c>
      <c r="J319" s="189">
        <v>0</v>
      </c>
    </row>
    <row r="320" spans="1:10" ht="18" customHeight="1">
      <c r="A320" s="212">
        <v>42601</v>
      </c>
      <c r="B320" s="214" t="s">
        <v>296</v>
      </c>
      <c r="C320" s="221">
        <v>300008839381</v>
      </c>
      <c r="D320" s="189" t="s">
        <v>190</v>
      </c>
      <c r="E320" s="189">
        <v>34</v>
      </c>
      <c r="F320" s="189">
        <v>5739</v>
      </c>
      <c r="G320" s="189">
        <v>34</v>
      </c>
      <c r="H320" s="189">
        <v>14</v>
      </c>
      <c r="I320" s="189">
        <v>93314.4</v>
      </c>
      <c r="J320" s="189">
        <v>1.5</v>
      </c>
    </row>
    <row r="321" spans="1:10" ht="18" customHeight="1">
      <c r="A321" s="212">
        <v>42601</v>
      </c>
      <c r="B321" s="214" t="s">
        <v>296</v>
      </c>
      <c r="C321" s="221">
        <v>300009003496</v>
      </c>
      <c r="D321" s="189" t="s">
        <v>240</v>
      </c>
      <c r="E321" s="189">
        <v>38</v>
      </c>
      <c r="F321" s="189">
        <v>4577</v>
      </c>
      <c r="G321" s="189">
        <v>38</v>
      </c>
      <c r="H321" s="189">
        <v>14</v>
      </c>
      <c r="I321" s="189">
        <v>70585.47</v>
      </c>
      <c r="J321" s="189">
        <v>1.98</v>
      </c>
    </row>
    <row r="322" spans="1:10" ht="18" customHeight="1">
      <c r="A322" s="212">
        <v>42601</v>
      </c>
      <c r="B322" s="214" t="s">
        <v>296</v>
      </c>
      <c r="C322" s="221">
        <v>300009000071</v>
      </c>
      <c r="D322" s="189" t="s">
        <v>192</v>
      </c>
      <c r="E322" s="189">
        <v>23</v>
      </c>
      <c r="F322" s="189">
        <v>3564</v>
      </c>
      <c r="G322" s="189">
        <v>23</v>
      </c>
      <c r="H322" s="189">
        <v>12</v>
      </c>
      <c r="I322" s="189">
        <v>49246.19</v>
      </c>
      <c r="J322" s="189">
        <v>2.44</v>
      </c>
    </row>
    <row r="323" spans="1:10" ht="18" customHeight="1">
      <c r="A323" s="212">
        <v>42601</v>
      </c>
      <c r="B323" s="214" t="s">
        <v>296</v>
      </c>
      <c r="C323" s="221">
        <v>300008875665</v>
      </c>
      <c r="D323" s="189" t="s">
        <v>189</v>
      </c>
      <c r="E323" s="189">
        <v>17</v>
      </c>
      <c r="F323" s="189">
        <v>3489</v>
      </c>
      <c r="G323" s="189">
        <v>17</v>
      </c>
      <c r="H323" s="189">
        <v>13</v>
      </c>
      <c r="I323" s="189">
        <v>74049.09</v>
      </c>
      <c r="J323" s="189">
        <v>1.76</v>
      </c>
    </row>
    <row r="324" spans="1:10" ht="18" customHeight="1">
      <c r="A324" s="212">
        <v>42601</v>
      </c>
      <c r="B324" s="214" t="s">
        <v>296</v>
      </c>
      <c r="C324" s="221">
        <v>300008579657</v>
      </c>
      <c r="D324" s="189" t="s">
        <v>188</v>
      </c>
      <c r="E324" s="189">
        <v>26</v>
      </c>
      <c r="F324" s="189">
        <v>3472</v>
      </c>
      <c r="G324" s="189">
        <v>26</v>
      </c>
      <c r="H324" s="189">
        <v>12</v>
      </c>
      <c r="I324" s="189">
        <v>50572.88</v>
      </c>
      <c r="J324" s="189">
        <v>2.37</v>
      </c>
    </row>
    <row r="325" spans="1:10" ht="18" customHeight="1">
      <c r="A325" s="212">
        <v>42601</v>
      </c>
      <c r="B325" s="214" t="s">
        <v>296</v>
      </c>
      <c r="C325" s="221">
        <v>300009235974</v>
      </c>
      <c r="D325" s="189" t="s">
        <v>187</v>
      </c>
      <c r="E325" s="189">
        <v>16</v>
      </c>
      <c r="F325" s="189">
        <v>2621</v>
      </c>
      <c r="G325" s="189">
        <v>16</v>
      </c>
      <c r="H325" s="189">
        <v>9</v>
      </c>
      <c r="I325" s="189">
        <v>51663.6</v>
      </c>
      <c r="J325" s="189">
        <v>1.74</v>
      </c>
    </row>
    <row r="326" spans="1:10" ht="18" customHeight="1">
      <c r="A326" s="212">
        <v>42601</v>
      </c>
      <c r="B326" s="214" t="s">
        <v>296</v>
      </c>
      <c r="C326" s="221">
        <v>300009235971</v>
      </c>
      <c r="D326" s="189" t="s">
        <v>241</v>
      </c>
      <c r="E326" s="189">
        <v>7</v>
      </c>
      <c r="F326" s="189">
        <v>1408</v>
      </c>
      <c r="G326" s="189">
        <v>7</v>
      </c>
      <c r="H326" s="189">
        <v>2</v>
      </c>
      <c r="I326" s="189">
        <v>20325.900000000001</v>
      </c>
      <c r="J326" s="189">
        <v>0.98</v>
      </c>
    </row>
    <row r="327" spans="1:10" ht="18" customHeight="1">
      <c r="A327" s="212">
        <v>42602</v>
      </c>
      <c r="B327" s="214" t="s">
        <v>296</v>
      </c>
      <c r="C327" s="221">
        <v>300009003496</v>
      </c>
      <c r="D327" s="189" t="s">
        <v>240</v>
      </c>
      <c r="E327" s="189">
        <v>39</v>
      </c>
      <c r="F327" s="189">
        <v>4577</v>
      </c>
      <c r="G327" s="189">
        <v>39</v>
      </c>
      <c r="H327" s="189">
        <v>15</v>
      </c>
      <c r="I327" s="189">
        <v>70585.47</v>
      </c>
      <c r="J327" s="189">
        <v>2.13</v>
      </c>
    </row>
    <row r="328" spans="1:10" ht="18" customHeight="1">
      <c r="A328" s="212">
        <v>42602</v>
      </c>
      <c r="B328" s="214" t="s">
        <v>296</v>
      </c>
      <c r="C328" s="221">
        <v>300008875665</v>
      </c>
      <c r="D328" s="189" t="s">
        <v>189</v>
      </c>
      <c r="E328" s="189">
        <v>20</v>
      </c>
      <c r="F328" s="189">
        <v>4010</v>
      </c>
      <c r="G328" s="189">
        <v>20</v>
      </c>
      <c r="H328" s="189">
        <v>14</v>
      </c>
      <c r="I328" s="189">
        <v>84790.52</v>
      </c>
      <c r="J328" s="189">
        <v>1.65</v>
      </c>
    </row>
    <row r="329" spans="1:10" ht="18" customHeight="1">
      <c r="A329" s="212">
        <v>42602</v>
      </c>
      <c r="B329" s="214" t="s">
        <v>296</v>
      </c>
      <c r="C329" s="221">
        <v>300009000071</v>
      </c>
      <c r="D329" s="189" t="s">
        <v>192</v>
      </c>
      <c r="E329" s="189">
        <v>24</v>
      </c>
      <c r="F329" s="189">
        <v>3987</v>
      </c>
      <c r="G329" s="189">
        <v>24</v>
      </c>
      <c r="H329" s="189">
        <v>13</v>
      </c>
      <c r="I329" s="189">
        <v>54886.3</v>
      </c>
      <c r="J329" s="189">
        <v>2.37</v>
      </c>
    </row>
    <row r="330" spans="1:10" ht="18" customHeight="1">
      <c r="A330" s="212">
        <v>42602</v>
      </c>
      <c r="B330" s="214" t="s">
        <v>296</v>
      </c>
      <c r="C330" s="221">
        <v>300008579657</v>
      </c>
      <c r="D330" s="189" t="s">
        <v>188</v>
      </c>
      <c r="E330" s="189">
        <v>30</v>
      </c>
      <c r="F330" s="189">
        <v>3850</v>
      </c>
      <c r="G330" s="189">
        <v>30</v>
      </c>
      <c r="H330" s="189">
        <v>14</v>
      </c>
      <c r="I330" s="189">
        <v>55625.95</v>
      </c>
      <c r="J330" s="189">
        <v>2.52</v>
      </c>
    </row>
    <row r="331" spans="1:10" ht="18" customHeight="1">
      <c r="A331" s="212">
        <v>42602</v>
      </c>
      <c r="B331" s="214" t="s">
        <v>296</v>
      </c>
      <c r="C331" s="221">
        <v>300009235974</v>
      </c>
      <c r="D331" s="189" t="s">
        <v>187</v>
      </c>
      <c r="E331" s="189">
        <v>21</v>
      </c>
      <c r="F331" s="189">
        <v>3178</v>
      </c>
      <c r="G331" s="189">
        <v>21</v>
      </c>
      <c r="H331" s="189">
        <v>13</v>
      </c>
      <c r="I331" s="189">
        <v>62421.3</v>
      </c>
      <c r="J331" s="189">
        <v>2.08</v>
      </c>
    </row>
    <row r="332" spans="1:10" ht="18" customHeight="1">
      <c r="A332" s="212">
        <v>42602</v>
      </c>
      <c r="B332" s="214" t="s">
        <v>296</v>
      </c>
      <c r="C332" s="221">
        <v>300009235971</v>
      </c>
      <c r="D332" s="189" t="s">
        <v>241</v>
      </c>
      <c r="E332" s="189">
        <v>10</v>
      </c>
      <c r="F332" s="189">
        <v>1708</v>
      </c>
      <c r="G332" s="189">
        <v>10</v>
      </c>
      <c r="H332" s="189">
        <v>4</v>
      </c>
      <c r="I332" s="189">
        <v>24679.1</v>
      </c>
      <c r="J332" s="189">
        <v>1.62</v>
      </c>
    </row>
    <row r="333" spans="1:10" ht="18" customHeight="1">
      <c r="A333" s="212">
        <v>42602</v>
      </c>
      <c r="B333" s="214" t="s">
        <v>296</v>
      </c>
      <c r="C333" s="221">
        <v>300008839381</v>
      </c>
      <c r="D333" s="189" t="s">
        <v>190</v>
      </c>
      <c r="E333" s="189">
        <v>1</v>
      </c>
      <c r="F333" s="189">
        <v>1</v>
      </c>
      <c r="G333" s="189">
        <v>1</v>
      </c>
      <c r="H333" s="189">
        <v>0</v>
      </c>
      <c r="I333" s="189">
        <v>10</v>
      </c>
      <c r="J333" s="189">
        <v>0</v>
      </c>
    </row>
    <row r="334" spans="1:10" ht="18" customHeight="1">
      <c r="A334" s="212">
        <v>42603</v>
      </c>
      <c r="B334" s="214" t="s">
        <v>296</v>
      </c>
      <c r="C334" s="221">
        <v>300009003496</v>
      </c>
      <c r="D334" s="189" t="s">
        <v>240</v>
      </c>
      <c r="E334" s="189">
        <v>39</v>
      </c>
      <c r="F334" s="189">
        <v>4577</v>
      </c>
      <c r="G334" s="189">
        <v>39</v>
      </c>
      <c r="H334" s="189">
        <v>16</v>
      </c>
      <c r="I334" s="189">
        <v>70585.47</v>
      </c>
      <c r="J334" s="189">
        <v>2.27</v>
      </c>
    </row>
    <row r="335" spans="1:10" ht="18" customHeight="1">
      <c r="A335" s="212">
        <v>42603</v>
      </c>
      <c r="B335" s="214" t="s">
        <v>296</v>
      </c>
      <c r="C335" s="221">
        <v>300008875665</v>
      </c>
      <c r="D335" s="189" t="s">
        <v>189</v>
      </c>
      <c r="E335" s="189">
        <v>27</v>
      </c>
      <c r="F335" s="189">
        <v>4504</v>
      </c>
      <c r="G335" s="189">
        <v>27</v>
      </c>
      <c r="H335" s="189">
        <v>18</v>
      </c>
      <c r="I335" s="189">
        <v>95313.5</v>
      </c>
      <c r="J335" s="189">
        <v>1.89</v>
      </c>
    </row>
    <row r="336" spans="1:10" ht="18" customHeight="1">
      <c r="A336" s="212">
        <v>42603</v>
      </c>
      <c r="B336" s="214" t="s">
        <v>296</v>
      </c>
      <c r="C336" s="221">
        <v>300009000071</v>
      </c>
      <c r="D336" s="189" t="s">
        <v>192</v>
      </c>
      <c r="E336" s="189">
        <v>26</v>
      </c>
      <c r="F336" s="189">
        <v>4487</v>
      </c>
      <c r="G336" s="189">
        <v>26</v>
      </c>
      <c r="H336" s="189">
        <v>14</v>
      </c>
      <c r="I336" s="189">
        <v>62769.7</v>
      </c>
      <c r="J336" s="189">
        <v>2.23</v>
      </c>
    </row>
    <row r="337" spans="1:10" ht="18" customHeight="1">
      <c r="A337" s="212">
        <v>42603</v>
      </c>
      <c r="B337" s="214" t="s">
        <v>296</v>
      </c>
      <c r="C337" s="221">
        <v>300008579657</v>
      </c>
      <c r="D337" s="189" t="s">
        <v>188</v>
      </c>
      <c r="E337" s="189">
        <v>30</v>
      </c>
      <c r="F337" s="189">
        <v>3895</v>
      </c>
      <c r="G337" s="189">
        <v>30</v>
      </c>
      <c r="H337" s="189">
        <v>15</v>
      </c>
      <c r="I337" s="189">
        <v>56192.11</v>
      </c>
      <c r="J337" s="189">
        <v>2.67</v>
      </c>
    </row>
    <row r="338" spans="1:10" ht="18" customHeight="1">
      <c r="A338" s="212">
        <v>42603</v>
      </c>
      <c r="B338" s="214" t="s">
        <v>296</v>
      </c>
      <c r="C338" s="221">
        <v>300009235974</v>
      </c>
      <c r="D338" s="189" t="s">
        <v>187</v>
      </c>
      <c r="E338" s="189">
        <v>31</v>
      </c>
      <c r="F338" s="189">
        <v>3661</v>
      </c>
      <c r="G338" s="189">
        <v>31</v>
      </c>
      <c r="H338" s="189">
        <v>19</v>
      </c>
      <c r="I338" s="189">
        <v>72175.8</v>
      </c>
      <c r="J338" s="189">
        <v>2.63</v>
      </c>
    </row>
    <row r="339" spans="1:10" ht="18" customHeight="1">
      <c r="A339" s="212">
        <v>42603</v>
      </c>
      <c r="B339" s="214" t="s">
        <v>296</v>
      </c>
      <c r="C339" s="221">
        <v>300009235971</v>
      </c>
      <c r="D339" s="189" t="s">
        <v>241</v>
      </c>
      <c r="E339" s="189">
        <v>12</v>
      </c>
      <c r="F339" s="189">
        <v>2162</v>
      </c>
      <c r="G339" s="189">
        <v>12</v>
      </c>
      <c r="H339" s="189">
        <v>5</v>
      </c>
      <c r="I339" s="189">
        <v>31978.400000000001</v>
      </c>
      <c r="J339" s="189">
        <v>1.56</v>
      </c>
    </row>
    <row r="340" spans="1:10" ht="18" customHeight="1">
      <c r="A340" s="212">
        <v>42603</v>
      </c>
      <c r="B340" s="214" t="s">
        <v>296</v>
      </c>
      <c r="C340" s="221">
        <v>300008839381</v>
      </c>
      <c r="D340" s="189" t="s">
        <v>190</v>
      </c>
      <c r="E340" s="189">
        <v>2</v>
      </c>
      <c r="F340" s="189">
        <v>1</v>
      </c>
      <c r="G340" s="189">
        <v>2</v>
      </c>
      <c r="H340" s="189">
        <v>1</v>
      </c>
      <c r="I340" s="189">
        <v>10</v>
      </c>
      <c r="J340" s="189">
        <v>1</v>
      </c>
    </row>
    <row r="341" spans="1:10" ht="18" customHeight="1">
      <c r="A341" s="212">
        <v>42600</v>
      </c>
      <c r="B341" s="214" t="s">
        <v>297</v>
      </c>
      <c r="C341" s="222">
        <v>300009290321</v>
      </c>
      <c r="D341" s="190" t="s">
        <v>194</v>
      </c>
      <c r="E341" s="190">
        <v>12</v>
      </c>
      <c r="F341" s="190">
        <v>3010</v>
      </c>
      <c r="G341" s="190">
        <v>12</v>
      </c>
      <c r="H341" s="190">
        <v>7</v>
      </c>
      <c r="I341" s="190">
        <v>63877.599999999999</v>
      </c>
      <c r="J341" s="190">
        <v>1.1000000000000001</v>
      </c>
    </row>
    <row r="342" spans="1:10" ht="18" customHeight="1">
      <c r="A342" s="212">
        <v>42601</v>
      </c>
      <c r="B342" s="214" t="s">
        <v>297</v>
      </c>
      <c r="C342" s="222">
        <v>300009290321</v>
      </c>
      <c r="D342" s="190" t="s">
        <v>194</v>
      </c>
      <c r="E342" s="190">
        <v>12</v>
      </c>
      <c r="F342" s="190">
        <v>3134</v>
      </c>
      <c r="G342" s="190">
        <v>12</v>
      </c>
      <c r="H342" s="190">
        <v>7</v>
      </c>
      <c r="I342" s="190">
        <v>66330.8</v>
      </c>
      <c r="J342" s="190">
        <v>1.06</v>
      </c>
    </row>
    <row r="343" spans="1:10" ht="18" customHeight="1">
      <c r="A343" s="212">
        <v>42602</v>
      </c>
      <c r="B343" s="214" t="s">
        <v>297</v>
      </c>
      <c r="C343" s="222">
        <v>300009290321</v>
      </c>
      <c r="D343" s="190" t="s">
        <v>194</v>
      </c>
      <c r="E343" s="190">
        <v>12</v>
      </c>
      <c r="F343" s="190">
        <v>3312</v>
      </c>
      <c r="G343" s="190">
        <v>12</v>
      </c>
      <c r="H343" s="190">
        <v>7</v>
      </c>
      <c r="I343" s="190">
        <v>69819.899999999994</v>
      </c>
      <c r="J343" s="190">
        <v>1</v>
      </c>
    </row>
    <row r="344" spans="1:10" ht="18" customHeight="1">
      <c r="A344" s="212">
        <v>42603</v>
      </c>
      <c r="B344" s="214" t="s">
        <v>297</v>
      </c>
      <c r="C344" s="221">
        <v>300009290321</v>
      </c>
      <c r="D344" s="189" t="s">
        <v>194</v>
      </c>
      <c r="E344" s="189">
        <v>12</v>
      </c>
      <c r="F344" s="189">
        <v>3477</v>
      </c>
      <c r="G344" s="189">
        <v>12</v>
      </c>
      <c r="H344" s="189">
        <v>7</v>
      </c>
      <c r="I344" s="189">
        <v>72762.600000000006</v>
      </c>
      <c r="J344" s="189">
        <v>0.96</v>
      </c>
    </row>
    <row r="345" spans="1:10" ht="18" customHeight="1">
      <c r="A345" s="212">
        <v>42604</v>
      </c>
      <c r="B345" s="214" t="s">
        <v>298</v>
      </c>
      <c r="C345" s="222">
        <v>300009480238</v>
      </c>
      <c r="D345" s="190" t="s">
        <v>263</v>
      </c>
      <c r="E345" s="190">
        <v>12</v>
      </c>
      <c r="F345" s="190">
        <v>2897</v>
      </c>
      <c r="G345" s="190">
        <v>12</v>
      </c>
      <c r="H345" s="190">
        <v>11</v>
      </c>
      <c r="I345" s="190">
        <v>57816.1</v>
      </c>
      <c r="J345" s="190">
        <v>1.9</v>
      </c>
    </row>
    <row r="346" spans="1:10" ht="18" customHeight="1">
      <c r="A346" s="212">
        <v>42604</v>
      </c>
      <c r="B346" s="214" t="s">
        <v>244</v>
      </c>
      <c r="C346" s="224">
        <v>300009358277</v>
      </c>
      <c r="D346" s="216" t="s">
        <v>266</v>
      </c>
      <c r="E346" s="216">
        <v>375</v>
      </c>
      <c r="F346" s="216">
        <v>40717</v>
      </c>
      <c r="G346" s="216">
        <v>92.1</v>
      </c>
      <c r="H346" s="216">
        <v>232</v>
      </c>
      <c r="I346" s="216">
        <v>699231.67</v>
      </c>
      <c r="J346" s="216">
        <v>3.32</v>
      </c>
    </row>
    <row r="347" spans="1:10" ht="18" customHeight="1">
      <c r="A347" s="212">
        <v>42604</v>
      </c>
      <c r="B347" s="214" t="s">
        <v>299</v>
      </c>
      <c r="C347" s="224">
        <v>300009192151</v>
      </c>
      <c r="D347" s="216" t="s">
        <v>230</v>
      </c>
      <c r="E347" s="216">
        <v>27</v>
      </c>
      <c r="F347" s="216">
        <v>5928</v>
      </c>
      <c r="G347" s="216">
        <v>27</v>
      </c>
      <c r="H347" s="216">
        <v>15</v>
      </c>
      <c r="I347" s="216">
        <v>102960.1</v>
      </c>
      <c r="J347" s="216">
        <v>1.46</v>
      </c>
    </row>
    <row r="348" spans="1:10" ht="18" customHeight="1">
      <c r="A348" s="212">
        <v>42604</v>
      </c>
      <c r="B348" s="214" t="s">
        <v>300</v>
      </c>
      <c r="C348" s="224">
        <v>300008823388</v>
      </c>
      <c r="D348" s="216" t="s">
        <v>231</v>
      </c>
      <c r="E348" s="216">
        <v>32</v>
      </c>
      <c r="F348" s="216">
        <v>6867</v>
      </c>
      <c r="G348" s="216">
        <v>32</v>
      </c>
      <c r="H348" s="216">
        <v>21</v>
      </c>
      <c r="I348" s="216">
        <v>134490.82</v>
      </c>
      <c r="J348" s="216">
        <v>1.56</v>
      </c>
    </row>
    <row r="349" spans="1:10" ht="18" customHeight="1">
      <c r="A349" s="212">
        <v>42604</v>
      </c>
      <c r="B349" s="214" t="s">
        <v>301</v>
      </c>
      <c r="C349" s="224">
        <v>300009374215</v>
      </c>
      <c r="D349" s="216" t="s">
        <v>236</v>
      </c>
      <c r="E349" s="216">
        <v>27</v>
      </c>
      <c r="F349" s="216">
        <v>3396</v>
      </c>
      <c r="G349" s="216">
        <v>27</v>
      </c>
      <c r="H349" s="216">
        <v>17</v>
      </c>
      <c r="I349" s="216">
        <v>78697.8</v>
      </c>
      <c r="J349" s="216">
        <v>2.16</v>
      </c>
    </row>
    <row r="350" spans="1:10" ht="18" customHeight="1">
      <c r="A350" s="212">
        <v>42604</v>
      </c>
      <c r="B350" s="214" t="s">
        <v>301</v>
      </c>
      <c r="C350" s="224">
        <v>300009406202</v>
      </c>
      <c r="D350" s="216" t="s">
        <v>232</v>
      </c>
      <c r="E350" s="216">
        <v>39</v>
      </c>
      <c r="F350" s="216">
        <v>2559</v>
      </c>
      <c r="G350" s="216">
        <v>39</v>
      </c>
      <c r="H350" s="216">
        <v>16</v>
      </c>
      <c r="I350" s="216">
        <v>41886.800000000003</v>
      </c>
      <c r="J350" s="216">
        <v>3.82</v>
      </c>
    </row>
    <row r="351" spans="1:10" ht="18" customHeight="1">
      <c r="A351" s="212">
        <v>42604</v>
      </c>
      <c r="B351" s="214" t="s">
        <v>301</v>
      </c>
      <c r="C351" s="224">
        <v>300009184067</v>
      </c>
      <c r="D351" s="216" t="s">
        <v>233</v>
      </c>
      <c r="E351" s="216">
        <v>29</v>
      </c>
      <c r="F351" s="216">
        <v>2097</v>
      </c>
      <c r="G351" s="216">
        <v>29</v>
      </c>
      <c r="H351" s="216">
        <v>18</v>
      </c>
      <c r="I351" s="216">
        <v>36221.5</v>
      </c>
      <c r="J351" s="216">
        <v>4.97</v>
      </c>
    </row>
    <row r="352" spans="1:10" ht="18" customHeight="1">
      <c r="A352" s="212">
        <v>42604</v>
      </c>
      <c r="B352" s="214" t="s">
        <v>301</v>
      </c>
      <c r="C352" s="224">
        <v>300009374212</v>
      </c>
      <c r="D352" s="216" t="s">
        <v>235</v>
      </c>
      <c r="E352" s="216">
        <v>10</v>
      </c>
      <c r="F352" s="216">
        <v>1646</v>
      </c>
      <c r="G352" s="216">
        <v>10</v>
      </c>
      <c r="H352" s="216">
        <v>6</v>
      </c>
      <c r="I352" s="216">
        <v>34010.199999999997</v>
      </c>
      <c r="J352" s="216">
        <v>1.76</v>
      </c>
    </row>
    <row r="353" spans="1:10" ht="18" customHeight="1">
      <c r="A353" s="212">
        <v>42604</v>
      </c>
      <c r="B353" s="214" t="s">
        <v>301</v>
      </c>
      <c r="C353" s="224">
        <v>300009406201</v>
      </c>
      <c r="D353" s="216" t="s">
        <v>234</v>
      </c>
      <c r="E353" s="216">
        <v>13</v>
      </c>
      <c r="F353" s="216">
        <v>1067</v>
      </c>
      <c r="G353" s="216">
        <v>13</v>
      </c>
      <c r="H353" s="216">
        <v>9</v>
      </c>
      <c r="I353" s="216">
        <v>18124.8</v>
      </c>
      <c r="J353" s="216">
        <v>4.97</v>
      </c>
    </row>
    <row r="354" spans="1:10" ht="18" customHeight="1">
      <c r="A354" s="212">
        <v>42604</v>
      </c>
      <c r="B354" s="214" t="s">
        <v>301</v>
      </c>
      <c r="C354" s="224">
        <v>300009185572</v>
      </c>
      <c r="D354" s="216" t="s">
        <v>237</v>
      </c>
      <c r="E354" s="216">
        <v>18</v>
      </c>
      <c r="F354" s="216">
        <v>904</v>
      </c>
      <c r="G354" s="216">
        <v>18</v>
      </c>
      <c r="H354" s="216">
        <v>10</v>
      </c>
      <c r="I354" s="216">
        <v>13420.9</v>
      </c>
      <c r="J354" s="216">
        <v>7.45</v>
      </c>
    </row>
    <row r="355" spans="1:10" ht="18" customHeight="1">
      <c r="A355" s="212">
        <v>42604</v>
      </c>
      <c r="B355" s="214" t="s">
        <v>302</v>
      </c>
      <c r="C355" s="224">
        <v>300009290321</v>
      </c>
      <c r="D355" s="216" t="s">
        <v>194</v>
      </c>
      <c r="E355" s="216">
        <v>13</v>
      </c>
      <c r="F355" s="216">
        <v>3687</v>
      </c>
      <c r="G355" s="216">
        <v>13</v>
      </c>
      <c r="H355" s="216">
        <v>7</v>
      </c>
      <c r="I355" s="216">
        <v>76864.399999999994</v>
      </c>
      <c r="J355" s="216">
        <v>0.91</v>
      </c>
    </row>
    <row r="356" spans="1:10" ht="18" customHeight="1">
      <c r="A356" s="212">
        <v>42604</v>
      </c>
      <c r="B356" s="214" t="s">
        <v>303</v>
      </c>
      <c r="C356" s="224">
        <v>300008875665</v>
      </c>
      <c r="D356" s="216" t="s">
        <v>189</v>
      </c>
      <c r="E356" s="216">
        <v>33</v>
      </c>
      <c r="F356" s="216">
        <v>5062</v>
      </c>
      <c r="G356" s="216">
        <v>33</v>
      </c>
      <c r="H356" s="216">
        <v>22</v>
      </c>
      <c r="I356" s="216">
        <v>109144.22</v>
      </c>
      <c r="J356" s="216">
        <v>2.02</v>
      </c>
    </row>
    <row r="357" spans="1:10" ht="18" customHeight="1">
      <c r="A357" s="212">
        <v>42604</v>
      </c>
      <c r="B357" s="214" t="s">
        <v>303</v>
      </c>
      <c r="C357" s="224">
        <v>300009000071</v>
      </c>
      <c r="D357" s="216" t="s">
        <v>192</v>
      </c>
      <c r="E357" s="216">
        <v>28</v>
      </c>
      <c r="F357" s="216">
        <v>4908</v>
      </c>
      <c r="G357" s="216">
        <v>28</v>
      </c>
      <c r="H357" s="216">
        <v>16</v>
      </c>
      <c r="I357" s="216">
        <v>69835.05</v>
      </c>
      <c r="J357" s="216">
        <v>2.29</v>
      </c>
    </row>
    <row r="358" spans="1:10" ht="18" customHeight="1">
      <c r="A358" s="212">
        <v>42604</v>
      </c>
      <c r="B358" s="214" t="s">
        <v>303</v>
      </c>
      <c r="C358" s="224">
        <v>300009003496</v>
      </c>
      <c r="D358" s="216" t="s">
        <v>240</v>
      </c>
      <c r="E358" s="216">
        <v>42</v>
      </c>
      <c r="F358" s="216">
        <v>4577</v>
      </c>
      <c r="G358" s="216">
        <v>42</v>
      </c>
      <c r="H358" s="216">
        <v>18</v>
      </c>
      <c r="I358" s="216">
        <v>70585.47</v>
      </c>
      <c r="J358" s="216">
        <v>2.5499999999999998</v>
      </c>
    </row>
    <row r="359" spans="1:10" ht="18" customHeight="1">
      <c r="A359" s="212">
        <v>42604</v>
      </c>
      <c r="B359" s="214" t="s">
        <v>303</v>
      </c>
      <c r="C359" s="224">
        <v>300008579657</v>
      </c>
      <c r="D359" s="216" t="s">
        <v>188</v>
      </c>
      <c r="E359" s="216">
        <v>30</v>
      </c>
      <c r="F359" s="216">
        <v>3895</v>
      </c>
      <c r="G359" s="216">
        <v>30</v>
      </c>
      <c r="H359" s="216">
        <v>16</v>
      </c>
      <c r="I359" s="216">
        <v>56192.11</v>
      </c>
      <c r="J359" s="216">
        <v>2.85</v>
      </c>
    </row>
    <row r="360" spans="1:10" ht="18" customHeight="1">
      <c r="A360" s="212">
        <v>42604</v>
      </c>
      <c r="B360" s="214" t="s">
        <v>303</v>
      </c>
      <c r="C360" s="224">
        <v>300009235974</v>
      </c>
      <c r="D360" s="216" t="s">
        <v>187</v>
      </c>
      <c r="E360" s="216">
        <v>37</v>
      </c>
      <c r="F360" s="216">
        <v>3682</v>
      </c>
      <c r="G360" s="216">
        <v>37</v>
      </c>
      <c r="H360" s="216">
        <v>23</v>
      </c>
      <c r="I360" s="216">
        <v>72548.800000000003</v>
      </c>
      <c r="J360" s="216">
        <v>3.17</v>
      </c>
    </row>
    <row r="361" spans="1:10" ht="18" customHeight="1">
      <c r="A361" s="212">
        <v>42604</v>
      </c>
      <c r="B361" s="214" t="s">
        <v>303</v>
      </c>
      <c r="C361" s="224">
        <v>300009235971</v>
      </c>
      <c r="D361" s="216" t="s">
        <v>241</v>
      </c>
      <c r="E361" s="216">
        <v>12</v>
      </c>
      <c r="F361" s="216">
        <v>2589</v>
      </c>
      <c r="G361" s="216">
        <v>12</v>
      </c>
      <c r="H361" s="216">
        <v>6</v>
      </c>
      <c r="I361" s="216">
        <v>38814.400000000001</v>
      </c>
      <c r="J361" s="216">
        <v>1.55</v>
      </c>
    </row>
    <row r="362" spans="1:10" ht="18" customHeight="1">
      <c r="A362" s="212">
        <v>42604</v>
      </c>
      <c r="B362" s="214" t="s">
        <v>303</v>
      </c>
      <c r="C362" s="224">
        <v>300008839381</v>
      </c>
      <c r="D362" s="216" t="s">
        <v>190</v>
      </c>
      <c r="E362" s="216">
        <v>2</v>
      </c>
      <c r="F362" s="216">
        <v>4</v>
      </c>
      <c r="G362" s="216">
        <v>2</v>
      </c>
      <c r="H362" s="216">
        <v>1</v>
      </c>
      <c r="I362" s="216">
        <v>45</v>
      </c>
      <c r="J362" s="216">
        <v>1</v>
      </c>
    </row>
    <row r="363" spans="1:10" ht="18" customHeight="1">
      <c r="A363" s="227">
        <v>42605</v>
      </c>
      <c r="B363" s="214" t="s">
        <v>304</v>
      </c>
      <c r="C363" s="222">
        <v>300008823388</v>
      </c>
      <c r="D363" s="190" t="s">
        <v>231</v>
      </c>
      <c r="E363" s="190">
        <v>31</v>
      </c>
      <c r="F363" s="190">
        <v>6609</v>
      </c>
      <c r="G363" s="190">
        <v>31</v>
      </c>
      <c r="H363" s="190">
        <v>22</v>
      </c>
      <c r="I363" s="190">
        <v>129491.3</v>
      </c>
      <c r="J363" s="190">
        <v>1.7</v>
      </c>
    </row>
    <row r="364" spans="1:10" ht="18" customHeight="1">
      <c r="A364" s="227">
        <v>42605</v>
      </c>
      <c r="B364" s="214" t="s">
        <v>305</v>
      </c>
      <c r="C364" s="229">
        <v>300009358277</v>
      </c>
      <c r="D364" s="228" t="s">
        <v>266</v>
      </c>
      <c r="E364" s="228">
        <v>359</v>
      </c>
      <c r="F364" s="228">
        <v>38064</v>
      </c>
      <c r="G364" s="228">
        <v>94.31</v>
      </c>
      <c r="H364" s="228">
        <v>216</v>
      </c>
      <c r="I364" s="228">
        <v>661437.18000000005</v>
      </c>
      <c r="J364" s="228">
        <v>3.27</v>
      </c>
    </row>
    <row r="365" spans="1:10" ht="18" customHeight="1">
      <c r="A365" s="227">
        <v>42605</v>
      </c>
      <c r="B365" s="214" t="s">
        <v>306</v>
      </c>
      <c r="C365" s="222">
        <v>300009192151</v>
      </c>
      <c r="D365" s="190" t="s">
        <v>230</v>
      </c>
      <c r="E365" s="190">
        <v>28</v>
      </c>
      <c r="F365" s="190">
        <v>5660</v>
      </c>
      <c r="G365" s="190">
        <v>28</v>
      </c>
      <c r="H365" s="190">
        <v>15</v>
      </c>
      <c r="I365" s="190">
        <v>98192.9</v>
      </c>
      <c r="J365" s="190">
        <v>1.53</v>
      </c>
    </row>
    <row r="366" spans="1:10" ht="18" customHeight="1">
      <c r="A366" s="227">
        <v>42605</v>
      </c>
      <c r="B366" s="214" t="s">
        <v>307</v>
      </c>
      <c r="C366" s="222">
        <v>300009480238</v>
      </c>
      <c r="D366" s="190" t="s">
        <v>263</v>
      </c>
      <c r="E366" s="190">
        <v>13</v>
      </c>
      <c r="F366" s="190">
        <v>3125</v>
      </c>
      <c r="G366" s="190">
        <v>13</v>
      </c>
      <c r="H366" s="190">
        <v>12</v>
      </c>
      <c r="I366" s="190">
        <v>61208.800000000003</v>
      </c>
      <c r="J366" s="190">
        <v>1.96</v>
      </c>
    </row>
    <row r="367" spans="1:10" ht="18" customHeight="1">
      <c r="A367" s="227">
        <v>42605</v>
      </c>
      <c r="B367" s="214" t="s">
        <v>308</v>
      </c>
      <c r="C367" s="221">
        <v>300009374215</v>
      </c>
      <c r="D367" s="189" t="s">
        <v>236</v>
      </c>
      <c r="E367" s="189">
        <v>29</v>
      </c>
      <c r="F367" s="189">
        <v>3501</v>
      </c>
      <c r="G367" s="189">
        <v>29</v>
      </c>
      <c r="H367" s="189">
        <v>18</v>
      </c>
      <c r="I367" s="189">
        <v>80988.3</v>
      </c>
      <c r="J367" s="189">
        <v>2.2200000000000002</v>
      </c>
    </row>
    <row r="368" spans="1:10" ht="18" customHeight="1">
      <c r="A368" s="227">
        <v>42605</v>
      </c>
      <c r="B368" s="214" t="s">
        <v>308</v>
      </c>
      <c r="C368" s="221">
        <v>300009184067</v>
      </c>
      <c r="D368" s="189" t="s">
        <v>233</v>
      </c>
      <c r="E368" s="189">
        <v>31</v>
      </c>
      <c r="F368" s="189">
        <v>2202</v>
      </c>
      <c r="G368" s="189">
        <v>31</v>
      </c>
      <c r="H368" s="189">
        <v>19</v>
      </c>
      <c r="I368" s="189">
        <v>37878.1</v>
      </c>
      <c r="J368" s="189">
        <v>5.0199999999999996</v>
      </c>
    </row>
    <row r="369" spans="1:10" ht="18" customHeight="1">
      <c r="A369" s="227">
        <v>42605</v>
      </c>
      <c r="B369" s="214" t="s">
        <v>308</v>
      </c>
      <c r="C369" s="221">
        <v>300009374212</v>
      </c>
      <c r="D369" s="189" t="s">
        <v>235</v>
      </c>
      <c r="E369" s="189">
        <v>14</v>
      </c>
      <c r="F369" s="189">
        <v>1810</v>
      </c>
      <c r="G369" s="189">
        <v>14</v>
      </c>
      <c r="H369" s="189">
        <v>9</v>
      </c>
      <c r="I369" s="189">
        <v>37156.1</v>
      </c>
      <c r="J369" s="189">
        <v>2.42</v>
      </c>
    </row>
    <row r="370" spans="1:10" ht="18" customHeight="1">
      <c r="A370" s="227">
        <v>42605</v>
      </c>
      <c r="B370" s="214" t="s">
        <v>308</v>
      </c>
      <c r="C370" s="221">
        <v>300009406201</v>
      </c>
      <c r="D370" s="189" t="s">
        <v>234</v>
      </c>
      <c r="E370" s="189">
        <v>20</v>
      </c>
      <c r="F370" s="189">
        <v>1193</v>
      </c>
      <c r="G370" s="189">
        <v>20</v>
      </c>
      <c r="H370" s="189">
        <v>14</v>
      </c>
      <c r="I370" s="189">
        <v>20131.5</v>
      </c>
      <c r="J370" s="189">
        <v>6.95</v>
      </c>
    </row>
    <row r="371" spans="1:10" ht="18" customHeight="1">
      <c r="A371" s="227">
        <v>42605</v>
      </c>
      <c r="B371" s="214" t="s">
        <v>308</v>
      </c>
      <c r="C371" s="221">
        <v>300009185572</v>
      </c>
      <c r="D371" s="189" t="s">
        <v>237</v>
      </c>
      <c r="E371" s="189">
        <v>18</v>
      </c>
      <c r="F371" s="189">
        <v>904</v>
      </c>
      <c r="G371" s="189">
        <v>18</v>
      </c>
      <c r="H371" s="189">
        <v>10</v>
      </c>
      <c r="I371" s="189">
        <v>13420.9</v>
      </c>
      <c r="J371" s="189">
        <v>7.45</v>
      </c>
    </row>
    <row r="372" spans="1:10" ht="18" customHeight="1">
      <c r="A372" s="227">
        <v>42605</v>
      </c>
      <c r="B372" s="214" t="s">
        <v>308</v>
      </c>
      <c r="C372" s="221">
        <v>300009406202</v>
      </c>
      <c r="D372" s="189" t="s">
        <v>232</v>
      </c>
      <c r="E372" s="189">
        <v>1</v>
      </c>
      <c r="F372" s="189" t="s">
        <v>242</v>
      </c>
      <c r="G372" s="189">
        <v>1</v>
      </c>
      <c r="H372" s="189">
        <v>0</v>
      </c>
      <c r="I372" s="189">
        <v>0</v>
      </c>
      <c r="J372" s="189">
        <v>0</v>
      </c>
    </row>
    <row r="373" spans="1:10" ht="18" customHeight="1">
      <c r="A373" s="227">
        <v>42605</v>
      </c>
      <c r="B373" s="214" t="s">
        <v>309</v>
      </c>
      <c r="C373" s="221">
        <v>300009000071</v>
      </c>
      <c r="D373" s="189" t="s">
        <v>192</v>
      </c>
      <c r="E373" s="189">
        <v>30</v>
      </c>
      <c r="F373" s="189">
        <v>5411</v>
      </c>
      <c r="G373" s="189">
        <v>30</v>
      </c>
      <c r="H373" s="189">
        <v>18</v>
      </c>
      <c r="I373" s="189">
        <v>77719.34</v>
      </c>
      <c r="J373" s="189">
        <v>2.3199999999999998</v>
      </c>
    </row>
    <row r="374" spans="1:10" ht="18" customHeight="1">
      <c r="A374" s="227">
        <v>42605</v>
      </c>
      <c r="B374" s="214" t="s">
        <v>309</v>
      </c>
      <c r="C374" s="221">
        <v>300008875665</v>
      </c>
      <c r="D374" s="189" t="s">
        <v>189</v>
      </c>
      <c r="E374" s="189">
        <v>35</v>
      </c>
      <c r="F374" s="189">
        <v>5097</v>
      </c>
      <c r="G374" s="189">
        <v>35</v>
      </c>
      <c r="H374" s="189">
        <v>23</v>
      </c>
      <c r="I374" s="189">
        <v>110190.72</v>
      </c>
      <c r="J374" s="189">
        <v>2.09</v>
      </c>
    </row>
    <row r="375" spans="1:10" ht="18" customHeight="1">
      <c r="A375" s="227">
        <v>42605</v>
      </c>
      <c r="B375" s="214" t="s">
        <v>309</v>
      </c>
      <c r="C375" s="221">
        <v>300009003496</v>
      </c>
      <c r="D375" s="189" t="s">
        <v>240</v>
      </c>
      <c r="E375" s="189">
        <v>42</v>
      </c>
      <c r="F375" s="189">
        <v>4577</v>
      </c>
      <c r="G375" s="189">
        <v>42</v>
      </c>
      <c r="H375" s="189">
        <v>18</v>
      </c>
      <c r="I375" s="189">
        <v>70585.47</v>
      </c>
      <c r="J375" s="189">
        <v>2.5499999999999998</v>
      </c>
    </row>
    <row r="376" spans="1:10" ht="18" customHeight="1">
      <c r="A376" s="227">
        <v>42605</v>
      </c>
      <c r="B376" s="214" t="s">
        <v>309</v>
      </c>
      <c r="C376" s="221">
        <v>300008579657</v>
      </c>
      <c r="D376" s="189" t="s">
        <v>188</v>
      </c>
      <c r="E376" s="189">
        <v>31</v>
      </c>
      <c r="F376" s="189">
        <v>3895</v>
      </c>
      <c r="G376" s="189">
        <v>31</v>
      </c>
      <c r="H376" s="189">
        <v>17</v>
      </c>
      <c r="I376" s="189">
        <v>56192.11</v>
      </c>
      <c r="J376" s="189">
        <v>3.03</v>
      </c>
    </row>
    <row r="377" spans="1:10" ht="18" customHeight="1">
      <c r="A377" s="227">
        <v>42605</v>
      </c>
      <c r="B377" s="214" t="s">
        <v>309</v>
      </c>
      <c r="C377" s="221">
        <v>300009235974</v>
      </c>
      <c r="D377" s="189" t="s">
        <v>187</v>
      </c>
      <c r="E377" s="189">
        <v>41</v>
      </c>
      <c r="F377" s="189">
        <v>3682</v>
      </c>
      <c r="G377" s="189">
        <v>41</v>
      </c>
      <c r="H377" s="189">
        <v>26</v>
      </c>
      <c r="I377" s="189">
        <v>72548.800000000003</v>
      </c>
      <c r="J377" s="189">
        <v>3.58</v>
      </c>
    </row>
    <row r="378" spans="1:10" ht="18" customHeight="1">
      <c r="A378" s="227">
        <v>42605</v>
      </c>
      <c r="B378" s="214" t="s">
        <v>309</v>
      </c>
      <c r="C378" s="221">
        <v>300009235971</v>
      </c>
      <c r="D378" s="189" t="s">
        <v>241</v>
      </c>
      <c r="E378" s="189">
        <v>14</v>
      </c>
      <c r="F378" s="189">
        <v>3037</v>
      </c>
      <c r="G378" s="189">
        <v>14</v>
      </c>
      <c r="H378" s="189">
        <v>8</v>
      </c>
      <c r="I378" s="189">
        <v>46006.7</v>
      </c>
      <c r="J378" s="189">
        <v>1.74</v>
      </c>
    </row>
    <row r="379" spans="1:10" ht="18" customHeight="1">
      <c r="A379" s="227">
        <v>42605</v>
      </c>
      <c r="B379" s="214" t="s">
        <v>309</v>
      </c>
      <c r="C379" s="221">
        <v>300008839381</v>
      </c>
      <c r="D379" s="189" t="s">
        <v>190</v>
      </c>
      <c r="E379" s="189">
        <v>2</v>
      </c>
      <c r="F379" s="189">
        <v>5</v>
      </c>
      <c r="G379" s="189">
        <v>2</v>
      </c>
      <c r="H379" s="189">
        <v>1</v>
      </c>
      <c r="I379" s="189">
        <v>55</v>
      </c>
      <c r="J379" s="189">
        <v>1</v>
      </c>
    </row>
    <row r="380" spans="1:10" ht="18" customHeight="1">
      <c r="A380" s="227">
        <v>42605</v>
      </c>
      <c r="B380" s="214" t="s">
        <v>169</v>
      </c>
      <c r="C380" s="222">
        <v>300009290321</v>
      </c>
      <c r="D380" s="190" t="s">
        <v>194</v>
      </c>
      <c r="E380" s="190">
        <v>14</v>
      </c>
      <c r="F380" s="190">
        <v>3920</v>
      </c>
      <c r="G380" s="190">
        <v>14</v>
      </c>
      <c r="H380" s="190">
        <v>7</v>
      </c>
      <c r="I380" s="190">
        <v>81829.8</v>
      </c>
      <c r="J380" s="190">
        <v>0.86</v>
      </c>
    </row>
    <row r="381" spans="1:10" ht="18" customHeight="1">
      <c r="A381" s="227">
        <v>42606</v>
      </c>
      <c r="B381" s="214" t="s">
        <v>310</v>
      </c>
      <c r="C381" s="221">
        <v>300009374215</v>
      </c>
      <c r="D381" s="189" t="s">
        <v>236</v>
      </c>
      <c r="E381" s="189">
        <v>29</v>
      </c>
      <c r="F381" s="189">
        <v>3534</v>
      </c>
      <c r="G381" s="189">
        <v>29</v>
      </c>
      <c r="H381" s="189">
        <v>18</v>
      </c>
      <c r="I381" s="189">
        <v>81833.5</v>
      </c>
      <c r="J381" s="189">
        <v>2.2000000000000002</v>
      </c>
    </row>
    <row r="382" spans="1:10" ht="18" customHeight="1">
      <c r="A382" s="227">
        <v>42606</v>
      </c>
      <c r="B382" s="214" t="s">
        <v>310</v>
      </c>
      <c r="C382" s="221">
        <v>300009184067</v>
      </c>
      <c r="D382" s="189" t="s">
        <v>233</v>
      </c>
      <c r="E382" s="189">
        <v>36</v>
      </c>
      <c r="F382" s="189">
        <v>2211</v>
      </c>
      <c r="G382" s="189">
        <v>36</v>
      </c>
      <c r="H382" s="189">
        <v>22</v>
      </c>
      <c r="I382" s="189">
        <v>38002.6</v>
      </c>
      <c r="J382" s="189">
        <v>5.79</v>
      </c>
    </row>
    <row r="383" spans="1:10" ht="18" customHeight="1">
      <c r="A383" s="227">
        <v>42606</v>
      </c>
      <c r="B383" s="214" t="s">
        <v>310</v>
      </c>
      <c r="C383" s="221">
        <v>300009374212</v>
      </c>
      <c r="D383" s="189" t="s">
        <v>235</v>
      </c>
      <c r="E383" s="189">
        <v>15</v>
      </c>
      <c r="F383" s="189">
        <v>1856</v>
      </c>
      <c r="G383" s="189">
        <v>15</v>
      </c>
      <c r="H383" s="189">
        <v>9</v>
      </c>
      <c r="I383" s="189">
        <v>38010.1</v>
      </c>
      <c r="J383" s="189">
        <v>2.37</v>
      </c>
    </row>
    <row r="384" spans="1:10" ht="18" customHeight="1">
      <c r="A384" s="227">
        <v>42606</v>
      </c>
      <c r="B384" s="214" t="s">
        <v>310</v>
      </c>
      <c r="C384" s="221">
        <v>300009406201</v>
      </c>
      <c r="D384" s="189" t="s">
        <v>234</v>
      </c>
      <c r="E384" s="189">
        <v>21</v>
      </c>
      <c r="F384" s="189">
        <v>1297</v>
      </c>
      <c r="G384" s="189">
        <v>21</v>
      </c>
      <c r="H384" s="189">
        <v>14</v>
      </c>
      <c r="I384" s="189">
        <v>21881.8</v>
      </c>
      <c r="J384" s="189">
        <v>6.4</v>
      </c>
    </row>
    <row r="385" spans="1:10" ht="18" customHeight="1">
      <c r="A385" s="227">
        <v>42606</v>
      </c>
      <c r="B385" s="214" t="s">
        <v>310</v>
      </c>
      <c r="C385" s="221">
        <v>300009185572</v>
      </c>
      <c r="D385" s="189" t="s">
        <v>237</v>
      </c>
      <c r="E385" s="189">
        <v>18</v>
      </c>
      <c r="F385" s="189">
        <v>904</v>
      </c>
      <c r="G385" s="189">
        <v>18</v>
      </c>
      <c r="H385" s="189">
        <v>10</v>
      </c>
      <c r="I385" s="189">
        <v>13420.9</v>
      </c>
      <c r="J385" s="189">
        <v>7.45</v>
      </c>
    </row>
    <row r="386" spans="1:10" ht="18" customHeight="1">
      <c r="A386" s="227">
        <v>42606</v>
      </c>
      <c r="B386" s="214" t="s">
        <v>310</v>
      </c>
      <c r="C386" s="221">
        <v>300009406202</v>
      </c>
      <c r="D386" s="189" t="s">
        <v>232</v>
      </c>
      <c r="E386" s="189">
        <v>3</v>
      </c>
      <c r="F386" s="189">
        <v>73</v>
      </c>
      <c r="G386" s="189">
        <v>3</v>
      </c>
      <c r="H386" s="189">
        <v>1</v>
      </c>
      <c r="I386" s="189">
        <v>1029.4000000000001</v>
      </c>
      <c r="J386" s="189">
        <v>1</v>
      </c>
    </row>
    <row r="387" spans="1:10" ht="18" customHeight="1">
      <c r="A387" s="227">
        <v>42607</v>
      </c>
      <c r="B387" s="214" t="s">
        <v>310</v>
      </c>
      <c r="C387" s="221">
        <v>300009374215</v>
      </c>
      <c r="D387" s="189" t="s">
        <v>236</v>
      </c>
      <c r="E387" s="189">
        <v>29</v>
      </c>
      <c r="F387" s="189">
        <v>3534</v>
      </c>
      <c r="G387" s="189">
        <v>29</v>
      </c>
      <c r="H387" s="189">
        <v>18</v>
      </c>
      <c r="I387" s="189">
        <v>81833.5</v>
      </c>
      <c r="J387" s="189">
        <v>2.2000000000000002</v>
      </c>
    </row>
    <row r="388" spans="1:10" ht="18" customHeight="1">
      <c r="A388" s="227">
        <v>42607</v>
      </c>
      <c r="B388" s="214" t="s">
        <v>310</v>
      </c>
      <c r="C388" s="221">
        <v>300009184067</v>
      </c>
      <c r="D388" s="189" t="s">
        <v>233</v>
      </c>
      <c r="E388" s="189">
        <v>36</v>
      </c>
      <c r="F388" s="189">
        <v>2211</v>
      </c>
      <c r="G388" s="189">
        <v>36</v>
      </c>
      <c r="H388" s="189">
        <v>22</v>
      </c>
      <c r="I388" s="189">
        <v>38002.6</v>
      </c>
      <c r="J388" s="189">
        <v>5.79</v>
      </c>
    </row>
    <row r="389" spans="1:10" ht="18" customHeight="1">
      <c r="A389" s="227">
        <v>42607</v>
      </c>
      <c r="B389" s="214" t="s">
        <v>310</v>
      </c>
      <c r="C389" s="221">
        <v>300009374212</v>
      </c>
      <c r="D389" s="189" t="s">
        <v>235</v>
      </c>
      <c r="E389" s="189">
        <v>17</v>
      </c>
      <c r="F389" s="189">
        <v>1856</v>
      </c>
      <c r="G389" s="189">
        <v>17</v>
      </c>
      <c r="H389" s="189">
        <v>11</v>
      </c>
      <c r="I389" s="189">
        <v>38010.1</v>
      </c>
      <c r="J389" s="189">
        <v>2.89</v>
      </c>
    </row>
    <row r="390" spans="1:10" ht="18" customHeight="1">
      <c r="A390" s="227">
        <v>42607</v>
      </c>
      <c r="B390" s="214" t="s">
        <v>310</v>
      </c>
      <c r="C390" s="221">
        <v>300009406201</v>
      </c>
      <c r="D390" s="189" t="s">
        <v>234</v>
      </c>
      <c r="E390" s="189">
        <v>24</v>
      </c>
      <c r="F390" s="189">
        <v>1471</v>
      </c>
      <c r="G390" s="189">
        <v>24</v>
      </c>
      <c r="H390" s="189">
        <v>17</v>
      </c>
      <c r="I390" s="189">
        <v>24383</v>
      </c>
      <c r="J390" s="189">
        <v>6.97</v>
      </c>
    </row>
    <row r="391" spans="1:10" ht="18" customHeight="1">
      <c r="A391" s="227">
        <v>42607</v>
      </c>
      <c r="B391" s="214" t="s">
        <v>310</v>
      </c>
      <c r="C391" s="221">
        <v>300009185572</v>
      </c>
      <c r="D391" s="189" t="s">
        <v>237</v>
      </c>
      <c r="E391" s="189">
        <v>18</v>
      </c>
      <c r="F391" s="189">
        <v>904</v>
      </c>
      <c r="G391" s="189">
        <v>18</v>
      </c>
      <c r="H391" s="189">
        <v>10</v>
      </c>
      <c r="I391" s="189">
        <v>13420.9</v>
      </c>
      <c r="J391" s="189">
        <v>7.45</v>
      </c>
    </row>
    <row r="392" spans="1:10" ht="18" customHeight="1">
      <c r="A392" s="227">
        <v>42607</v>
      </c>
      <c r="B392" s="214" t="s">
        <v>310</v>
      </c>
      <c r="C392" s="221">
        <v>300009406202</v>
      </c>
      <c r="D392" s="189" t="s">
        <v>232</v>
      </c>
      <c r="E392" s="189">
        <v>3</v>
      </c>
      <c r="F392" s="189">
        <v>247</v>
      </c>
      <c r="G392" s="189">
        <v>3</v>
      </c>
      <c r="H392" s="189">
        <v>1</v>
      </c>
      <c r="I392" s="189">
        <v>3144.3</v>
      </c>
      <c r="J392" s="189">
        <v>1</v>
      </c>
    </row>
    <row r="393" spans="1:10" ht="18" customHeight="1">
      <c r="A393" s="227">
        <v>42606</v>
      </c>
      <c r="B393" s="214" t="s">
        <v>311</v>
      </c>
      <c r="C393" s="221">
        <v>300008823388</v>
      </c>
      <c r="D393" s="189" t="s">
        <v>231</v>
      </c>
      <c r="E393" s="189">
        <v>33</v>
      </c>
      <c r="F393" s="189">
        <v>6357</v>
      </c>
      <c r="G393" s="189">
        <v>33</v>
      </c>
      <c r="H393" s="189">
        <v>23</v>
      </c>
      <c r="I393" s="189">
        <v>124491.95</v>
      </c>
      <c r="J393" s="189">
        <v>1.85</v>
      </c>
    </row>
    <row r="394" spans="1:10" ht="18" customHeight="1">
      <c r="A394" s="227">
        <v>42607</v>
      </c>
      <c r="B394" s="214" t="s">
        <v>311</v>
      </c>
      <c r="C394" s="222">
        <v>300008823388</v>
      </c>
      <c r="D394" s="190" t="s">
        <v>231</v>
      </c>
      <c r="E394" s="190">
        <v>32</v>
      </c>
      <c r="F394" s="190">
        <v>6106</v>
      </c>
      <c r="G394" s="190">
        <v>32</v>
      </c>
      <c r="H394" s="190">
        <v>24</v>
      </c>
      <c r="I394" s="190">
        <v>119492.59</v>
      </c>
      <c r="J394" s="190">
        <v>2.0099999999999998</v>
      </c>
    </row>
    <row r="395" spans="1:10" ht="18" customHeight="1">
      <c r="A395" s="227">
        <v>42606</v>
      </c>
      <c r="B395" s="217" t="s">
        <v>312</v>
      </c>
      <c r="C395" s="223">
        <v>300009358277</v>
      </c>
      <c r="D395" s="217" t="s">
        <v>266</v>
      </c>
      <c r="E395" s="217">
        <v>341</v>
      </c>
      <c r="F395" s="217">
        <v>35199</v>
      </c>
      <c r="G395" s="217">
        <v>96.88</v>
      </c>
      <c r="H395" s="217">
        <v>203</v>
      </c>
      <c r="I395" s="217">
        <v>619696.99</v>
      </c>
      <c r="J395" s="217">
        <v>3.28</v>
      </c>
    </row>
    <row r="396" spans="1:10" ht="18" customHeight="1">
      <c r="A396" s="227">
        <v>42607</v>
      </c>
      <c r="B396" s="217" t="s">
        <v>312</v>
      </c>
      <c r="C396" s="223">
        <v>300009358277</v>
      </c>
      <c r="D396" s="217" t="s">
        <v>266</v>
      </c>
      <c r="E396" s="217">
        <v>317</v>
      </c>
      <c r="F396" s="217">
        <v>32745</v>
      </c>
      <c r="G396" s="217">
        <v>96.81</v>
      </c>
      <c r="H396" s="217">
        <v>187</v>
      </c>
      <c r="I396" s="217">
        <v>586786</v>
      </c>
      <c r="J396" s="217">
        <v>3.19</v>
      </c>
    </row>
    <row r="397" spans="1:10" ht="18" customHeight="1">
      <c r="A397" s="227">
        <v>42606</v>
      </c>
      <c r="B397" s="214" t="s">
        <v>313</v>
      </c>
      <c r="C397" s="222">
        <v>300009192151</v>
      </c>
      <c r="D397" s="190" t="s">
        <v>230</v>
      </c>
      <c r="E397" s="190">
        <v>25</v>
      </c>
      <c r="F397" s="190">
        <v>5391</v>
      </c>
      <c r="G397" s="190">
        <v>25</v>
      </c>
      <c r="H397" s="190">
        <v>14</v>
      </c>
      <c r="I397" s="190">
        <v>93453.9</v>
      </c>
      <c r="J397" s="190">
        <v>1.5</v>
      </c>
    </row>
    <row r="398" spans="1:10" ht="18" customHeight="1">
      <c r="A398" s="227">
        <v>42606</v>
      </c>
      <c r="B398" s="214" t="s">
        <v>314</v>
      </c>
      <c r="C398" s="221">
        <v>300009000071</v>
      </c>
      <c r="D398" s="189" t="s">
        <v>192</v>
      </c>
      <c r="E398" s="189">
        <v>32</v>
      </c>
      <c r="F398" s="189">
        <v>5455</v>
      </c>
      <c r="G398" s="189">
        <v>32</v>
      </c>
      <c r="H398" s="189">
        <v>18</v>
      </c>
      <c r="I398" s="189">
        <v>78203.63</v>
      </c>
      <c r="J398" s="189">
        <v>2.2999999999999998</v>
      </c>
    </row>
    <row r="399" spans="1:10" ht="18" customHeight="1">
      <c r="A399" s="227">
        <v>42606</v>
      </c>
      <c r="B399" s="214" t="s">
        <v>314</v>
      </c>
      <c r="C399" s="221">
        <v>300008875665</v>
      </c>
      <c r="D399" s="189" t="s">
        <v>189</v>
      </c>
      <c r="E399" s="189">
        <v>37</v>
      </c>
      <c r="F399" s="189">
        <v>5097</v>
      </c>
      <c r="G399" s="189">
        <v>37</v>
      </c>
      <c r="H399" s="189">
        <v>25</v>
      </c>
      <c r="I399" s="189">
        <v>110190.72</v>
      </c>
      <c r="J399" s="189">
        <v>2.27</v>
      </c>
    </row>
    <row r="400" spans="1:10" ht="18" customHeight="1">
      <c r="A400" s="227">
        <v>42606</v>
      </c>
      <c r="B400" s="214" t="s">
        <v>314</v>
      </c>
      <c r="C400" s="221">
        <v>300009003496</v>
      </c>
      <c r="D400" s="189" t="s">
        <v>240</v>
      </c>
      <c r="E400" s="189">
        <v>44</v>
      </c>
      <c r="F400" s="189">
        <v>4577</v>
      </c>
      <c r="G400" s="189">
        <v>44</v>
      </c>
      <c r="H400" s="189">
        <v>19</v>
      </c>
      <c r="I400" s="189">
        <v>70585.47</v>
      </c>
      <c r="J400" s="189">
        <v>2.69</v>
      </c>
    </row>
    <row r="401" spans="1:10" ht="18" customHeight="1">
      <c r="A401" s="227">
        <v>42606</v>
      </c>
      <c r="B401" s="214" t="s">
        <v>314</v>
      </c>
      <c r="C401" s="221">
        <v>300008579657</v>
      </c>
      <c r="D401" s="189" t="s">
        <v>188</v>
      </c>
      <c r="E401" s="189">
        <v>33</v>
      </c>
      <c r="F401" s="189">
        <v>3895</v>
      </c>
      <c r="G401" s="189">
        <v>33</v>
      </c>
      <c r="H401" s="189">
        <v>18</v>
      </c>
      <c r="I401" s="189">
        <v>56192.11</v>
      </c>
      <c r="J401" s="189">
        <v>3.2</v>
      </c>
    </row>
    <row r="402" spans="1:10" ht="18" customHeight="1">
      <c r="A402" s="227">
        <v>42606</v>
      </c>
      <c r="B402" s="214" t="s">
        <v>314</v>
      </c>
      <c r="C402" s="221">
        <v>300009235974</v>
      </c>
      <c r="D402" s="189" t="s">
        <v>187</v>
      </c>
      <c r="E402" s="189">
        <v>43</v>
      </c>
      <c r="F402" s="189">
        <v>3682</v>
      </c>
      <c r="G402" s="189">
        <v>43</v>
      </c>
      <c r="H402" s="189">
        <v>27</v>
      </c>
      <c r="I402" s="189">
        <v>72548.800000000003</v>
      </c>
      <c r="J402" s="189">
        <v>3.72</v>
      </c>
    </row>
    <row r="403" spans="1:10" ht="18" customHeight="1">
      <c r="A403" s="227">
        <v>42606</v>
      </c>
      <c r="B403" s="214" t="s">
        <v>314</v>
      </c>
      <c r="C403" s="221">
        <v>300009235971</v>
      </c>
      <c r="D403" s="189" t="s">
        <v>241</v>
      </c>
      <c r="E403" s="189">
        <v>16</v>
      </c>
      <c r="F403" s="189">
        <v>3347</v>
      </c>
      <c r="G403" s="189">
        <v>16</v>
      </c>
      <c r="H403" s="189">
        <v>9</v>
      </c>
      <c r="I403" s="189">
        <v>51000.9</v>
      </c>
      <c r="J403" s="189">
        <v>1.76</v>
      </c>
    </row>
    <row r="404" spans="1:10" ht="18" customHeight="1">
      <c r="A404" s="227">
        <v>42606</v>
      </c>
      <c r="B404" s="214" t="s">
        <v>314</v>
      </c>
      <c r="C404" s="221">
        <v>300008839381</v>
      </c>
      <c r="D404" s="189" t="s">
        <v>190</v>
      </c>
      <c r="E404" s="189">
        <v>3</v>
      </c>
      <c r="F404" s="189">
        <v>276</v>
      </c>
      <c r="G404" s="189">
        <v>3</v>
      </c>
      <c r="H404" s="189">
        <v>1</v>
      </c>
      <c r="I404" s="189">
        <v>4454.3</v>
      </c>
      <c r="J404" s="189">
        <v>1</v>
      </c>
    </row>
    <row r="405" spans="1:10" ht="18" customHeight="1">
      <c r="A405" s="227">
        <v>42607</v>
      </c>
      <c r="B405" s="214" t="s">
        <v>314</v>
      </c>
      <c r="C405" s="221">
        <v>300009000071</v>
      </c>
      <c r="D405" s="189" t="s">
        <v>192</v>
      </c>
      <c r="E405" s="189">
        <v>33</v>
      </c>
      <c r="F405" s="189">
        <v>5455</v>
      </c>
      <c r="G405" s="189">
        <v>33</v>
      </c>
      <c r="H405" s="189">
        <v>19</v>
      </c>
      <c r="I405" s="189">
        <v>78203.63</v>
      </c>
      <c r="J405" s="189">
        <v>2.4300000000000002</v>
      </c>
    </row>
    <row r="406" spans="1:10" ht="18" customHeight="1">
      <c r="A406" s="227">
        <v>42607</v>
      </c>
      <c r="B406" s="214" t="s">
        <v>314</v>
      </c>
      <c r="C406" s="221">
        <v>300008875665</v>
      </c>
      <c r="D406" s="189" t="s">
        <v>189</v>
      </c>
      <c r="E406" s="189">
        <v>39</v>
      </c>
      <c r="F406" s="189">
        <v>5097</v>
      </c>
      <c r="G406" s="189">
        <v>39</v>
      </c>
      <c r="H406" s="189">
        <v>27</v>
      </c>
      <c r="I406" s="189">
        <v>110190.72</v>
      </c>
      <c r="J406" s="189">
        <v>2.4500000000000002</v>
      </c>
    </row>
    <row r="407" spans="1:10" ht="18" customHeight="1">
      <c r="A407" s="227">
        <v>42607</v>
      </c>
      <c r="B407" s="214" t="s">
        <v>314</v>
      </c>
      <c r="C407" s="221">
        <v>300009003496</v>
      </c>
      <c r="D407" s="189" t="s">
        <v>240</v>
      </c>
      <c r="E407" s="189">
        <v>44</v>
      </c>
      <c r="F407" s="189">
        <v>4577</v>
      </c>
      <c r="G407" s="189">
        <v>44</v>
      </c>
      <c r="H407" s="189">
        <v>19</v>
      </c>
      <c r="I407" s="189">
        <v>70585.47</v>
      </c>
      <c r="J407" s="189">
        <v>2.69</v>
      </c>
    </row>
    <row r="408" spans="1:10" ht="18" customHeight="1">
      <c r="A408" s="227">
        <v>42607</v>
      </c>
      <c r="B408" s="214" t="s">
        <v>314</v>
      </c>
      <c r="C408" s="221">
        <v>300008579657</v>
      </c>
      <c r="D408" s="189" t="s">
        <v>188</v>
      </c>
      <c r="E408" s="189">
        <v>33</v>
      </c>
      <c r="F408" s="189">
        <v>3895</v>
      </c>
      <c r="G408" s="189">
        <v>33</v>
      </c>
      <c r="H408" s="189">
        <v>19</v>
      </c>
      <c r="I408" s="189">
        <v>56192.11</v>
      </c>
      <c r="J408" s="189">
        <v>3.38</v>
      </c>
    </row>
    <row r="409" spans="1:10" ht="18" customHeight="1">
      <c r="A409" s="227">
        <v>42607</v>
      </c>
      <c r="B409" s="214" t="s">
        <v>314</v>
      </c>
      <c r="C409" s="221">
        <v>300009235974</v>
      </c>
      <c r="D409" s="189" t="s">
        <v>187</v>
      </c>
      <c r="E409" s="189">
        <v>44</v>
      </c>
      <c r="F409" s="189">
        <v>3682</v>
      </c>
      <c r="G409" s="189">
        <v>44</v>
      </c>
      <c r="H409" s="189">
        <v>28</v>
      </c>
      <c r="I409" s="189">
        <v>72548.800000000003</v>
      </c>
      <c r="J409" s="189">
        <v>3.86</v>
      </c>
    </row>
    <row r="410" spans="1:10" ht="18" customHeight="1">
      <c r="A410" s="227">
        <v>42607</v>
      </c>
      <c r="B410" s="214" t="s">
        <v>314</v>
      </c>
      <c r="C410" s="221">
        <v>300009235971</v>
      </c>
      <c r="D410" s="189" t="s">
        <v>241</v>
      </c>
      <c r="E410" s="189">
        <v>19</v>
      </c>
      <c r="F410" s="189">
        <v>3544</v>
      </c>
      <c r="G410" s="189">
        <v>19</v>
      </c>
      <c r="H410" s="189">
        <v>11</v>
      </c>
      <c r="I410" s="189">
        <v>54152.6</v>
      </c>
      <c r="J410" s="189">
        <v>2.0299999999999998</v>
      </c>
    </row>
    <row r="411" spans="1:10" ht="18" customHeight="1">
      <c r="A411" s="227">
        <v>42607</v>
      </c>
      <c r="B411" s="214" t="s">
        <v>314</v>
      </c>
      <c r="C411" s="221">
        <v>300008839381</v>
      </c>
      <c r="D411" s="189" t="s">
        <v>190</v>
      </c>
      <c r="E411" s="189">
        <v>3</v>
      </c>
      <c r="F411" s="189">
        <v>588</v>
      </c>
      <c r="G411" s="189">
        <v>3</v>
      </c>
      <c r="H411" s="189">
        <v>1</v>
      </c>
      <c r="I411" s="189">
        <v>8668.7000000000007</v>
      </c>
      <c r="J411" s="189">
        <v>1</v>
      </c>
    </row>
    <row r="412" spans="1:10" ht="18" customHeight="1">
      <c r="A412" s="227">
        <v>42606</v>
      </c>
      <c r="B412" s="214" t="s">
        <v>315</v>
      </c>
      <c r="C412" s="222">
        <v>300009480238</v>
      </c>
      <c r="D412" s="190" t="s">
        <v>263</v>
      </c>
      <c r="E412" s="190">
        <v>13</v>
      </c>
      <c r="F412" s="190">
        <v>3347</v>
      </c>
      <c r="G412" s="190">
        <v>13</v>
      </c>
      <c r="H412" s="190">
        <v>12</v>
      </c>
      <c r="I412" s="190">
        <v>64215.7</v>
      </c>
      <c r="J412" s="190">
        <v>1.87</v>
      </c>
    </row>
    <row r="413" spans="1:10" ht="18" customHeight="1">
      <c r="A413" s="227">
        <v>42607</v>
      </c>
      <c r="B413" s="214" t="s">
        <v>315</v>
      </c>
      <c r="C413" s="222">
        <v>300009480238</v>
      </c>
      <c r="D413" s="190" t="s">
        <v>263</v>
      </c>
      <c r="E413" s="190">
        <v>16</v>
      </c>
      <c r="F413" s="190">
        <v>3566</v>
      </c>
      <c r="G413" s="190">
        <v>16</v>
      </c>
      <c r="H413" s="190">
        <v>14</v>
      </c>
      <c r="I413" s="190">
        <v>67197.7</v>
      </c>
      <c r="J413" s="190">
        <v>2.08</v>
      </c>
    </row>
    <row r="414" spans="1:10" ht="18" customHeight="1">
      <c r="A414" s="227">
        <v>42606</v>
      </c>
      <c r="B414" s="214" t="s">
        <v>316</v>
      </c>
      <c r="C414" s="222">
        <v>300009290321</v>
      </c>
      <c r="D414" s="190" t="s">
        <v>194</v>
      </c>
      <c r="E414" s="190">
        <v>14</v>
      </c>
      <c r="F414" s="190">
        <v>4016</v>
      </c>
      <c r="G414" s="190">
        <v>14</v>
      </c>
      <c r="H414" s="190">
        <v>7</v>
      </c>
      <c r="I414" s="190">
        <v>83847.899999999994</v>
      </c>
      <c r="J414" s="190">
        <v>0.83</v>
      </c>
    </row>
    <row r="415" spans="1:10" ht="18" customHeight="1">
      <c r="A415" s="227">
        <v>42607</v>
      </c>
      <c r="B415" s="214" t="s">
        <v>316</v>
      </c>
      <c r="C415" s="231">
        <v>300009290321</v>
      </c>
      <c r="D415" s="232" t="s">
        <v>194</v>
      </c>
      <c r="E415" s="232">
        <v>15</v>
      </c>
      <c r="F415" s="232">
        <v>4016</v>
      </c>
      <c r="G415" s="232">
        <v>15</v>
      </c>
      <c r="H415" s="232">
        <v>7</v>
      </c>
      <c r="I415" s="232">
        <v>83847.899999999994</v>
      </c>
      <c r="J415" s="232">
        <v>0.83</v>
      </c>
    </row>
    <row r="416" spans="1:10" ht="18" customHeight="1">
      <c r="A416" s="227">
        <v>42608</v>
      </c>
      <c r="B416" s="230" t="s">
        <v>317</v>
      </c>
      <c r="C416" s="235">
        <v>300009374215</v>
      </c>
      <c r="D416" s="189" t="s">
        <v>236</v>
      </c>
      <c r="E416" s="189">
        <v>29</v>
      </c>
      <c r="F416" s="189">
        <v>3597</v>
      </c>
      <c r="G416" s="189">
        <v>29</v>
      </c>
      <c r="H416" s="189">
        <v>18</v>
      </c>
      <c r="I416" s="189">
        <v>83064.3</v>
      </c>
      <c r="J416" s="189">
        <v>2.17</v>
      </c>
    </row>
    <row r="417" spans="1:10" ht="18" customHeight="1">
      <c r="A417" s="227">
        <v>42608</v>
      </c>
      <c r="B417" s="230" t="s">
        <v>317</v>
      </c>
      <c r="C417" s="235">
        <v>300009184067</v>
      </c>
      <c r="D417" s="189" t="s">
        <v>233</v>
      </c>
      <c r="E417" s="189">
        <v>37</v>
      </c>
      <c r="F417" s="189">
        <v>2211</v>
      </c>
      <c r="G417" s="189">
        <v>37</v>
      </c>
      <c r="H417" s="189">
        <v>22</v>
      </c>
      <c r="I417" s="189">
        <v>38002.6</v>
      </c>
      <c r="J417" s="189">
        <v>5.79</v>
      </c>
    </row>
    <row r="418" spans="1:10" ht="18" customHeight="1">
      <c r="A418" s="227">
        <v>42608</v>
      </c>
      <c r="B418" s="230" t="s">
        <v>317</v>
      </c>
      <c r="C418" s="235">
        <v>300009374212</v>
      </c>
      <c r="D418" s="189" t="s">
        <v>235</v>
      </c>
      <c r="E418" s="189">
        <v>18</v>
      </c>
      <c r="F418" s="189">
        <v>1918</v>
      </c>
      <c r="G418" s="189">
        <v>18</v>
      </c>
      <c r="H418" s="189">
        <v>12</v>
      </c>
      <c r="I418" s="189">
        <v>39111.300000000003</v>
      </c>
      <c r="J418" s="189">
        <v>3.07</v>
      </c>
    </row>
    <row r="419" spans="1:10" ht="18" customHeight="1">
      <c r="A419" s="227">
        <v>42608</v>
      </c>
      <c r="B419" s="230" t="s">
        <v>317</v>
      </c>
      <c r="C419" s="235">
        <v>300009406201</v>
      </c>
      <c r="D419" s="189" t="s">
        <v>234</v>
      </c>
      <c r="E419" s="189">
        <v>25</v>
      </c>
      <c r="F419" s="189">
        <v>1687</v>
      </c>
      <c r="G419" s="189">
        <v>25</v>
      </c>
      <c r="H419" s="189">
        <v>18</v>
      </c>
      <c r="I419" s="189">
        <v>27659.4</v>
      </c>
      <c r="J419" s="189">
        <v>6.51</v>
      </c>
    </row>
    <row r="420" spans="1:10" ht="18" customHeight="1">
      <c r="A420" s="227">
        <v>42608</v>
      </c>
      <c r="B420" s="230" t="s">
        <v>317</v>
      </c>
      <c r="C420" s="235">
        <v>300009185572</v>
      </c>
      <c r="D420" s="189" t="s">
        <v>237</v>
      </c>
      <c r="E420" s="189">
        <v>18</v>
      </c>
      <c r="F420" s="189">
        <v>904</v>
      </c>
      <c r="G420" s="189">
        <v>18</v>
      </c>
      <c r="H420" s="189">
        <v>10</v>
      </c>
      <c r="I420" s="189">
        <v>13420.9</v>
      </c>
      <c r="J420" s="189">
        <v>7.45</v>
      </c>
    </row>
    <row r="421" spans="1:10" ht="18" customHeight="1">
      <c r="A421" s="227">
        <v>42608</v>
      </c>
      <c r="B421" s="230" t="s">
        <v>317</v>
      </c>
      <c r="C421" s="235">
        <v>300009406202</v>
      </c>
      <c r="D421" s="189" t="s">
        <v>232</v>
      </c>
      <c r="E421" s="189">
        <v>3</v>
      </c>
      <c r="F421" s="189">
        <v>446</v>
      </c>
      <c r="G421" s="189">
        <v>3</v>
      </c>
      <c r="H421" s="189">
        <v>1</v>
      </c>
      <c r="I421" s="189">
        <v>5737.5</v>
      </c>
      <c r="J421" s="189">
        <v>1</v>
      </c>
    </row>
    <row r="422" spans="1:10" ht="18" customHeight="1">
      <c r="A422" s="227">
        <v>42609</v>
      </c>
      <c r="B422" s="230" t="s">
        <v>317</v>
      </c>
      <c r="C422" s="233">
        <v>300009374215</v>
      </c>
      <c r="D422" s="234" t="s">
        <v>236</v>
      </c>
      <c r="E422" s="234">
        <v>30</v>
      </c>
      <c r="F422" s="234">
        <v>3283</v>
      </c>
      <c r="G422" s="234">
        <v>30</v>
      </c>
      <c r="H422" s="234">
        <v>18</v>
      </c>
      <c r="I422" s="234">
        <v>74422.2</v>
      </c>
      <c r="J422" s="234">
        <v>2.42</v>
      </c>
    </row>
    <row r="423" spans="1:10" ht="18" customHeight="1">
      <c r="A423" s="227">
        <v>42609</v>
      </c>
      <c r="B423" s="230" t="s">
        <v>317</v>
      </c>
      <c r="C423" s="224">
        <v>300009184067</v>
      </c>
      <c r="D423" s="216" t="s">
        <v>233</v>
      </c>
      <c r="E423" s="216">
        <v>37</v>
      </c>
      <c r="F423" s="216">
        <v>2211</v>
      </c>
      <c r="G423" s="216">
        <v>37</v>
      </c>
      <c r="H423" s="216">
        <v>22</v>
      </c>
      <c r="I423" s="216">
        <v>38002.6</v>
      </c>
      <c r="J423" s="216">
        <v>5.79</v>
      </c>
    </row>
    <row r="424" spans="1:10" ht="18" customHeight="1">
      <c r="A424" s="227">
        <v>42609</v>
      </c>
      <c r="B424" s="230" t="s">
        <v>317</v>
      </c>
      <c r="C424" s="224">
        <v>300009374212</v>
      </c>
      <c r="D424" s="216" t="s">
        <v>235</v>
      </c>
      <c r="E424" s="216">
        <v>19</v>
      </c>
      <c r="F424" s="216">
        <v>2031</v>
      </c>
      <c r="G424" s="216">
        <v>19</v>
      </c>
      <c r="H424" s="216">
        <v>12</v>
      </c>
      <c r="I424" s="216">
        <v>41495.199999999997</v>
      </c>
      <c r="J424" s="216">
        <v>2.89</v>
      </c>
    </row>
    <row r="425" spans="1:10" ht="18" customHeight="1">
      <c r="A425" s="227">
        <v>42609</v>
      </c>
      <c r="B425" s="230" t="s">
        <v>317</v>
      </c>
      <c r="C425" s="224">
        <v>300009406201</v>
      </c>
      <c r="D425" s="216" t="s">
        <v>234</v>
      </c>
      <c r="E425" s="216">
        <v>27</v>
      </c>
      <c r="F425" s="216">
        <v>1891</v>
      </c>
      <c r="G425" s="216">
        <v>27</v>
      </c>
      <c r="H425" s="216">
        <v>18</v>
      </c>
      <c r="I425" s="216">
        <v>30172.6</v>
      </c>
      <c r="J425" s="216">
        <v>5.97</v>
      </c>
    </row>
    <row r="426" spans="1:10" ht="18" customHeight="1">
      <c r="A426" s="227">
        <v>42609</v>
      </c>
      <c r="B426" s="230" t="s">
        <v>317</v>
      </c>
      <c r="C426" s="224">
        <v>300009406202</v>
      </c>
      <c r="D426" s="216" t="s">
        <v>232</v>
      </c>
      <c r="E426" s="216">
        <v>3</v>
      </c>
      <c r="F426" s="216">
        <v>637</v>
      </c>
      <c r="G426" s="216">
        <v>3</v>
      </c>
      <c r="H426" s="216">
        <v>1</v>
      </c>
      <c r="I426" s="216">
        <v>8288</v>
      </c>
      <c r="J426" s="216">
        <v>1</v>
      </c>
    </row>
    <row r="427" spans="1:10" ht="18" customHeight="1">
      <c r="A427" s="227">
        <v>42610</v>
      </c>
      <c r="B427" s="230" t="s">
        <v>317</v>
      </c>
      <c r="C427" s="224">
        <v>300009374215</v>
      </c>
      <c r="D427" s="216" t="s">
        <v>236</v>
      </c>
      <c r="E427" s="216">
        <v>27</v>
      </c>
      <c r="F427" s="216">
        <v>3045</v>
      </c>
      <c r="G427" s="216">
        <v>27</v>
      </c>
      <c r="H427" s="216">
        <v>17</v>
      </c>
      <c r="I427" s="216">
        <v>68749.2</v>
      </c>
      <c r="J427" s="216">
        <v>2.4700000000000002</v>
      </c>
    </row>
    <row r="428" spans="1:10" ht="18" customHeight="1">
      <c r="A428" s="227">
        <v>42610</v>
      </c>
      <c r="B428" s="230" t="s">
        <v>317</v>
      </c>
      <c r="C428" s="224">
        <v>300009184067</v>
      </c>
      <c r="D428" s="216" t="s">
        <v>233</v>
      </c>
      <c r="E428" s="216">
        <v>38</v>
      </c>
      <c r="F428" s="216">
        <v>2211</v>
      </c>
      <c r="G428" s="216">
        <v>38</v>
      </c>
      <c r="H428" s="216">
        <v>23</v>
      </c>
      <c r="I428" s="216">
        <v>38002.6</v>
      </c>
      <c r="J428" s="216">
        <v>6.05</v>
      </c>
    </row>
    <row r="429" spans="1:10" ht="18" customHeight="1">
      <c r="A429" s="227">
        <v>42610</v>
      </c>
      <c r="B429" s="230" t="s">
        <v>317</v>
      </c>
      <c r="C429" s="224">
        <v>300009374212</v>
      </c>
      <c r="D429" s="216" t="s">
        <v>235</v>
      </c>
      <c r="E429" s="216">
        <v>19</v>
      </c>
      <c r="F429" s="216">
        <v>2169</v>
      </c>
      <c r="G429" s="216">
        <v>19</v>
      </c>
      <c r="H429" s="216">
        <v>12</v>
      </c>
      <c r="I429" s="216">
        <v>44614.2</v>
      </c>
      <c r="J429" s="216">
        <v>2.69</v>
      </c>
    </row>
    <row r="430" spans="1:10" ht="18" customHeight="1">
      <c r="A430" s="227">
        <v>42610</v>
      </c>
      <c r="B430" s="230" t="s">
        <v>317</v>
      </c>
      <c r="C430" s="224">
        <v>300009406201</v>
      </c>
      <c r="D430" s="216" t="s">
        <v>234</v>
      </c>
      <c r="E430" s="216">
        <v>29</v>
      </c>
      <c r="F430" s="216">
        <v>2118</v>
      </c>
      <c r="G430" s="216">
        <v>29</v>
      </c>
      <c r="H430" s="216">
        <v>19</v>
      </c>
      <c r="I430" s="216">
        <v>33412.300000000003</v>
      </c>
      <c r="J430" s="216">
        <v>5.69</v>
      </c>
    </row>
    <row r="431" spans="1:10" ht="18" customHeight="1">
      <c r="A431" s="227">
        <v>42610</v>
      </c>
      <c r="B431" s="230" t="s">
        <v>317</v>
      </c>
      <c r="C431" s="224">
        <v>300009406202</v>
      </c>
      <c r="D431" s="216" t="s">
        <v>232</v>
      </c>
      <c r="E431" s="216">
        <v>5</v>
      </c>
      <c r="F431" s="216">
        <v>870</v>
      </c>
      <c r="G431" s="216">
        <v>5</v>
      </c>
      <c r="H431" s="216">
        <v>2</v>
      </c>
      <c r="I431" s="216">
        <v>11534.2</v>
      </c>
      <c r="J431" s="216">
        <v>1.73</v>
      </c>
    </row>
    <row r="432" spans="1:10" ht="18" customHeight="1">
      <c r="A432" s="227">
        <v>42608</v>
      </c>
      <c r="B432" s="214" t="s">
        <v>318</v>
      </c>
      <c r="C432" s="224">
        <v>300008823388</v>
      </c>
      <c r="D432" s="216" t="s">
        <v>231</v>
      </c>
      <c r="E432" s="216">
        <v>30</v>
      </c>
      <c r="F432" s="216">
        <v>5861</v>
      </c>
      <c r="G432" s="216">
        <v>30</v>
      </c>
      <c r="H432" s="216">
        <v>21</v>
      </c>
      <c r="I432" s="216">
        <v>114493.33</v>
      </c>
      <c r="J432" s="216">
        <v>1.83</v>
      </c>
    </row>
    <row r="433" spans="1:10" ht="18" customHeight="1">
      <c r="A433" s="227">
        <v>42609</v>
      </c>
      <c r="B433" s="214" t="s">
        <v>318</v>
      </c>
      <c r="C433" s="224">
        <v>300008823388</v>
      </c>
      <c r="D433" s="216" t="s">
        <v>231</v>
      </c>
      <c r="E433" s="216">
        <v>30</v>
      </c>
      <c r="F433" s="216">
        <v>5623</v>
      </c>
      <c r="G433" s="216">
        <v>30</v>
      </c>
      <c r="H433" s="216">
        <v>20</v>
      </c>
      <c r="I433" s="216">
        <v>109494</v>
      </c>
      <c r="J433" s="216">
        <v>1.83</v>
      </c>
    </row>
    <row r="434" spans="1:10" ht="18" customHeight="1">
      <c r="A434" s="227">
        <v>42610</v>
      </c>
      <c r="B434" s="214" t="s">
        <v>318</v>
      </c>
      <c r="C434" s="224">
        <v>300008823388</v>
      </c>
      <c r="D434" s="216" t="s">
        <v>231</v>
      </c>
      <c r="E434" s="216">
        <v>29</v>
      </c>
      <c r="F434" s="216">
        <v>5372</v>
      </c>
      <c r="G434" s="216">
        <v>29</v>
      </c>
      <c r="H434" s="216">
        <v>20</v>
      </c>
      <c r="I434" s="216">
        <v>104494.7</v>
      </c>
      <c r="J434" s="216">
        <v>1.91</v>
      </c>
    </row>
    <row r="435" spans="1:10" ht="18" customHeight="1">
      <c r="A435" s="227">
        <v>42608</v>
      </c>
      <c r="B435" s="214" t="s">
        <v>319</v>
      </c>
      <c r="C435" s="224">
        <v>300009358277</v>
      </c>
      <c r="D435" s="216" t="s">
        <v>266</v>
      </c>
      <c r="E435" s="216">
        <v>317</v>
      </c>
      <c r="F435" s="216">
        <v>32745</v>
      </c>
      <c r="G435" s="216">
        <v>96.81</v>
      </c>
      <c r="H435" s="216">
        <v>187</v>
      </c>
      <c r="I435" s="216">
        <v>586786</v>
      </c>
      <c r="J435" s="216">
        <v>3.19</v>
      </c>
    </row>
    <row r="436" spans="1:10" ht="18" customHeight="1">
      <c r="A436" s="227">
        <v>42609</v>
      </c>
      <c r="B436" s="214" t="s">
        <v>319</v>
      </c>
      <c r="C436" s="224">
        <v>300009358277</v>
      </c>
      <c r="D436" s="216" t="s">
        <v>266</v>
      </c>
      <c r="E436" s="216">
        <v>282</v>
      </c>
      <c r="F436" s="216">
        <v>27494</v>
      </c>
      <c r="G436" s="216">
        <v>102.57</v>
      </c>
      <c r="H436" s="216">
        <v>161</v>
      </c>
      <c r="I436" s="216">
        <v>509294.86</v>
      </c>
      <c r="J436" s="216">
        <v>3.16</v>
      </c>
    </row>
    <row r="437" spans="1:10" ht="18" customHeight="1">
      <c r="A437" s="227">
        <v>42610</v>
      </c>
      <c r="B437" s="214" t="s">
        <v>319</v>
      </c>
      <c r="C437" s="224">
        <v>300009358277</v>
      </c>
      <c r="D437" s="216" t="s">
        <v>266</v>
      </c>
      <c r="E437" s="216">
        <v>261</v>
      </c>
      <c r="F437" s="216">
        <v>24673</v>
      </c>
      <c r="G437" s="216">
        <v>105.78</v>
      </c>
      <c r="H437" s="216">
        <v>145</v>
      </c>
      <c r="I437" s="216">
        <v>469414.45</v>
      </c>
      <c r="J437" s="216">
        <v>3.09</v>
      </c>
    </row>
    <row r="438" spans="1:10" ht="18" customHeight="1">
      <c r="A438" s="227">
        <v>42610</v>
      </c>
      <c r="B438" s="214" t="s">
        <v>320</v>
      </c>
      <c r="C438" s="224">
        <v>300009192151</v>
      </c>
      <c r="D438" s="216" t="s">
        <v>230</v>
      </c>
      <c r="E438" s="216">
        <v>2</v>
      </c>
      <c r="F438" s="216">
        <v>746</v>
      </c>
      <c r="G438" s="216">
        <v>2</v>
      </c>
      <c r="H438" s="216">
        <v>0</v>
      </c>
      <c r="I438" s="216">
        <v>9344.5</v>
      </c>
      <c r="J438" s="216">
        <v>0</v>
      </c>
    </row>
    <row r="439" spans="1:10" ht="18" customHeight="1">
      <c r="A439" s="227">
        <v>42608</v>
      </c>
      <c r="B439" s="214" t="s">
        <v>321</v>
      </c>
      <c r="C439" s="224">
        <v>300009480238</v>
      </c>
      <c r="D439" s="216" t="s">
        <v>263</v>
      </c>
      <c r="E439" s="216">
        <v>18</v>
      </c>
      <c r="F439" s="216">
        <v>3790</v>
      </c>
      <c r="G439" s="216">
        <v>18</v>
      </c>
      <c r="H439" s="216">
        <v>16</v>
      </c>
      <c r="I439" s="216">
        <v>70174</v>
      </c>
      <c r="J439" s="216">
        <v>2.2799999999999998</v>
      </c>
    </row>
    <row r="440" spans="1:10" ht="18" customHeight="1">
      <c r="A440" s="227">
        <v>42609</v>
      </c>
      <c r="B440" s="214" t="s">
        <v>321</v>
      </c>
      <c r="C440" s="224">
        <v>300009480238</v>
      </c>
      <c r="D440" s="216" t="s">
        <v>263</v>
      </c>
      <c r="E440" s="216">
        <v>19</v>
      </c>
      <c r="F440" s="216">
        <v>4011</v>
      </c>
      <c r="G440" s="216">
        <v>19</v>
      </c>
      <c r="H440" s="216">
        <v>17</v>
      </c>
      <c r="I440" s="216">
        <v>73133.100000000006</v>
      </c>
      <c r="J440" s="216">
        <v>2.3199999999999998</v>
      </c>
    </row>
    <row r="441" spans="1:10" ht="18" customHeight="1">
      <c r="A441" s="227">
        <v>42610</v>
      </c>
      <c r="B441" s="214" t="s">
        <v>321</v>
      </c>
      <c r="C441" s="224">
        <v>300009480238</v>
      </c>
      <c r="D441" s="216" t="s">
        <v>263</v>
      </c>
      <c r="E441" s="216">
        <v>20</v>
      </c>
      <c r="F441" s="216">
        <v>4253</v>
      </c>
      <c r="G441" s="216">
        <v>20</v>
      </c>
      <c r="H441" s="216">
        <v>17</v>
      </c>
      <c r="I441" s="216">
        <v>76130.5</v>
      </c>
      <c r="J441" s="216">
        <v>2.23</v>
      </c>
    </row>
    <row r="442" spans="1:10" ht="18" customHeight="1">
      <c r="A442" s="227">
        <v>42608</v>
      </c>
      <c r="B442" s="214" t="s">
        <v>322</v>
      </c>
      <c r="C442" s="224">
        <v>300009290321</v>
      </c>
      <c r="D442" s="216" t="s">
        <v>194</v>
      </c>
      <c r="E442" s="216">
        <v>16</v>
      </c>
      <c r="F442" s="216">
        <v>4113</v>
      </c>
      <c r="G442" s="216">
        <v>16</v>
      </c>
      <c r="H442" s="216">
        <v>8</v>
      </c>
      <c r="I442" s="216">
        <v>85648.7</v>
      </c>
      <c r="J442" s="216">
        <v>0.93</v>
      </c>
    </row>
    <row r="443" spans="1:10" ht="18" customHeight="1">
      <c r="A443" s="227">
        <v>42609</v>
      </c>
      <c r="B443" s="214" t="s">
        <v>322</v>
      </c>
      <c r="C443" s="224">
        <v>300009290321</v>
      </c>
      <c r="D443" s="216" t="s">
        <v>194</v>
      </c>
      <c r="E443" s="216">
        <v>16</v>
      </c>
      <c r="F443" s="216">
        <v>4313</v>
      </c>
      <c r="G443" s="216">
        <v>16</v>
      </c>
      <c r="H443" s="216">
        <v>8</v>
      </c>
      <c r="I443" s="216">
        <v>89808.1</v>
      </c>
      <c r="J443" s="216">
        <v>0.89</v>
      </c>
    </row>
    <row r="444" spans="1:10" ht="18" customHeight="1">
      <c r="A444" s="227">
        <v>42610</v>
      </c>
      <c r="B444" s="214" t="s">
        <v>322</v>
      </c>
      <c r="C444" s="224">
        <v>300009290321</v>
      </c>
      <c r="D444" s="216" t="s">
        <v>194</v>
      </c>
      <c r="E444" s="216">
        <v>17</v>
      </c>
      <c r="F444" s="216">
        <v>4477</v>
      </c>
      <c r="G444" s="216">
        <v>17</v>
      </c>
      <c r="H444" s="216">
        <v>8</v>
      </c>
      <c r="I444" s="216">
        <v>93219.8</v>
      </c>
      <c r="J444" s="216">
        <v>0.86</v>
      </c>
    </row>
    <row r="445" spans="1:10" ht="18" customHeight="1">
      <c r="A445" s="227">
        <v>42608</v>
      </c>
      <c r="B445" s="214" t="s">
        <v>323</v>
      </c>
      <c r="C445" s="224">
        <v>300009000071</v>
      </c>
      <c r="D445" s="216" t="s">
        <v>192</v>
      </c>
      <c r="E445" s="216">
        <v>33</v>
      </c>
      <c r="F445" s="216">
        <v>5455</v>
      </c>
      <c r="G445" s="216">
        <v>33</v>
      </c>
      <c r="H445" s="216">
        <v>19</v>
      </c>
      <c r="I445" s="216">
        <v>78203.63</v>
      </c>
      <c r="J445" s="216">
        <v>2.4300000000000002</v>
      </c>
    </row>
    <row r="446" spans="1:10" ht="18" customHeight="1">
      <c r="A446" s="227">
        <v>42608</v>
      </c>
      <c r="B446" s="214" t="s">
        <v>323</v>
      </c>
      <c r="C446" s="224">
        <v>300008875665</v>
      </c>
      <c r="D446" s="216" t="s">
        <v>189</v>
      </c>
      <c r="E446" s="216">
        <v>40</v>
      </c>
      <c r="F446" s="216">
        <v>5097</v>
      </c>
      <c r="G446" s="216">
        <v>40</v>
      </c>
      <c r="H446" s="216">
        <v>28</v>
      </c>
      <c r="I446" s="216">
        <v>110190.72</v>
      </c>
      <c r="J446" s="216">
        <v>2.54</v>
      </c>
    </row>
    <row r="447" spans="1:10" ht="18" customHeight="1">
      <c r="A447" s="227">
        <v>42608</v>
      </c>
      <c r="B447" s="214" t="s">
        <v>323</v>
      </c>
      <c r="C447" s="224">
        <v>300008579657</v>
      </c>
      <c r="D447" s="216" t="s">
        <v>188</v>
      </c>
      <c r="E447" s="216">
        <v>34</v>
      </c>
      <c r="F447" s="216">
        <v>3895</v>
      </c>
      <c r="G447" s="216">
        <v>34</v>
      </c>
      <c r="H447" s="216">
        <v>19</v>
      </c>
      <c r="I447" s="216">
        <v>56192.11</v>
      </c>
      <c r="J447" s="216">
        <v>3.38</v>
      </c>
    </row>
    <row r="448" spans="1:10" ht="18" customHeight="1">
      <c r="A448" s="227">
        <v>42608</v>
      </c>
      <c r="B448" s="214" t="s">
        <v>323</v>
      </c>
      <c r="C448" s="224">
        <v>300009235971</v>
      </c>
      <c r="D448" s="216" t="s">
        <v>241</v>
      </c>
      <c r="E448" s="216">
        <v>21</v>
      </c>
      <c r="F448" s="216">
        <v>3743</v>
      </c>
      <c r="G448" s="216">
        <v>21</v>
      </c>
      <c r="H448" s="216">
        <v>12</v>
      </c>
      <c r="I448" s="216">
        <v>57422.8</v>
      </c>
      <c r="J448" s="216">
        <v>2.09</v>
      </c>
    </row>
    <row r="449" spans="1:10" ht="18" customHeight="1">
      <c r="A449" s="227">
        <v>42608</v>
      </c>
      <c r="B449" s="214" t="s">
        <v>323</v>
      </c>
      <c r="C449" s="224">
        <v>300009235974</v>
      </c>
      <c r="D449" s="216" t="s">
        <v>187</v>
      </c>
      <c r="E449" s="216">
        <v>44</v>
      </c>
      <c r="F449" s="216">
        <v>3682</v>
      </c>
      <c r="G449" s="216">
        <v>44</v>
      </c>
      <c r="H449" s="216">
        <v>28</v>
      </c>
      <c r="I449" s="216">
        <v>72548.800000000003</v>
      </c>
      <c r="J449" s="216">
        <v>3.86</v>
      </c>
    </row>
    <row r="450" spans="1:10" ht="18" customHeight="1">
      <c r="A450" s="227">
        <v>42608</v>
      </c>
      <c r="B450" s="214" t="s">
        <v>323</v>
      </c>
      <c r="C450" s="224">
        <v>300008839381</v>
      </c>
      <c r="D450" s="216" t="s">
        <v>190</v>
      </c>
      <c r="E450" s="216">
        <v>3</v>
      </c>
      <c r="F450" s="216">
        <v>917</v>
      </c>
      <c r="G450" s="216">
        <v>3</v>
      </c>
      <c r="H450" s="216">
        <v>1</v>
      </c>
      <c r="I450" s="216">
        <v>13387.8</v>
      </c>
      <c r="J450" s="216">
        <v>0.75</v>
      </c>
    </row>
    <row r="451" spans="1:10" ht="18" customHeight="1">
      <c r="A451" s="227">
        <v>42609</v>
      </c>
      <c r="B451" s="214" t="s">
        <v>323</v>
      </c>
      <c r="C451" s="224">
        <v>300009000071</v>
      </c>
      <c r="D451" s="216" t="s">
        <v>192</v>
      </c>
      <c r="E451" s="216">
        <v>34</v>
      </c>
      <c r="F451" s="216">
        <v>5455</v>
      </c>
      <c r="G451" s="216">
        <v>34</v>
      </c>
      <c r="H451" s="216">
        <v>20</v>
      </c>
      <c r="I451" s="216">
        <v>78203.63</v>
      </c>
      <c r="J451" s="216">
        <v>2.56</v>
      </c>
    </row>
    <row r="452" spans="1:10" ht="18" customHeight="1">
      <c r="A452" s="227">
        <v>42609</v>
      </c>
      <c r="B452" s="214" t="s">
        <v>323</v>
      </c>
      <c r="C452" s="224">
        <v>300008875665</v>
      </c>
      <c r="D452" s="216" t="s">
        <v>189</v>
      </c>
      <c r="E452" s="216">
        <v>42</v>
      </c>
      <c r="F452" s="216">
        <v>5097</v>
      </c>
      <c r="G452" s="216">
        <v>42</v>
      </c>
      <c r="H452" s="216">
        <v>29</v>
      </c>
      <c r="I452" s="216">
        <v>110190.72</v>
      </c>
      <c r="J452" s="216">
        <v>2.63</v>
      </c>
    </row>
    <row r="453" spans="1:10" ht="18" customHeight="1">
      <c r="A453" s="227">
        <v>42609</v>
      </c>
      <c r="B453" s="214" t="s">
        <v>323</v>
      </c>
      <c r="C453" s="224">
        <v>300008579657</v>
      </c>
      <c r="D453" s="216" t="s">
        <v>188</v>
      </c>
      <c r="E453" s="216">
        <v>36</v>
      </c>
      <c r="F453" s="216">
        <v>3895</v>
      </c>
      <c r="G453" s="216">
        <v>36</v>
      </c>
      <c r="H453" s="216">
        <v>21</v>
      </c>
      <c r="I453" s="216">
        <v>56192.11</v>
      </c>
      <c r="J453" s="216">
        <v>3.74</v>
      </c>
    </row>
    <row r="454" spans="1:10" ht="18" customHeight="1">
      <c r="A454" s="227">
        <v>42609</v>
      </c>
      <c r="B454" s="214" t="s">
        <v>323</v>
      </c>
      <c r="C454" s="224">
        <v>300009235971</v>
      </c>
      <c r="D454" s="216" t="s">
        <v>241</v>
      </c>
      <c r="E454" s="216">
        <v>23</v>
      </c>
      <c r="F454" s="216">
        <v>3884</v>
      </c>
      <c r="G454" s="216">
        <v>23</v>
      </c>
      <c r="H454" s="216">
        <v>13</v>
      </c>
      <c r="I454" s="216">
        <v>59601.4</v>
      </c>
      <c r="J454" s="216">
        <v>2.1800000000000002</v>
      </c>
    </row>
    <row r="455" spans="1:10" ht="18" customHeight="1">
      <c r="A455" s="227">
        <v>42609</v>
      </c>
      <c r="B455" s="214" t="s">
        <v>323</v>
      </c>
      <c r="C455" s="224">
        <v>300009235974</v>
      </c>
      <c r="D455" s="216" t="s">
        <v>187</v>
      </c>
      <c r="E455" s="216">
        <v>46</v>
      </c>
      <c r="F455" s="216">
        <v>3682</v>
      </c>
      <c r="G455" s="216">
        <v>46</v>
      </c>
      <c r="H455" s="216">
        <v>28</v>
      </c>
      <c r="I455" s="216">
        <v>72548.800000000003</v>
      </c>
      <c r="J455" s="216">
        <v>3.86</v>
      </c>
    </row>
    <row r="456" spans="1:10" ht="18" customHeight="1">
      <c r="A456" s="227">
        <v>42609</v>
      </c>
      <c r="B456" s="214" t="s">
        <v>323</v>
      </c>
      <c r="C456" s="224">
        <v>300008839381</v>
      </c>
      <c r="D456" s="216" t="s">
        <v>190</v>
      </c>
      <c r="E456" s="216">
        <v>3</v>
      </c>
      <c r="F456" s="216">
        <v>1168</v>
      </c>
      <c r="G456" s="216">
        <v>3</v>
      </c>
      <c r="H456" s="216">
        <v>1</v>
      </c>
      <c r="I456" s="216">
        <v>16450.7</v>
      </c>
      <c r="J456" s="216">
        <v>0.61</v>
      </c>
    </row>
    <row r="457" spans="1:10" ht="18" customHeight="1">
      <c r="A457" s="227">
        <v>42609</v>
      </c>
      <c r="B457" s="214" t="s">
        <v>323</v>
      </c>
      <c r="C457" s="224">
        <v>300008244937</v>
      </c>
      <c r="D457" s="216" t="s">
        <v>272</v>
      </c>
      <c r="E457" s="216">
        <v>1</v>
      </c>
      <c r="F457" s="216">
        <v>696</v>
      </c>
      <c r="G457" s="216">
        <v>1</v>
      </c>
      <c r="H457" s="216">
        <v>0</v>
      </c>
      <c r="I457" s="216">
        <v>12393.26</v>
      </c>
      <c r="J457" s="216">
        <v>0</v>
      </c>
    </row>
    <row r="458" spans="1:10" ht="18" customHeight="1">
      <c r="A458" s="227">
        <v>42610</v>
      </c>
      <c r="B458" s="214" t="s">
        <v>323</v>
      </c>
      <c r="C458" s="224">
        <v>300009000071</v>
      </c>
      <c r="D458" s="216" t="s">
        <v>192</v>
      </c>
      <c r="E458" s="216">
        <v>36</v>
      </c>
      <c r="F458" s="216">
        <v>5455</v>
      </c>
      <c r="G458" s="216">
        <v>36</v>
      </c>
      <c r="H458" s="216">
        <v>21</v>
      </c>
      <c r="I458" s="216">
        <v>78203.63</v>
      </c>
      <c r="J458" s="216">
        <v>2.69</v>
      </c>
    </row>
    <row r="459" spans="1:10" ht="18" customHeight="1">
      <c r="A459" s="227">
        <v>42610</v>
      </c>
      <c r="B459" s="214" t="s">
        <v>323</v>
      </c>
      <c r="C459" s="224">
        <v>300008875665</v>
      </c>
      <c r="D459" s="216" t="s">
        <v>189</v>
      </c>
      <c r="E459" s="216">
        <v>42</v>
      </c>
      <c r="F459" s="216">
        <v>5097</v>
      </c>
      <c r="G459" s="216">
        <v>42</v>
      </c>
      <c r="H459" s="216">
        <v>30</v>
      </c>
      <c r="I459" s="216">
        <v>110190.72</v>
      </c>
      <c r="J459" s="216">
        <v>2.72</v>
      </c>
    </row>
    <row r="460" spans="1:10" ht="18" customHeight="1">
      <c r="A460" s="227">
        <v>42610</v>
      </c>
      <c r="B460" s="214" t="s">
        <v>323</v>
      </c>
      <c r="C460" s="224">
        <v>300009235971</v>
      </c>
      <c r="D460" s="216" t="s">
        <v>241</v>
      </c>
      <c r="E460" s="216">
        <v>23</v>
      </c>
      <c r="F460" s="216">
        <v>4013</v>
      </c>
      <c r="G460" s="216">
        <v>23</v>
      </c>
      <c r="H460" s="216">
        <v>13</v>
      </c>
      <c r="I460" s="216">
        <v>61491.1</v>
      </c>
      <c r="J460" s="216">
        <v>2.11</v>
      </c>
    </row>
    <row r="461" spans="1:10" ht="18" customHeight="1">
      <c r="A461" s="227">
        <v>42610</v>
      </c>
      <c r="B461" s="214" t="s">
        <v>323</v>
      </c>
      <c r="C461" s="224">
        <v>300009235974</v>
      </c>
      <c r="D461" s="216" t="s">
        <v>187</v>
      </c>
      <c r="E461" s="216">
        <v>46</v>
      </c>
      <c r="F461" s="216">
        <v>3682</v>
      </c>
      <c r="G461" s="216">
        <v>46</v>
      </c>
      <c r="H461" s="216">
        <v>28</v>
      </c>
      <c r="I461" s="216">
        <v>72548.800000000003</v>
      </c>
      <c r="J461" s="216">
        <v>3.86</v>
      </c>
    </row>
    <row r="462" spans="1:10" ht="18" customHeight="1">
      <c r="A462" s="227">
        <v>42610</v>
      </c>
      <c r="B462" s="214" t="s">
        <v>323</v>
      </c>
      <c r="C462" s="224">
        <v>300008839381</v>
      </c>
      <c r="D462" s="216" t="s">
        <v>190</v>
      </c>
      <c r="E462" s="216">
        <v>3</v>
      </c>
      <c r="F462" s="216">
        <v>1407</v>
      </c>
      <c r="G462" s="216">
        <v>3</v>
      </c>
      <c r="H462" s="216">
        <v>1</v>
      </c>
      <c r="I462" s="216">
        <v>19709.099999999999</v>
      </c>
      <c r="J462" s="216">
        <v>0.51</v>
      </c>
    </row>
    <row r="463" spans="1:10" ht="18" customHeight="1">
      <c r="A463" s="227">
        <v>42610</v>
      </c>
      <c r="B463" s="214" t="s">
        <v>323</v>
      </c>
      <c r="C463" s="224">
        <v>300008244937</v>
      </c>
      <c r="D463" s="216" t="s">
        <v>272</v>
      </c>
      <c r="E463" s="216">
        <v>3</v>
      </c>
      <c r="F463" s="216">
        <v>1147</v>
      </c>
      <c r="G463" s="216">
        <v>3</v>
      </c>
      <c r="H463" s="216">
        <v>2</v>
      </c>
      <c r="I463" s="216">
        <v>20720.72</v>
      </c>
      <c r="J463" s="216">
        <v>0.97</v>
      </c>
    </row>
    <row r="464" spans="1:10" ht="18" customHeight="1">
      <c r="A464" s="227">
        <v>42610</v>
      </c>
      <c r="B464" s="214" t="s">
        <v>323</v>
      </c>
      <c r="C464" s="224">
        <v>300008579657</v>
      </c>
      <c r="D464" s="216" t="s">
        <v>188</v>
      </c>
      <c r="E464" s="216">
        <v>2</v>
      </c>
      <c r="F464" s="216" t="s">
        <v>242</v>
      </c>
      <c r="G464" s="216">
        <v>2</v>
      </c>
      <c r="H464" s="216">
        <v>1</v>
      </c>
      <c r="I464" s="216">
        <v>0</v>
      </c>
      <c r="J464" s="216">
        <v>1</v>
      </c>
    </row>
    <row r="465" spans="1:10" ht="18" customHeight="1">
      <c r="A465" s="227">
        <v>42611</v>
      </c>
      <c r="B465" s="214" t="s">
        <v>244</v>
      </c>
      <c r="C465" s="224">
        <v>300009358277</v>
      </c>
      <c r="D465" s="216" t="s">
        <v>266</v>
      </c>
      <c r="E465" s="216">
        <v>233</v>
      </c>
      <c r="F465" s="216">
        <v>22407</v>
      </c>
      <c r="G465" s="216">
        <v>103.99</v>
      </c>
      <c r="H465" s="216">
        <v>133</v>
      </c>
      <c r="I465" s="216">
        <v>444148.37</v>
      </c>
      <c r="J465" s="216">
        <v>2.99</v>
      </c>
    </row>
    <row r="466" spans="1:10" ht="18" customHeight="1">
      <c r="A466" s="227">
        <v>42611</v>
      </c>
      <c r="B466" s="214" t="s">
        <v>324</v>
      </c>
      <c r="C466" s="224">
        <v>300009192151</v>
      </c>
      <c r="D466" s="216" t="s">
        <v>230</v>
      </c>
      <c r="E466" s="216">
        <v>3</v>
      </c>
      <c r="F466" s="216">
        <v>986</v>
      </c>
      <c r="G466" s="216">
        <v>3</v>
      </c>
      <c r="H466" s="216">
        <v>1</v>
      </c>
      <c r="I466" s="216">
        <v>12730.7</v>
      </c>
      <c r="J466" s="216">
        <v>0.79</v>
      </c>
    </row>
    <row r="467" spans="1:10" ht="18" customHeight="1">
      <c r="A467" s="227">
        <v>42611</v>
      </c>
      <c r="B467" s="214" t="s">
        <v>325</v>
      </c>
      <c r="C467" s="224">
        <v>300009480238</v>
      </c>
      <c r="D467" s="216" t="s">
        <v>263</v>
      </c>
      <c r="E467" s="216">
        <v>21</v>
      </c>
      <c r="F467" s="216">
        <v>4449</v>
      </c>
      <c r="G467" s="216">
        <v>21</v>
      </c>
      <c r="H467" s="216">
        <v>17</v>
      </c>
      <c r="I467" s="216">
        <v>78337.7</v>
      </c>
      <c r="J467" s="216">
        <v>2.17</v>
      </c>
    </row>
    <row r="468" spans="1:10" ht="18" customHeight="1">
      <c r="A468" s="227">
        <v>42611</v>
      </c>
      <c r="B468" s="214" t="s">
        <v>326</v>
      </c>
      <c r="C468" s="224">
        <v>300009374215</v>
      </c>
      <c r="D468" s="216" t="s">
        <v>236</v>
      </c>
      <c r="E468" s="216">
        <v>26</v>
      </c>
      <c r="F468" s="216">
        <v>2766</v>
      </c>
      <c r="G468" s="216">
        <v>26</v>
      </c>
      <c r="H468" s="216">
        <v>16</v>
      </c>
      <c r="I468" s="216">
        <v>62256.3</v>
      </c>
      <c r="J468" s="216">
        <v>2.57</v>
      </c>
    </row>
    <row r="469" spans="1:10" ht="18" customHeight="1">
      <c r="A469" s="227">
        <v>42611</v>
      </c>
      <c r="B469" s="214" t="s">
        <v>326</v>
      </c>
      <c r="C469" s="224">
        <v>300009374212</v>
      </c>
      <c r="D469" s="216" t="s">
        <v>235</v>
      </c>
      <c r="E469" s="216">
        <v>20</v>
      </c>
      <c r="F469" s="216">
        <v>2457</v>
      </c>
      <c r="G469" s="216">
        <v>20</v>
      </c>
      <c r="H469" s="216">
        <v>12</v>
      </c>
      <c r="I469" s="216">
        <v>51923.6</v>
      </c>
      <c r="J469" s="216">
        <v>2.31</v>
      </c>
    </row>
    <row r="470" spans="1:10" ht="18" customHeight="1">
      <c r="A470" s="227">
        <v>42611</v>
      </c>
      <c r="B470" s="214" t="s">
        <v>326</v>
      </c>
      <c r="C470" s="224">
        <v>300009406201</v>
      </c>
      <c r="D470" s="216" t="s">
        <v>234</v>
      </c>
      <c r="E470" s="216">
        <v>29</v>
      </c>
      <c r="F470" s="216">
        <v>2447</v>
      </c>
      <c r="G470" s="216">
        <v>29</v>
      </c>
      <c r="H470" s="216">
        <v>19</v>
      </c>
      <c r="I470" s="216">
        <v>38433</v>
      </c>
      <c r="J470" s="216">
        <v>4.9400000000000004</v>
      </c>
    </row>
    <row r="471" spans="1:10" ht="18" customHeight="1">
      <c r="A471" s="227">
        <v>42611</v>
      </c>
      <c r="B471" s="214" t="s">
        <v>326</v>
      </c>
      <c r="C471" s="224">
        <v>300009184067</v>
      </c>
      <c r="D471" s="216" t="s">
        <v>233</v>
      </c>
      <c r="E471" s="216">
        <v>39</v>
      </c>
      <c r="F471" s="216">
        <v>2211</v>
      </c>
      <c r="G471" s="216">
        <v>39</v>
      </c>
      <c r="H471" s="216">
        <v>24</v>
      </c>
      <c r="I471" s="216">
        <v>38002.6</v>
      </c>
      <c r="J471" s="216">
        <v>6.32</v>
      </c>
    </row>
    <row r="472" spans="1:10" ht="18" customHeight="1">
      <c r="A472" s="227">
        <v>42611</v>
      </c>
      <c r="B472" s="214" t="s">
        <v>326</v>
      </c>
      <c r="C472" s="224">
        <v>300009406202</v>
      </c>
      <c r="D472" s="216" t="s">
        <v>232</v>
      </c>
      <c r="E472" s="216">
        <v>6</v>
      </c>
      <c r="F472" s="216">
        <v>1191</v>
      </c>
      <c r="G472" s="216">
        <v>6</v>
      </c>
      <c r="H472" s="216">
        <v>3</v>
      </c>
      <c r="I472" s="216">
        <v>16719.400000000001</v>
      </c>
      <c r="J472" s="216">
        <v>1.79</v>
      </c>
    </row>
    <row r="473" spans="1:10" ht="18" customHeight="1">
      <c r="A473" s="227">
        <v>42611</v>
      </c>
      <c r="B473" s="214" t="s">
        <v>327</v>
      </c>
      <c r="C473" s="224">
        <v>300009290321</v>
      </c>
      <c r="D473" s="216" t="s">
        <v>194</v>
      </c>
      <c r="E473" s="216">
        <v>20</v>
      </c>
      <c r="F473" s="216">
        <v>4590</v>
      </c>
      <c r="G473" s="216">
        <v>20</v>
      </c>
      <c r="H473" s="216">
        <v>11</v>
      </c>
      <c r="I473" s="216">
        <v>95946.1</v>
      </c>
      <c r="J473" s="216">
        <v>1.1499999999999999</v>
      </c>
    </row>
    <row r="474" spans="1:10" ht="18" customHeight="1">
      <c r="A474" s="227">
        <v>42611</v>
      </c>
      <c r="B474" s="214" t="s">
        <v>328</v>
      </c>
      <c r="C474" s="224">
        <v>300009000071</v>
      </c>
      <c r="D474" s="216" t="s">
        <v>192</v>
      </c>
      <c r="E474" s="216">
        <v>36</v>
      </c>
      <c r="F474" s="216">
        <v>5455</v>
      </c>
      <c r="G474" s="216">
        <v>36</v>
      </c>
      <c r="H474" s="216">
        <v>21</v>
      </c>
      <c r="I474" s="216">
        <v>78203.63</v>
      </c>
      <c r="J474" s="216">
        <v>2.69</v>
      </c>
    </row>
    <row r="475" spans="1:10" ht="18" customHeight="1">
      <c r="A475" s="227">
        <v>42611</v>
      </c>
      <c r="B475" s="214" t="s">
        <v>328</v>
      </c>
      <c r="C475" s="224">
        <v>300008875665</v>
      </c>
      <c r="D475" s="216" t="s">
        <v>189</v>
      </c>
      <c r="E475" s="216">
        <v>42</v>
      </c>
      <c r="F475" s="216">
        <v>5097</v>
      </c>
      <c r="G475" s="216">
        <v>42</v>
      </c>
      <c r="H475" s="216">
        <v>30</v>
      </c>
      <c r="I475" s="216">
        <v>110190.72</v>
      </c>
      <c r="J475" s="216">
        <v>2.72</v>
      </c>
    </row>
    <row r="476" spans="1:10" ht="18" customHeight="1">
      <c r="A476" s="227">
        <v>42611</v>
      </c>
      <c r="B476" s="214" t="s">
        <v>328</v>
      </c>
      <c r="C476" s="224">
        <v>300009235971</v>
      </c>
      <c r="D476" s="216" t="s">
        <v>241</v>
      </c>
      <c r="E476" s="216">
        <v>25</v>
      </c>
      <c r="F476" s="216">
        <v>4154</v>
      </c>
      <c r="G476" s="216">
        <v>25</v>
      </c>
      <c r="H476" s="216">
        <v>14</v>
      </c>
      <c r="I476" s="216">
        <v>63447.5</v>
      </c>
      <c r="J476" s="216">
        <v>2.21</v>
      </c>
    </row>
    <row r="477" spans="1:10" ht="18" customHeight="1">
      <c r="A477" s="227">
        <v>42611</v>
      </c>
      <c r="B477" s="214" t="s">
        <v>328</v>
      </c>
      <c r="C477" s="224">
        <v>300008839381</v>
      </c>
      <c r="D477" s="216" t="s">
        <v>190</v>
      </c>
      <c r="E477" s="216">
        <v>4</v>
      </c>
      <c r="F477" s="216">
        <v>1649</v>
      </c>
      <c r="G477" s="216">
        <v>4</v>
      </c>
      <c r="H477" s="216">
        <v>2</v>
      </c>
      <c r="I477" s="216">
        <v>23125</v>
      </c>
      <c r="J477" s="216">
        <v>0.86</v>
      </c>
    </row>
    <row r="478" spans="1:10" ht="18" customHeight="1">
      <c r="A478" s="227">
        <v>42611</v>
      </c>
      <c r="B478" s="214" t="s">
        <v>328</v>
      </c>
      <c r="C478" s="224">
        <v>300008244937</v>
      </c>
      <c r="D478" s="216" t="s">
        <v>272</v>
      </c>
      <c r="E478" s="216">
        <v>7</v>
      </c>
      <c r="F478" s="216">
        <v>1524</v>
      </c>
      <c r="G478" s="216">
        <v>7</v>
      </c>
      <c r="H478" s="216">
        <v>6</v>
      </c>
      <c r="I478" s="216">
        <v>27595.81</v>
      </c>
      <c r="J478" s="216">
        <v>2.17</v>
      </c>
    </row>
    <row r="479" spans="1:10" ht="18" customHeight="1">
      <c r="A479" s="227">
        <v>42611</v>
      </c>
      <c r="B479" s="214" t="s">
        <v>328</v>
      </c>
      <c r="C479" s="224">
        <v>300009003496</v>
      </c>
      <c r="D479" s="216" t="s">
        <v>240</v>
      </c>
      <c r="E479" s="216">
        <v>2</v>
      </c>
      <c r="F479" s="216">
        <v>461</v>
      </c>
      <c r="G479" s="216">
        <v>2</v>
      </c>
      <c r="H479" s="216">
        <v>0</v>
      </c>
      <c r="I479" s="216">
        <v>6079.69</v>
      </c>
      <c r="J479" s="216">
        <v>0</v>
      </c>
    </row>
    <row r="480" spans="1:10" ht="18" customHeight="1">
      <c r="A480" s="227">
        <v>42611</v>
      </c>
      <c r="B480" s="214" t="s">
        <v>328</v>
      </c>
      <c r="C480" s="224">
        <v>300008579657</v>
      </c>
      <c r="D480" s="216" t="s">
        <v>188</v>
      </c>
      <c r="E480" s="216">
        <v>2</v>
      </c>
      <c r="F480" s="216">
        <v>200</v>
      </c>
      <c r="G480" s="216">
        <v>2</v>
      </c>
      <c r="H480" s="216">
        <v>1</v>
      </c>
      <c r="I480" s="216">
        <v>2608.35</v>
      </c>
      <c r="J480" s="216">
        <v>1</v>
      </c>
    </row>
    <row r="481" spans="1:10" ht="18" customHeight="1">
      <c r="A481" s="227">
        <v>42612</v>
      </c>
      <c r="B481" s="214" t="s">
        <v>244</v>
      </c>
      <c r="C481" s="224">
        <v>300009358277</v>
      </c>
      <c r="D481" s="216" t="s">
        <v>266</v>
      </c>
      <c r="E481" s="216">
        <v>221</v>
      </c>
      <c r="F481" s="216">
        <v>20466</v>
      </c>
      <c r="G481" s="216">
        <v>107.98</v>
      </c>
      <c r="H481" s="216">
        <v>126</v>
      </c>
      <c r="I481" s="216">
        <v>426632.32</v>
      </c>
      <c r="J481" s="216">
        <v>2.95</v>
      </c>
    </row>
    <row r="482" spans="1:10" ht="18" customHeight="1">
      <c r="A482" s="227">
        <v>42613</v>
      </c>
      <c r="B482" s="214" t="s">
        <v>244</v>
      </c>
      <c r="C482" s="224">
        <v>300009358277</v>
      </c>
      <c r="D482" s="216" t="s">
        <v>266</v>
      </c>
      <c r="E482" s="216">
        <v>203</v>
      </c>
      <c r="F482" s="216">
        <v>18336</v>
      </c>
      <c r="G482" s="216">
        <v>110.71</v>
      </c>
      <c r="H482" s="216">
        <v>116</v>
      </c>
      <c r="I482" s="216">
        <v>401952.22</v>
      </c>
      <c r="J482" s="216">
        <v>2.89</v>
      </c>
    </row>
    <row r="483" spans="1:10" ht="18" customHeight="1">
      <c r="A483" s="227">
        <v>42612</v>
      </c>
      <c r="B483" s="214" t="s">
        <v>329</v>
      </c>
      <c r="C483" s="224">
        <v>300009480238</v>
      </c>
      <c r="D483" s="216" t="s">
        <v>263</v>
      </c>
      <c r="E483" s="216">
        <v>22</v>
      </c>
      <c r="F483" s="216">
        <v>4672</v>
      </c>
      <c r="G483" s="216">
        <v>22</v>
      </c>
      <c r="H483" s="216">
        <v>17</v>
      </c>
      <c r="I483" s="216">
        <v>81360.899999999994</v>
      </c>
      <c r="J483" s="216">
        <v>2.09</v>
      </c>
    </row>
    <row r="484" spans="1:10" ht="18" customHeight="1">
      <c r="A484" s="227">
        <v>42613</v>
      </c>
      <c r="B484" s="214" t="s">
        <v>329</v>
      </c>
      <c r="C484" s="224">
        <v>300009480238</v>
      </c>
      <c r="D484" s="216" t="s">
        <v>263</v>
      </c>
      <c r="E484" s="216">
        <v>25</v>
      </c>
      <c r="F484" s="216">
        <v>4903</v>
      </c>
      <c r="G484" s="216">
        <v>25</v>
      </c>
      <c r="H484" s="216">
        <v>19</v>
      </c>
      <c r="I484" s="216">
        <v>84368.7</v>
      </c>
      <c r="J484" s="216">
        <v>2.25</v>
      </c>
    </row>
    <row r="485" spans="1:10" ht="18" customHeight="1">
      <c r="A485" s="227">
        <v>42612</v>
      </c>
      <c r="B485" s="214" t="s">
        <v>330</v>
      </c>
      <c r="C485" s="224">
        <v>300009000071</v>
      </c>
      <c r="D485" s="216" t="s">
        <v>192</v>
      </c>
      <c r="E485" s="216">
        <v>37</v>
      </c>
      <c r="F485" s="216">
        <v>5455</v>
      </c>
      <c r="G485" s="216">
        <v>37</v>
      </c>
      <c r="H485" s="216">
        <v>22</v>
      </c>
      <c r="I485" s="216">
        <v>78203.63</v>
      </c>
      <c r="J485" s="216">
        <v>2.81</v>
      </c>
    </row>
    <row r="486" spans="1:10" ht="18" customHeight="1">
      <c r="A486" s="227">
        <v>42612</v>
      </c>
      <c r="B486" s="214" t="s">
        <v>330</v>
      </c>
      <c r="C486" s="224">
        <v>300009235971</v>
      </c>
      <c r="D486" s="216" t="s">
        <v>241</v>
      </c>
      <c r="E486" s="216">
        <v>27</v>
      </c>
      <c r="F486" s="216">
        <v>4321</v>
      </c>
      <c r="G486" s="216">
        <v>27</v>
      </c>
      <c r="H486" s="216">
        <v>15</v>
      </c>
      <c r="I486" s="216">
        <v>65956.7</v>
      </c>
      <c r="J486" s="216">
        <v>2.27</v>
      </c>
    </row>
    <row r="487" spans="1:10" ht="18" customHeight="1">
      <c r="A487" s="227">
        <v>42612</v>
      </c>
      <c r="B487" s="214" t="s">
        <v>330</v>
      </c>
      <c r="C487" s="224">
        <v>300008839381</v>
      </c>
      <c r="D487" s="216" t="s">
        <v>190</v>
      </c>
      <c r="E487" s="216">
        <v>7</v>
      </c>
      <c r="F487" s="216">
        <v>1850</v>
      </c>
      <c r="G487" s="216">
        <v>7</v>
      </c>
      <c r="H487" s="216">
        <v>3</v>
      </c>
      <c r="I487" s="216">
        <v>26071</v>
      </c>
      <c r="J487" s="216">
        <v>1.1499999999999999</v>
      </c>
    </row>
    <row r="488" spans="1:10" ht="18" customHeight="1">
      <c r="A488" s="227">
        <v>42612</v>
      </c>
      <c r="B488" s="214" t="s">
        <v>330</v>
      </c>
      <c r="C488" s="224">
        <v>300008244937</v>
      </c>
      <c r="D488" s="216" t="s">
        <v>272</v>
      </c>
      <c r="E488" s="216">
        <v>9</v>
      </c>
      <c r="F488" s="216">
        <v>1816</v>
      </c>
      <c r="G488" s="216">
        <v>9</v>
      </c>
      <c r="H488" s="216">
        <v>6</v>
      </c>
      <c r="I488" s="216">
        <v>31967.32</v>
      </c>
      <c r="J488" s="216">
        <v>1.88</v>
      </c>
    </row>
    <row r="489" spans="1:10" ht="18" customHeight="1">
      <c r="A489" s="227">
        <v>42612</v>
      </c>
      <c r="B489" s="214" t="s">
        <v>330</v>
      </c>
      <c r="C489" s="224">
        <v>300009003496</v>
      </c>
      <c r="D489" s="216" t="s">
        <v>240</v>
      </c>
      <c r="E489" s="216">
        <v>3</v>
      </c>
      <c r="F489" s="216">
        <v>616</v>
      </c>
      <c r="G489" s="216">
        <v>3</v>
      </c>
      <c r="H489" s="216">
        <v>1</v>
      </c>
      <c r="I489" s="216">
        <v>8155.93</v>
      </c>
      <c r="J489" s="216">
        <v>1</v>
      </c>
    </row>
    <row r="490" spans="1:10" ht="18" customHeight="1">
      <c r="A490" s="227">
        <v>42612</v>
      </c>
      <c r="B490" s="214" t="s">
        <v>330</v>
      </c>
      <c r="C490" s="224">
        <v>300008579657</v>
      </c>
      <c r="D490" s="216" t="s">
        <v>188</v>
      </c>
      <c r="E490" s="216">
        <v>5</v>
      </c>
      <c r="F490" s="216">
        <v>444</v>
      </c>
      <c r="G490" s="216">
        <v>5</v>
      </c>
      <c r="H490" s="216">
        <v>3</v>
      </c>
      <c r="I490" s="216">
        <v>5708.9</v>
      </c>
      <c r="J490" s="216">
        <v>3</v>
      </c>
    </row>
    <row r="491" spans="1:10" ht="18" customHeight="1">
      <c r="A491" s="227">
        <v>42612</v>
      </c>
      <c r="B491" s="214" t="s">
        <v>330</v>
      </c>
      <c r="C491" s="224">
        <v>300009235974</v>
      </c>
      <c r="D491" s="216" t="s">
        <v>187</v>
      </c>
      <c r="E491" s="216">
        <v>1</v>
      </c>
      <c r="F491" s="216">
        <v>67</v>
      </c>
      <c r="G491" s="216">
        <v>1</v>
      </c>
      <c r="H491" s="216">
        <v>1</v>
      </c>
      <c r="I491" s="216">
        <v>1212.8</v>
      </c>
      <c r="J491" s="216">
        <v>1</v>
      </c>
    </row>
    <row r="492" spans="1:10" ht="18" customHeight="1">
      <c r="A492" s="227">
        <v>42613</v>
      </c>
      <c r="B492" s="214" t="s">
        <v>330</v>
      </c>
      <c r="C492" s="224">
        <v>300009235971</v>
      </c>
      <c r="D492" s="216" t="s">
        <v>241</v>
      </c>
      <c r="E492" s="216">
        <v>28</v>
      </c>
      <c r="F492" s="216">
        <v>4467</v>
      </c>
      <c r="G492" s="216">
        <v>28</v>
      </c>
      <c r="H492" s="216">
        <v>15</v>
      </c>
      <c r="I492" s="216">
        <v>68445.2</v>
      </c>
      <c r="J492" s="216">
        <v>2.19</v>
      </c>
    </row>
    <row r="493" spans="1:10" ht="18" customHeight="1">
      <c r="A493" s="227">
        <v>42613</v>
      </c>
      <c r="B493" s="214" t="s">
        <v>330</v>
      </c>
      <c r="C493" s="224">
        <v>300008244937</v>
      </c>
      <c r="D493" s="216" t="s">
        <v>272</v>
      </c>
      <c r="E493" s="216">
        <v>12</v>
      </c>
      <c r="F493" s="216">
        <v>2154</v>
      </c>
      <c r="G493" s="216">
        <v>12</v>
      </c>
      <c r="H493" s="216">
        <v>9</v>
      </c>
      <c r="I493" s="216">
        <v>37269.440000000002</v>
      </c>
      <c r="J493" s="216">
        <v>2.41</v>
      </c>
    </row>
    <row r="494" spans="1:10" ht="18" customHeight="1">
      <c r="A494" s="227">
        <v>42613</v>
      </c>
      <c r="B494" s="214" t="s">
        <v>330</v>
      </c>
      <c r="C494" s="224">
        <v>300008839381</v>
      </c>
      <c r="D494" s="216" t="s">
        <v>190</v>
      </c>
      <c r="E494" s="216">
        <v>7</v>
      </c>
      <c r="F494" s="216">
        <v>2103</v>
      </c>
      <c r="G494" s="216">
        <v>7</v>
      </c>
      <c r="H494" s="216">
        <v>3</v>
      </c>
      <c r="I494" s="216">
        <v>29826.400000000001</v>
      </c>
      <c r="J494" s="216">
        <v>1.01</v>
      </c>
    </row>
    <row r="495" spans="1:10" ht="18" customHeight="1">
      <c r="A495" s="227">
        <v>42613</v>
      </c>
      <c r="B495" s="214" t="s">
        <v>330</v>
      </c>
      <c r="C495" s="224">
        <v>300009003496</v>
      </c>
      <c r="D495" s="216" t="s">
        <v>240</v>
      </c>
      <c r="E495" s="216">
        <v>4</v>
      </c>
      <c r="F495" s="216">
        <v>799</v>
      </c>
      <c r="G495" s="216">
        <v>4</v>
      </c>
      <c r="H495" s="216">
        <v>1</v>
      </c>
      <c r="I495" s="216">
        <v>10974.69</v>
      </c>
      <c r="J495" s="216">
        <v>0.91</v>
      </c>
    </row>
    <row r="496" spans="1:10" ht="18" customHeight="1">
      <c r="A496" s="227">
        <v>42613</v>
      </c>
      <c r="B496" s="214" t="s">
        <v>330</v>
      </c>
      <c r="C496" s="224">
        <v>300008579657</v>
      </c>
      <c r="D496" s="216" t="s">
        <v>188</v>
      </c>
      <c r="E496" s="216">
        <v>6</v>
      </c>
      <c r="F496" s="216">
        <v>699</v>
      </c>
      <c r="G496" s="216">
        <v>6</v>
      </c>
      <c r="H496" s="216">
        <v>3</v>
      </c>
      <c r="I496" s="216">
        <v>9349.39</v>
      </c>
      <c r="J496" s="216">
        <v>3</v>
      </c>
    </row>
    <row r="497" spans="1:10" ht="18" customHeight="1">
      <c r="A497" s="227">
        <v>42613</v>
      </c>
      <c r="B497" s="214" t="s">
        <v>330</v>
      </c>
      <c r="C497" s="224">
        <v>300009235974</v>
      </c>
      <c r="D497" s="216" t="s">
        <v>187</v>
      </c>
      <c r="E497" s="216">
        <v>2</v>
      </c>
      <c r="F497" s="216">
        <v>141</v>
      </c>
      <c r="G497" s="216">
        <v>2</v>
      </c>
      <c r="H497" s="216">
        <v>1</v>
      </c>
      <c r="I497" s="216">
        <v>2579.6999999999998</v>
      </c>
      <c r="J497" s="216">
        <v>1</v>
      </c>
    </row>
    <row r="498" spans="1:10" ht="18" customHeight="1">
      <c r="A498" s="227">
        <v>42613</v>
      </c>
      <c r="B498" s="214" t="s">
        <v>330</v>
      </c>
      <c r="C498" s="224">
        <v>300008875665</v>
      </c>
      <c r="D498" s="216" t="s">
        <v>189</v>
      </c>
      <c r="E498" s="216">
        <v>2</v>
      </c>
      <c r="F498" s="216">
        <v>61</v>
      </c>
      <c r="G498" s="216">
        <v>2</v>
      </c>
      <c r="H498" s="216">
        <v>1</v>
      </c>
      <c r="I498" s="216">
        <v>1134.5999999999999</v>
      </c>
      <c r="J498" s="216">
        <v>1</v>
      </c>
    </row>
    <row r="499" spans="1:10" ht="18" customHeight="1">
      <c r="A499" s="227">
        <v>42613</v>
      </c>
      <c r="B499" s="214" t="s">
        <v>330</v>
      </c>
      <c r="C499" s="224">
        <v>300009000071</v>
      </c>
      <c r="D499" s="216" t="s">
        <v>192</v>
      </c>
      <c r="E499" s="216">
        <v>2</v>
      </c>
      <c r="F499" s="216" t="s">
        <v>242</v>
      </c>
      <c r="G499" s="216">
        <v>2</v>
      </c>
      <c r="H499" s="216">
        <v>0</v>
      </c>
      <c r="I499" s="216">
        <v>0</v>
      </c>
      <c r="J499" s="216">
        <v>0</v>
      </c>
    </row>
    <row r="500" spans="1:10" ht="18" customHeight="1">
      <c r="A500" s="227">
        <v>42612</v>
      </c>
      <c r="B500" s="214" t="s">
        <v>331</v>
      </c>
      <c r="C500" s="224">
        <v>300009192151</v>
      </c>
      <c r="D500" s="216" t="s">
        <v>230</v>
      </c>
      <c r="E500" s="216">
        <v>5</v>
      </c>
      <c r="F500" s="216">
        <v>1204</v>
      </c>
      <c r="G500" s="216">
        <v>5</v>
      </c>
      <c r="H500" s="216">
        <v>2</v>
      </c>
      <c r="I500" s="216">
        <v>15633.2</v>
      </c>
      <c r="J500" s="216">
        <v>1.28</v>
      </c>
    </row>
    <row r="501" spans="1:10" ht="18" customHeight="1">
      <c r="A501" s="227">
        <v>42613</v>
      </c>
      <c r="B501" s="214" t="s">
        <v>331</v>
      </c>
      <c r="C501" s="224">
        <v>300009192151</v>
      </c>
      <c r="D501" s="216" t="s">
        <v>230</v>
      </c>
      <c r="E501" s="216">
        <v>9</v>
      </c>
      <c r="F501" s="216">
        <v>1427</v>
      </c>
      <c r="G501" s="216">
        <v>9</v>
      </c>
      <c r="H501" s="216">
        <v>4</v>
      </c>
      <c r="I501" s="216">
        <v>18566.599999999999</v>
      </c>
      <c r="J501" s="216">
        <v>2.15</v>
      </c>
    </row>
    <row r="502" spans="1:10" ht="18" customHeight="1">
      <c r="A502" s="227">
        <v>42612</v>
      </c>
      <c r="B502" s="214" t="s">
        <v>332</v>
      </c>
      <c r="C502" s="224">
        <v>300009406201</v>
      </c>
      <c r="D502" s="216" t="s">
        <v>234</v>
      </c>
      <c r="E502" s="216">
        <v>31</v>
      </c>
      <c r="F502" s="216">
        <v>2803</v>
      </c>
      <c r="G502" s="216">
        <v>31</v>
      </c>
      <c r="H502" s="216">
        <v>20</v>
      </c>
      <c r="I502" s="216">
        <v>43961.3</v>
      </c>
      <c r="J502" s="216">
        <v>4.55</v>
      </c>
    </row>
    <row r="503" spans="1:10" ht="18" customHeight="1">
      <c r="A503" s="227">
        <v>42612</v>
      </c>
      <c r="B503" s="214" t="s">
        <v>332</v>
      </c>
      <c r="C503" s="224">
        <v>300009374212</v>
      </c>
      <c r="D503" s="216" t="s">
        <v>235</v>
      </c>
      <c r="E503" s="216">
        <v>21</v>
      </c>
      <c r="F503" s="216">
        <v>2722</v>
      </c>
      <c r="G503" s="216">
        <v>21</v>
      </c>
      <c r="H503" s="216">
        <v>13</v>
      </c>
      <c r="I503" s="216">
        <v>59115.9</v>
      </c>
      <c r="J503" s="216">
        <v>2.2000000000000002</v>
      </c>
    </row>
    <row r="504" spans="1:10" ht="18" customHeight="1">
      <c r="A504" s="227">
        <v>42612</v>
      </c>
      <c r="B504" s="214" t="s">
        <v>332</v>
      </c>
      <c r="C504" s="224">
        <v>300009374215</v>
      </c>
      <c r="D504" s="216" t="s">
        <v>236</v>
      </c>
      <c r="E504" s="216">
        <v>25</v>
      </c>
      <c r="F504" s="216">
        <v>2485</v>
      </c>
      <c r="G504" s="216">
        <v>25</v>
      </c>
      <c r="H504" s="216">
        <v>16</v>
      </c>
      <c r="I504" s="216">
        <v>54718.8</v>
      </c>
      <c r="J504" s="216">
        <v>2.92</v>
      </c>
    </row>
    <row r="505" spans="1:10" ht="18" customHeight="1">
      <c r="A505" s="227">
        <v>42612</v>
      </c>
      <c r="B505" s="214" t="s">
        <v>332</v>
      </c>
      <c r="C505" s="224">
        <v>300009184067</v>
      </c>
      <c r="D505" s="216" t="s">
        <v>233</v>
      </c>
      <c r="E505" s="216">
        <v>39</v>
      </c>
      <c r="F505" s="216">
        <v>2211</v>
      </c>
      <c r="G505" s="216">
        <v>39</v>
      </c>
      <c r="H505" s="216">
        <v>24</v>
      </c>
      <c r="I505" s="216">
        <v>38002.6</v>
      </c>
      <c r="J505" s="216">
        <v>6.32</v>
      </c>
    </row>
    <row r="506" spans="1:10" ht="18" customHeight="1">
      <c r="A506" s="227">
        <v>42612</v>
      </c>
      <c r="B506" s="214" t="s">
        <v>332</v>
      </c>
      <c r="C506" s="224">
        <v>300009406202</v>
      </c>
      <c r="D506" s="216" t="s">
        <v>232</v>
      </c>
      <c r="E506" s="216">
        <v>6</v>
      </c>
      <c r="F506" s="216">
        <v>1494</v>
      </c>
      <c r="G506" s="216">
        <v>6</v>
      </c>
      <c r="H506" s="216">
        <v>3</v>
      </c>
      <c r="I506" s="216">
        <v>21624.9</v>
      </c>
      <c r="J506" s="216">
        <v>1.39</v>
      </c>
    </row>
    <row r="507" spans="1:10" ht="18" customHeight="1">
      <c r="A507" s="227">
        <v>42613</v>
      </c>
      <c r="B507" s="214" t="s">
        <v>332</v>
      </c>
      <c r="C507" s="224">
        <v>300009374212</v>
      </c>
      <c r="D507" s="216" t="s">
        <v>235</v>
      </c>
      <c r="E507" s="216">
        <v>22</v>
      </c>
      <c r="F507" s="216">
        <v>2944</v>
      </c>
      <c r="G507" s="216">
        <v>22</v>
      </c>
      <c r="H507" s="216">
        <v>14</v>
      </c>
      <c r="I507" s="216">
        <v>65285.8</v>
      </c>
      <c r="J507" s="216">
        <v>2.14</v>
      </c>
    </row>
    <row r="508" spans="1:10" ht="18" customHeight="1">
      <c r="A508" s="227">
        <v>42613</v>
      </c>
      <c r="B508" s="214" t="s">
        <v>332</v>
      </c>
      <c r="C508" s="224">
        <v>300009406201</v>
      </c>
      <c r="D508" s="216" t="s">
        <v>234</v>
      </c>
      <c r="E508" s="216">
        <v>32</v>
      </c>
      <c r="F508" s="216">
        <v>2818</v>
      </c>
      <c r="G508" s="216">
        <v>32</v>
      </c>
      <c r="H508" s="216">
        <v>21</v>
      </c>
      <c r="I508" s="216">
        <v>44352.4</v>
      </c>
      <c r="J508" s="216">
        <v>4.7300000000000004</v>
      </c>
    </row>
    <row r="509" spans="1:10" ht="18" customHeight="1">
      <c r="A509" s="227">
        <v>42613</v>
      </c>
      <c r="B509" s="214" t="s">
        <v>332</v>
      </c>
      <c r="C509" s="224">
        <v>300009374215</v>
      </c>
      <c r="D509" s="216" t="s">
        <v>236</v>
      </c>
      <c r="E509" s="216">
        <v>23</v>
      </c>
      <c r="F509" s="216">
        <v>2174</v>
      </c>
      <c r="G509" s="216">
        <v>23</v>
      </c>
      <c r="H509" s="216">
        <v>14</v>
      </c>
      <c r="I509" s="216">
        <v>46296.2</v>
      </c>
      <c r="J509" s="216">
        <v>3.02</v>
      </c>
    </row>
    <row r="510" spans="1:10" ht="18" customHeight="1">
      <c r="A510" s="227">
        <v>42613</v>
      </c>
      <c r="B510" s="214" t="s">
        <v>332</v>
      </c>
      <c r="C510" s="224">
        <v>300009406202</v>
      </c>
      <c r="D510" s="216" t="s">
        <v>232</v>
      </c>
      <c r="E510" s="216">
        <v>8</v>
      </c>
      <c r="F510" s="216">
        <v>1817</v>
      </c>
      <c r="G510" s="216">
        <v>8</v>
      </c>
      <c r="H510" s="216">
        <v>5</v>
      </c>
      <c r="I510" s="216">
        <v>26877.200000000001</v>
      </c>
      <c r="J510" s="216">
        <v>1.86</v>
      </c>
    </row>
    <row r="511" spans="1:10" ht="18" customHeight="1">
      <c r="A511" s="227">
        <v>42613</v>
      </c>
      <c r="B511" s="214" t="s">
        <v>332</v>
      </c>
      <c r="C511" s="224">
        <v>300009185572</v>
      </c>
      <c r="D511" s="216" t="s">
        <v>237</v>
      </c>
      <c r="E511" s="216">
        <v>3</v>
      </c>
      <c r="F511" s="216">
        <v>945</v>
      </c>
      <c r="G511" s="216">
        <v>3</v>
      </c>
      <c r="H511" s="216">
        <v>2</v>
      </c>
      <c r="I511" s="216">
        <v>14703.8</v>
      </c>
      <c r="J511" s="216">
        <v>1.36</v>
      </c>
    </row>
    <row r="512" spans="1:10" ht="18" customHeight="1">
      <c r="A512" s="227">
        <v>42612</v>
      </c>
      <c r="B512" s="214" t="s">
        <v>333</v>
      </c>
      <c r="C512" s="224">
        <v>300009290321</v>
      </c>
      <c r="D512" s="216" t="s">
        <v>194</v>
      </c>
      <c r="E512" s="216">
        <v>21</v>
      </c>
      <c r="F512" s="216">
        <v>4690</v>
      </c>
      <c r="G512" s="216">
        <v>21</v>
      </c>
      <c r="H512" s="216">
        <v>12</v>
      </c>
      <c r="I512" s="216">
        <v>98179</v>
      </c>
      <c r="J512" s="216">
        <v>1.22</v>
      </c>
    </row>
    <row r="513" spans="1:10" ht="18" customHeight="1">
      <c r="A513" s="227">
        <v>42613</v>
      </c>
      <c r="B513" s="214" t="s">
        <v>333</v>
      </c>
      <c r="C513" s="224">
        <v>300009290321</v>
      </c>
      <c r="D513" s="216" t="s">
        <v>194</v>
      </c>
      <c r="E513" s="216">
        <v>21</v>
      </c>
      <c r="F513" s="216">
        <v>4776</v>
      </c>
      <c r="G513" s="216">
        <v>21</v>
      </c>
      <c r="H513" s="216">
        <v>12</v>
      </c>
      <c r="I513" s="216">
        <v>99928.4</v>
      </c>
      <c r="J513" s="216">
        <v>1.2</v>
      </c>
    </row>
    <row r="514" spans="1:10" ht="18" customHeight="1">
      <c r="A514" s="227">
        <v>42614</v>
      </c>
      <c r="B514" s="214" t="s">
        <v>244</v>
      </c>
      <c r="C514" s="224">
        <v>300009358277</v>
      </c>
      <c r="D514" s="216" t="s">
        <v>266</v>
      </c>
      <c r="E514" s="216">
        <v>194</v>
      </c>
      <c r="F514" s="216">
        <v>18307</v>
      </c>
      <c r="G514" s="216">
        <v>105.97</v>
      </c>
      <c r="H514" s="216">
        <v>113</v>
      </c>
      <c r="I514" s="216">
        <v>399381.3</v>
      </c>
      <c r="J514" s="216">
        <v>2.83</v>
      </c>
    </row>
    <row r="515" spans="1:10" ht="18" customHeight="1">
      <c r="A515" s="227">
        <v>42615</v>
      </c>
      <c r="B515" s="214" t="s">
        <v>244</v>
      </c>
      <c r="C515" s="224">
        <v>300009358277</v>
      </c>
      <c r="D515" s="216" t="s">
        <v>266</v>
      </c>
      <c r="E515" s="216">
        <v>188</v>
      </c>
      <c r="F515" s="216">
        <v>18320</v>
      </c>
      <c r="G515" s="216">
        <v>102.62</v>
      </c>
      <c r="H515" s="216">
        <v>111</v>
      </c>
      <c r="I515" s="216">
        <v>397856.2</v>
      </c>
      <c r="J515" s="216">
        <v>2.79</v>
      </c>
    </row>
    <row r="516" spans="1:10" ht="18" customHeight="1">
      <c r="A516" s="227">
        <v>42616</v>
      </c>
      <c r="B516" s="214" t="s">
        <v>244</v>
      </c>
      <c r="C516" s="224">
        <v>300009358277</v>
      </c>
      <c r="D516" s="216" t="s">
        <v>266</v>
      </c>
      <c r="E516" s="216">
        <v>181</v>
      </c>
      <c r="F516" s="216">
        <v>18467</v>
      </c>
      <c r="G516" s="216">
        <v>98.01</v>
      </c>
      <c r="H516" s="216">
        <v>107</v>
      </c>
      <c r="I516" s="216">
        <v>397492</v>
      </c>
      <c r="J516" s="216">
        <v>2.69</v>
      </c>
    </row>
    <row r="517" spans="1:10" ht="18" customHeight="1">
      <c r="A517" s="227">
        <v>42617</v>
      </c>
      <c r="B517" s="214" t="s">
        <v>244</v>
      </c>
      <c r="C517" s="224">
        <v>300009358277</v>
      </c>
      <c r="D517" s="216" t="s">
        <v>266</v>
      </c>
      <c r="E517" s="216">
        <v>178</v>
      </c>
      <c r="F517" s="216">
        <v>18381</v>
      </c>
      <c r="G517" s="216">
        <v>96.84</v>
      </c>
      <c r="H517" s="216">
        <v>108</v>
      </c>
      <c r="I517" s="216">
        <v>392944.9</v>
      </c>
      <c r="J517" s="216">
        <v>2.75</v>
      </c>
    </row>
    <row r="518" spans="1:10" ht="18" customHeight="1">
      <c r="A518" s="227">
        <v>42614</v>
      </c>
      <c r="B518" s="214" t="s">
        <v>245</v>
      </c>
      <c r="C518" s="224">
        <v>300009480238</v>
      </c>
      <c r="D518" s="216" t="s">
        <v>263</v>
      </c>
      <c r="E518" s="216">
        <v>27</v>
      </c>
      <c r="F518" s="216">
        <v>5145</v>
      </c>
      <c r="G518" s="216">
        <v>27</v>
      </c>
      <c r="H518" s="216">
        <v>20</v>
      </c>
      <c r="I518" s="216">
        <v>87653.2</v>
      </c>
      <c r="J518" s="216">
        <v>2.2799999999999998</v>
      </c>
    </row>
    <row r="519" spans="1:10" ht="18" customHeight="1">
      <c r="A519" s="227">
        <v>42615</v>
      </c>
      <c r="B519" s="214" t="s">
        <v>245</v>
      </c>
      <c r="C519" s="224">
        <v>300009480238</v>
      </c>
      <c r="D519" s="216" t="s">
        <v>263</v>
      </c>
      <c r="E519" s="216">
        <v>32</v>
      </c>
      <c r="F519" s="216">
        <v>5351</v>
      </c>
      <c r="G519" s="216">
        <v>32</v>
      </c>
      <c r="H519" s="216">
        <v>22</v>
      </c>
      <c r="I519" s="216">
        <v>90262.3</v>
      </c>
      <c r="J519" s="216">
        <v>2.44</v>
      </c>
    </row>
    <row r="520" spans="1:10" ht="18" customHeight="1">
      <c r="A520" s="227">
        <v>42616</v>
      </c>
      <c r="B520" s="214" t="s">
        <v>245</v>
      </c>
      <c r="C520" s="224">
        <v>300009480238</v>
      </c>
      <c r="D520" s="216" t="s">
        <v>263</v>
      </c>
      <c r="E520" s="216">
        <v>32</v>
      </c>
      <c r="F520" s="216">
        <v>5397</v>
      </c>
      <c r="G520" s="216">
        <v>32</v>
      </c>
      <c r="H520" s="216">
        <v>22</v>
      </c>
      <c r="I520" s="216">
        <v>90973.7</v>
      </c>
      <c r="J520" s="216">
        <v>2.42</v>
      </c>
    </row>
    <row r="521" spans="1:10" ht="18" customHeight="1">
      <c r="A521" s="227">
        <v>42617</v>
      </c>
      <c r="B521" s="214" t="s">
        <v>245</v>
      </c>
      <c r="C521" s="224">
        <v>300009480238</v>
      </c>
      <c r="D521" s="216" t="s">
        <v>263</v>
      </c>
      <c r="E521" s="216">
        <v>32</v>
      </c>
      <c r="F521" s="216">
        <v>5397</v>
      </c>
      <c r="G521" s="216">
        <v>32</v>
      </c>
      <c r="H521" s="216">
        <v>22</v>
      </c>
      <c r="I521" s="216">
        <v>90973.7</v>
      </c>
      <c r="J521" s="216">
        <v>2.42</v>
      </c>
    </row>
    <row r="522" spans="1:10" ht="18" customHeight="1">
      <c r="A522" s="227">
        <v>42614</v>
      </c>
      <c r="B522" s="214" t="s">
        <v>334</v>
      </c>
      <c r="C522" s="224">
        <v>300009235971</v>
      </c>
      <c r="D522" s="216" t="s">
        <v>241</v>
      </c>
      <c r="E522" s="216">
        <v>32</v>
      </c>
      <c r="F522" s="216">
        <v>4667</v>
      </c>
      <c r="G522" s="216">
        <v>32</v>
      </c>
      <c r="H522" s="216">
        <v>17</v>
      </c>
      <c r="I522" s="216">
        <v>71067.600000000006</v>
      </c>
      <c r="J522" s="216">
        <v>2.39</v>
      </c>
    </row>
    <row r="523" spans="1:10" ht="18" customHeight="1">
      <c r="A523" s="227">
        <v>42614</v>
      </c>
      <c r="B523" s="214" t="s">
        <v>334</v>
      </c>
      <c r="C523" s="224">
        <v>300008244937</v>
      </c>
      <c r="D523" s="216" t="s">
        <v>272</v>
      </c>
      <c r="E523" s="216">
        <v>16</v>
      </c>
      <c r="F523" s="216">
        <v>2450</v>
      </c>
      <c r="G523" s="216">
        <v>16</v>
      </c>
      <c r="H523" s="216">
        <v>12</v>
      </c>
      <c r="I523" s="216">
        <v>41494.75</v>
      </c>
      <c r="J523" s="216">
        <v>2.89</v>
      </c>
    </row>
    <row r="524" spans="1:10" ht="18" customHeight="1">
      <c r="A524" s="227">
        <v>42614</v>
      </c>
      <c r="B524" s="214" t="s">
        <v>334</v>
      </c>
      <c r="C524" s="224">
        <v>300008839381</v>
      </c>
      <c r="D524" s="216" t="s">
        <v>190</v>
      </c>
      <c r="E524" s="216">
        <v>10</v>
      </c>
      <c r="F524" s="216">
        <v>2374</v>
      </c>
      <c r="G524" s="216">
        <v>10</v>
      </c>
      <c r="H524" s="216">
        <v>4</v>
      </c>
      <c r="I524" s="216">
        <v>33804.5</v>
      </c>
      <c r="J524" s="216">
        <v>1.18</v>
      </c>
    </row>
    <row r="525" spans="1:10" ht="18" customHeight="1">
      <c r="A525" s="227">
        <v>42614</v>
      </c>
      <c r="B525" s="214" t="s">
        <v>334</v>
      </c>
      <c r="C525" s="224">
        <v>300009003496</v>
      </c>
      <c r="D525" s="216" t="s">
        <v>240</v>
      </c>
      <c r="E525" s="216">
        <v>5</v>
      </c>
      <c r="F525" s="216">
        <v>969</v>
      </c>
      <c r="G525" s="216">
        <v>5</v>
      </c>
      <c r="H525" s="216">
        <v>1</v>
      </c>
      <c r="I525" s="216">
        <v>13583.57</v>
      </c>
      <c r="J525" s="216">
        <v>0.74</v>
      </c>
    </row>
    <row r="526" spans="1:10" ht="18" customHeight="1">
      <c r="A526" s="227">
        <v>42614</v>
      </c>
      <c r="B526" s="214" t="s">
        <v>334</v>
      </c>
      <c r="C526" s="224">
        <v>300008579657</v>
      </c>
      <c r="D526" s="216" t="s">
        <v>188</v>
      </c>
      <c r="E526" s="216">
        <v>9</v>
      </c>
      <c r="F526" s="216">
        <v>955</v>
      </c>
      <c r="G526" s="216">
        <v>9</v>
      </c>
      <c r="H526" s="216">
        <v>4</v>
      </c>
      <c r="I526" s="216">
        <v>13015.9</v>
      </c>
      <c r="J526" s="216">
        <v>3.07</v>
      </c>
    </row>
    <row r="527" spans="1:10" ht="18" customHeight="1">
      <c r="A527" s="227">
        <v>42614</v>
      </c>
      <c r="B527" s="214" t="s">
        <v>334</v>
      </c>
      <c r="C527" s="224">
        <v>300009000071</v>
      </c>
      <c r="D527" s="216" t="s">
        <v>192</v>
      </c>
      <c r="E527" s="216">
        <v>4</v>
      </c>
      <c r="F527" s="216">
        <v>288</v>
      </c>
      <c r="G527" s="216">
        <v>4</v>
      </c>
      <c r="H527" s="216">
        <v>1</v>
      </c>
      <c r="I527" s="216">
        <v>3453.61</v>
      </c>
      <c r="J527" s="216">
        <v>1</v>
      </c>
    </row>
    <row r="528" spans="1:10" ht="18" customHeight="1">
      <c r="A528" s="227">
        <v>42614</v>
      </c>
      <c r="B528" s="214" t="s">
        <v>334</v>
      </c>
      <c r="C528" s="224">
        <v>300009235974</v>
      </c>
      <c r="D528" s="216" t="s">
        <v>187</v>
      </c>
      <c r="E528" s="216">
        <v>3</v>
      </c>
      <c r="F528" s="216">
        <v>272</v>
      </c>
      <c r="G528" s="216">
        <v>3</v>
      </c>
      <c r="H528" s="216">
        <v>1</v>
      </c>
      <c r="I528" s="216">
        <v>5233.6000000000004</v>
      </c>
      <c r="J528" s="216">
        <v>1</v>
      </c>
    </row>
    <row r="529" spans="1:10" ht="18" customHeight="1">
      <c r="A529" s="227">
        <v>42614</v>
      </c>
      <c r="B529" s="214" t="s">
        <v>334</v>
      </c>
      <c r="C529" s="224">
        <v>300008875665</v>
      </c>
      <c r="D529" s="216" t="s">
        <v>189</v>
      </c>
      <c r="E529" s="216">
        <v>2</v>
      </c>
      <c r="F529" s="216">
        <v>173</v>
      </c>
      <c r="G529" s="216">
        <v>2</v>
      </c>
      <c r="H529" s="216">
        <v>1</v>
      </c>
      <c r="I529" s="216">
        <v>3121.03</v>
      </c>
      <c r="J529" s="216">
        <v>1</v>
      </c>
    </row>
    <row r="530" spans="1:10" ht="18" customHeight="1">
      <c r="A530" s="227">
        <v>42615</v>
      </c>
      <c r="B530" s="214" t="s">
        <v>334</v>
      </c>
      <c r="C530" s="224">
        <v>300009235971</v>
      </c>
      <c r="D530" s="216" t="s">
        <v>241</v>
      </c>
      <c r="E530" s="216">
        <v>36</v>
      </c>
      <c r="F530" s="216">
        <v>4690</v>
      </c>
      <c r="G530" s="216">
        <v>36</v>
      </c>
      <c r="H530" s="216">
        <v>18</v>
      </c>
      <c r="I530" s="216">
        <v>71386.2</v>
      </c>
      <c r="J530" s="216">
        <v>2.52</v>
      </c>
    </row>
    <row r="531" spans="1:10" ht="18" customHeight="1">
      <c r="A531" s="227">
        <v>42615</v>
      </c>
      <c r="B531" s="214" t="s">
        <v>334</v>
      </c>
      <c r="C531" s="224">
        <v>300008244937</v>
      </c>
      <c r="D531" s="216" t="s">
        <v>272</v>
      </c>
      <c r="E531" s="216">
        <v>18</v>
      </c>
      <c r="F531" s="216">
        <v>2743</v>
      </c>
      <c r="G531" s="216">
        <v>18</v>
      </c>
      <c r="H531" s="216">
        <v>13</v>
      </c>
      <c r="I531" s="216">
        <v>45572.1</v>
      </c>
      <c r="J531" s="216">
        <v>2.85</v>
      </c>
    </row>
    <row r="532" spans="1:10" ht="18" customHeight="1">
      <c r="A532" s="227">
        <v>42615</v>
      </c>
      <c r="B532" s="214" t="s">
        <v>334</v>
      </c>
      <c r="C532" s="224">
        <v>300008839381</v>
      </c>
      <c r="D532" s="216" t="s">
        <v>190</v>
      </c>
      <c r="E532" s="216">
        <v>14</v>
      </c>
      <c r="F532" s="216">
        <v>2659</v>
      </c>
      <c r="G532" s="216">
        <v>14</v>
      </c>
      <c r="H532" s="216">
        <v>5</v>
      </c>
      <c r="I532" s="216">
        <v>37873</v>
      </c>
      <c r="J532" s="216">
        <v>1.32</v>
      </c>
    </row>
    <row r="533" spans="1:10" ht="18" customHeight="1">
      <c r="A533" s="227">
        <v>42615</v>
      </c>
      <c r="B533" s="214" t="s">
        <v>334</v>
      </c>
      <c r="C533" s="224">
        <v>300008579657</v>
      </c>
      <c r="D533" s="216" t="s">
        <v>188</v>
      </c>
      <c r="E533" s="216">
        <v>12</v>
      </c>
      <c r="F533" s="216">
        <v>1243</v>
      </c>
      <c r="G533" s="216">
        <v>12</v>
      </c>
      <c r="H533" s="216">
        <v>5</v>
      </c>
      <c r="I533" s="216">
        <v>17288.36</v>
      </c>
      <c r="J533" s="216">
        <v>2.89</v>
      </c>
    </row>
    <row r="534" spans="1:10" ht="18" customHeight="1">
      <c r="A534" s="227">
        <v>42615</v>
      </c>
      <c r="B534" s="214" t="s">
        <v>334</v>
      </c>
      <c r="C534" s="224">
        <v>300009003496</v>
      </c>
      <c r="D534" s="216" t="s">
        <v>240</v>
      </c>
      <c r="E534" s="216">
        <v>8</v>
      </c>
      <c r="F534" s="216">
        <v>1166</v>
      </c>
      <c r="G534" s="216">
        <v>8</v>
      </c>
      <c r="H534" s="216">
        <v>2</v>
      </c>
      <c r="I534" s="216">
        <v>16348.53</v>
      </c>
      <c r="J534" s="216">
        <v>1.22</v>
      </c>
    </row>
    <row r="535" spans="1:10" ht="18" customHeight="1">
      <c r="A535" s="227">
        <v>42615</v>
      </c>
      <c r="B535" s="214" t="s">
        <v>334</v>
      </c>
      <c r="C535" s="224">
        <v>300009235974</v>
      </c>
      <c r="D535" s="216" t="s">
        <v>187</v>
      </c>
      <c r="E535" s="216">
        <v>4</v>
      </c>
      <c r="F535" s="216">
        <v>376</v>
      </c>
      <c r="G535" s="216">
        <v>4</v>
      </c>
      <c r="H535" s="216">
        <v>1</v>
      </c>
      <c r="I535" s="216">
        <v>7462.6</v>
      </c>
      <c r="J535" s="216">
        <v>1</v>
      </c>
    </row>
    <row r="536" spans="1:10" ht="18" customHeight="1">
      <c r="A536" s="227">
        <v>42615</v>
      </c>
      <c r="B536" s="214" t="s">
        <v>334</v>
      </c>
      <c r="C536" s="224">
        <v>300009000071</v>
      </c>
      <c r="D536" s="216" t="s">
        <v>192</v>
      </c>
      <c r="E536" s="216">
        <v>8</v>
      </c>
      <c r="F536" s="216">
        <v>329</v>
      </c>
      <c r="G536" s="216">
        <v>8</v>
      </c>
      <c r="H536" s="216">
        <v>3</v>
      </c>
      <c r="I536" s="216">
        <v>3902.74</v>
      </c>
      <c r="J536" s="216">
        <v>3</v>
      </c>
    </row>
    <row r="537" spans="1:10" ht="18" customHeight="1">
      <c r="A537" s="227">
        <v>42615</v>
      </c>
      <c r="B537" s="214" t="s">
        <v>334</v>
      </c>
      <c r="C537" s="224">
        <v>300008875665</v>
      </c>
      <c r="D537" s="216" t="s">
        <v>189</v>
      </c>
      <c r="E537" s="216">
        <v>2</v>
      </c>
      <c r="F537" s="216">
        <v>269</v>
      </c>
      <c r="G537" s="216">
        <v>2</v>
      </c>
      <c r="H537" s="216">
        <v>1</v>
      </c>
      <c r="I537" s="216">
        <v>5094.43</v>
      </c>
      <c r="J537" s="216">
        <v>1</v>
      </c>
    </row>
    <row r="538" spans="1:10" ht="18" customHeight="1">
      <c r="A538" s="227">
        <v>42616</v>
      </c>
      <c r="B538" s="214" t="s">
        <v>334</v>
      </c>
      <c r="C538" s="224">
        <v>300009235971</v>
      </c>
      <c r="D538" s="216" t="s">
        <v>241</v>
      </c>
      <c r="E538" s="216">
        <v>36</v>
      </c>
      <c r="F538" s="216">
        <v>4690</v>
      </c>
      <c r="G538" s="216">
        <v>36</v>
      </c>
      <c r="H538" s="216">
        <v>18</v>
      </c>
      <c r="I538" s="216">
        <v>71386.2</v>
      </c>
      <c r="J538" s="216">
        <v>2.52</v>
      </c>
    </row>
    <row r="539" spans="1:10" ht="18" customHeight="1">
      <c r="A539" s="227">
        <v>42616</v>
      </c>
      <c r="B539" s="214" t="s">
        <v>334</v>
      </c>
      <c r="C539" s="224">
        <v>300008244937</v>
      </c>
      <c r="D539" s="216" t="s">
        <v>272</v>
      </c>
      <c r="E539" s="216">
        <v>21</v>
      </c>
      <c r="F539" s="216">
        <v>3231</v>
      </c>
      <c r="G539" s="216">
        <v>21</v>
      </c>
      <c r="H539" s="216">
        <v>15</v>
      </c>
      <c r="I539" s="216">
        <v>52224.07</v>
      </c>
      <c r="J539" s="216">
        <v>2.87</v>
      </c>
    </row>
    <row r="540" spans="1:10" ht="18" customHeight="1">
      <c r="A540" s="227">
        <v>42616</v>
      </c>
      <c r="B540" s="214" t="s">
        <v>334</v>
      </c>
      <c r="C540" s="224">
        <v>300008839381</v>
      </c>
      <c r="D540" s="216" t="s">
        <v>190</v>
      </c>
      <c r="E540" s="216">
        <v>14</v>
      </c>
      <c r="F540" s="216">
        <v>3152</v>
      </c>
      <c r="G540" s="216">
        <v>14</v>
      </c>
      <c r="H540" s="216">
        <v>5</v>
      </c>
      <c r="I540" s="216">
        <v>44945.3</v>
      </c>
      <c r="J540" s="216">
        <v>1.1100000000000001</v>
      </c>
    </row>
    <row r="541" spans="1:10" ht="18" customHeight="1">
      <c r="A541" s="227">
        <v>42616</v>
      </c>
      <c r="B541" s="214" t="s">
        <v>334</v>
      </c>
      <c r="C541" s="224">
        <v>300008579657</v>
      </c>
      <c r="D541" s="216" t="s">
        <v>188</v>
      </c>
      <c r="E541" s="216">
        <v>14</v>
      </c>
      <c r="F541" s="216">
        <v>1728</v>
      </c>
      <c r="G541" s="216">
        <v>14</v>
      </c>
      <c r="H541" s="216">
        <v>5</v>
      </c>
      <c r="I541" s="216">
        <v>24243.08</v>
      </c>
      <c r="J541" s="216">
        <v>2.06</v>
      </c>
    </row>
    <row r="542" spans="1:10" ht="18" customHeight="1">
      <c r="A542" s="227">
        <v>42616</v>
      </c>
      <c r="B542" s="214" t="s">
        <v>334</v>
      </c>
      <c r="C542" s="224">
        <v>300009003496</v>
      </c>
      <c r="D542" s="216" t="s">
        <v>240</v>
      </c>
      <c r="E542" s="216">
        <v>10</v>
      </c>
      <c r="F542" s="216">
        <v>1497</v>
      </c>
      <c r="G542" s="216">
        <v>10</v>
      </c>
      <c r="H542" s="216">
        <v>4</v>
      </c>
      <c r="I542" s="216">
        <v>21314.69</v>
      </c>
      <c r="J542" s="216">
        <v>1.88</v>
      </c>
    </row>
    <row r="543" spans="1:10" ht="18" customHeight="1">
      <c r="A543" s="227">
        <v>42616</v>
      </c>
      <c r="B543" s="214" t="s">
        <v>334</v>
      </c>
      <c r="C543" s="224">
        <v>300009235974</v>
      </c>
      <c r="D543" s="216" t="s">
        <v>187</v>
      </c>
      <c r="E543" s="216">
        <v>6</v>
      </c>
      <c r="F543" s="216">
        <v>479</v>
      </c>
      <c r="G543" s="216">
        <v>6</v>
      </c>
      <c r="H543" s="216">
        <v>2</v>
      </c>
      <c r="I543" s="216">
        <v>9817.7000000000007</v>
      </c>
      <c r="J543" s="216">
        <v>2</v>
      </c>
    </row>
    <row r="544" spans="1:10" ht="18" customHeight="1">
      <c r="A544" s="227">
        <v>42616</v>
      </c>
      <c r="B544" s="214" t="s">
        <v>334</v>
      </c>
      <c r="C544" s="224">
        <v>300008875665</v>
      </c>
      <c r="D544" s="216" t="s">
        <v>189</v>
      </c>
      <c r="E544" s="216">
        <v>3</v>
      </c>
      <c r="F544" s="216">
        <v>368</v>
      </c>
      <c r="G544" s="216">
        <v>3</v>
      </c>
      <c r="H544" s="216">
        <v>1</v>
      </c>
      <c r="I544" s="216">
        <v>7602.15</v>
      </c>
      <c r="J544" s="216">
        <v>1</v>
      </c>
    </row>
    <row r="545" spans="1:10" ht="18" customHeight="1">
      <c r="A545" s="227">
        <v>42616</v>
      </c>
      <c r="B545" s="214" t="s">
        <v>334</v>
      </c>
      <c r="C545" s="224">
        <v>300009000071</v>
      </c>
      <c r="D545" s="216" t="s">
        <v>192</v>
      </c>
      <c r="E545" s="216">
        <v>8</v>
      </c>
      <c r="F545" s="216">
        <v>329</v>
      </c>
      <c r="G545" s="216">
        <v>8</v>
      </c>
      <c r="H545" s="216">
        <v>3</v>
      </c>
      <c r="I545" s="216">
        <v>3902.74</v>
      </c>
      <c r="J545" s="216">
        <v>3</v>
      </c>
    </row>
    <row r="546" spans="1:10" ht="18" customHeight="1">
      <c r="A546" s="227">
        <v>42617</v>
      </c>
      <c r="B546" s="214" t="s">
        <v>334</v>
      </c>
      <c r="C546" s="224">
        <v>300009235971</v>
      </c>
      <c r="D546" s="216" t="s">
        <v>241</v>
      </c>
      <c r="E546" s="216">
        <v>37</v>
      </c>
      <c r="F546" s="216">
        <v>4690</v>
      </c>
      <c r="G546" s="216">
        <v>37</v>
      </c>
      <c r="H546" s="216">
        <v>19</v>
      </c>
      <c r="I546" s="216">
        <v>71386.2</v>
      </c>
      <c r="J546" s="216">
        <v>2.66</v>
      </c>
    </row>
    <row r="547" spans="1:10" ht="18" customHeight="1">
      <c r="A547" s="227">
        <v>42617</v>
      </c>
      <c r="B547" s="214" t="s">
        <v>334</v>
      </c>
      <c r="C547" s="224">
        <v>300008244937</v>
      </c>
      <c r="D547" s="216" t="s">
        <v>272</v>
      </c>
      <c r="E547" s="216">
        <v>26</v>
      </c>
      <c r="F547" s="216">
        <v>3652</v>
      </c>
      <c r="G547" s="216">
        <v>26</v>
      </c>
      <c r="H547" s="216">
        <v>19</v>
      </c>
      <c r="I547" s="216">
        <v>58579.63</v>
      </c>
      <c r="J547" s="216">
        <v>3.24</v>
      </c>
    </row>
    <row r="548" spans="1:10" ht="18" customHeight="1">
      <c r="A548" s="227">
        <v>42617</v>
      </c>
      <c r="B548" s="214" t="s">
        <v>334</v>
      </c>
      <c r="C548" s="224">
        <v>300008839381</v>
      </c>
      <c r="D548" s="216" t="s">
        <v>190</v>
      </c>
      <c r="E548" s="216">
        <v>16</v>
      </c>
      <c r="F548" s="216">
        <v>3549</v>
      </c>
      <c r="G548" s="216">
        <v>16</v>
      </c>
      <c r="H548" s="216">
        <v>6</v>
      </c>
      <c r="I548" s="216">
        <v>50509.8</v>
      </c>
      <c r="J548" s="216">
        <v>1.19</v>
      </c>
    </row>
    <row r="549" spans="1:10" ht="18" customHeight="1">
      <c r="A549" s="227">
        <v>42617</v>
      </c>
      <c r="B549" s="214" t="s">
        <v>334</v>
      </c>
      <c r="C549" s="224">
        <v>300008579657</v>
      </c>
      <c r="D549" s="216" t="s">
        <v>188</v>
      </c>
      <c r="E549" s="216">
        <v>18</v>
      </c>
      <c r="F549" s="216">
        <v>2147</v>
      </c>
      <c r="G549" s="216">
        <v>18</v>
      </c>
      <c r="H549" s="216">
        <v>7</v>
      </c>
      <c r="I549" s="216">
        <v>30459.73</v>
      </c>
      <c r="J549" s="216">
        <v>2.2999999999999998</v>
      </c>
    </row>
    <row r="550" spans="1:10" ht="18" customHeight="1">
      <c r="A550" s="227">
        <v>42617</v>
      </c>
      <c r="B550" s="214" t="s">
        <v>334</v>
      </c>
      <c r="C550" s="224">
        <v>300009003496</v>
      </c>
      <c r="D550" s="216" t="s">
        <v>240</v>
      </c>
      <c r="E550" s="216">
        <v>14</v>
      </c>
      <c r="F550" s="216">
        <v>1811</v>
      </c>
      <c r="G550" s="216">
        <v>14</v>
      </c>
      <c r="H550" s="216">
        <v>6</v>
      </c>
      <c r="I550" s="216">
        <v>25777.88</v>
      </c>
      <c r="J550" s="216">
        <v>2.33</v>
      </c>
    </row>
    <row r="551" spans="1:10" ht="18" customHeight="1">
      <c r="A551" s="227">
        <v>42617</v>
      </c>
      <c r="B551" s="214" t="s">
        <v>334</v>
      </c>
      <c r="C551" s="224">
        <v>300009235974</v>
      </c>
      <c r="D551" s="216" t="s">
        <v>187</v>
      </c>
      <c r="E551" s="216">
        <v>8</v>
      </c>
      <c r="F551" s="216">
        <v>577</v>
      </c>
      <c r="G551" s="216">
        <v>8</v>
      </c>
      <c r="H551" s="216">
        <v>3</v>
      </c>
      <c r="I551" s="216">
        <v>11938.6</v>
      </c>
      <c r="J551" s="216">
        <v>2.5099999999999998</v>
      </c>
    </row>
    <row r="552" spans="1:10" ht="18" customHeight="1">
      <c r="A552" s="227">
        <v>42617</v>
      </c>
      <c r="B552" s="214" t="s">
        <v>334</v>
      </c>
      <c r="C552" s="224">
        <v>300008875665</v>
      </c>
      <c r="D552" s="216" t="s">
        <v>189</v>
      </c>
      <c r="E552" s="216">
        <v>4</v>
      </c>
      <c r="F552" s="216">
        <v>443</v>
      </c>
      <c r="G552" s="216">
        <v>4</v>
      </c>
      <c r="H552" s="216">
        <v>1</v>
      </c>
      <c r="I552" s="216">
        <v>9597.06</v>
      </c>
      <c r="J552" s="216">
        <v>1</v>
      </c>
    </row>
    <row r="553" spans="1:10" ht="18" customHeight="1">
      <c r="A553" s="227">
        <v>42617</v>
      </c>
      <c r="B553" s="214" t="s">
        <v>334</v>
      </c>
      <c r="C553" s="224">
        <v>300009000071</v>
      </c>
      <c r="D553" s="216" t="s">
        <v>192</v>
      </c>
      <c r="E553" s="216">
        <v>8</v>
      </c>
      <c r="F553" s="216">
        <v>329</v>
      </c>
      <c r="G553" s="216">
        <v>8</v>
      </c>
      <c r="H553" s="216">
        <v>3</v>
      </c>
      <c r="I553" s="216">
        <v>3902.74</v>
      </c>
      <c r="J553" s="216">
        <v>3</v>
      </c>
    </row>
    <row r="554" spans="1:10" ht="18" customHeight="1">
      <c r="A554" s="227">
        <v>42614</v>
      </c>
      <c r="B554" s="214" t="s">
        <v>336</v>
      </c>
      <c r="C554" s="224">
        <v>300009192151</v>
      </c>
      <c r="D554" s="216" t="s">
        <v>230</v>
      </c>
      <c r="E554" s="216">
        <v>11</v>
      </c>
      <c r="F554" s="216">
        <v>1716</v>
      </c>
      <c r="G554" s="216">
        <v>11</v>
      </c>
      <c r="H554" s="216">
        <v>5</v>
      </c>
      <c r="I554" s="216">
        <v>22690.3</v>
      </c>
      <c r="J554" s="216">
        <v>2.2000000000000002</v>
      </c>
    </row>
    <row r="555" spans="1:10" ht="18" customHeight="1">
      <c r="A555" s="227">
        <v>42615</v>
      </c>
      <c r="B555" s="214" t="s">
        <v>336</v>
      </c>
      <c r="C555" s="224">
        <v>300009192151</v>
      </c>
      <c r="D555" s="216" t="s">
        <v>230</v>
      </c>
      <c r="E555" s="216">
        <v>13</v>
      </c>
      <c r="F555" s="216">
        <v>2002</v>
      </c>
      <c r="G555" s="216">
        <v>13</v>
      </c>
      <c r="H555" s="216">
        <v>5</v>
      </c>
      <c r="I555" s="216">
        <v>26847.8</v>
      </c>
      <c r="J555" s="216">
        <v>1.86</v>
      </c>
    </row>
    <row r="556" spans="1:10" ht="18" customHeight="1">
      <c r="A556" s="227">
        <v>42616</v>
      </c>
      <c r="B556" s="214" t="s">
        <v>336</v>
      </c>
      <c r="C556" s="224">
        <v>300009192151</v>
      </c>
      <c r="D556" s="216" t="s">
        <v>230</v>
      </c>
      <c r="E556" s="216">
        <v>13</v>
      </c>
      <c r="F556" s="216">
        <v>2378</v>
      </c>
      <c r="G556" s="216">
        <v>13</v>
      </c>
      <c r="H556" s="216">
        <v>5</v>
      </c>
      <c r="I556" s="216">
        <v>31857.8</v>
      </c>
      <c r="J556" s="216">
        <v>1.57</v>
      </c>
    </row>
    <row r="557" spans="1:10" ht="18" customHeight="1">
      <c r="A557" s="227">
        <v>42617</v>
      </c>
      <c r="B557" s="214" t="s">
        <v>336</v>
      </c>
      <c r="C557" s="224">
        <v>300009192151</v>
      </c>
      <c r="D557" s="216" t="s">
        <v>230</v>
      </c>
      <c r="E557" s="216">
        <v>14</v>
      </c>
      <c r="F557" s="216">
        <v>2731</v>
      </c>
      <c r="G557" s="216">
        <v>14</v>
      </c>
      <c r="H557" s="216">
        <v>5</v>
      </c>
      <c r="I557" s="216">
        <v>36813.4</v>
      </c>
      <c r="J557" s="216">
        <v>1.36</v>
      </c>
    </row>
    <row r="558" spans="1:10" ht="18" customHeight="1">
      <c r="A558" s="227">
        <v>42614</v>
      </c>
      <c r="B558" s="214" t="s">
        <v>337</v>
      </c>
      <c r="C558" s="224">
        <v>300009374212</v>
      </c>
      <c r="D558" s="216" t="s">
        <v>235</v>
      </c>
      <c r="E558" s="216">
        <v>24</v>
      </c>
      <c r="F558" s="216">
        <v>3193</v>
      </c>
      <c r="G558" s="216">
        <v>24</v>
      </c>
      <c r="H558" s="216">
        <v>16</v>
      </c>
      <c r="I558" s="216">
        <v>72371.3</v>
      </c>
      <c r="J558" s="216">
        <v>2.21</v>
      </c>
    </row>
    <row r="559" spans="1:10" ht="18" customHeight="1">
      <c r="A559" s="227">
        <v>42614</v>
      </c>
      <c r="B559" s="214" t="s">
        <v>337</v>
      </c>
      <c r="C559" s="224">
        <v>300009406201</v>
      </c>
      <c r="D559" s="216" t="s">
        <v>234</v>
      </c>
      <c r="E559" s="216">
        <v>33</v>
      </c>
      <c r="F559" s="216">
        <v>2818</v>
      </c>
      <c r="G559" s="216">
        <v>33</v>
      </c>
      <c r="H559" s="216">
        <v>21</v>
      </c>
      <c r="I559" s="216">
        <v>44352.4</v>
      </c>
      <c r="J559" s="216">
        <v>4.7300000000000004</v>
      </c>
    </row>
    <row r="560" spans="1:10" ht="18" customHeight="1">
      <c r="A560" s="227">
        <v>42614</v>
      </c>
      <c r="B560" s="214" t="s">
        <v>337</v>
      </c>
      <c r="C560" s="224">
        <v>300009406202</v>
      </c>
      <c r="D560" s="216" t="s">
        <v>232</v>
      </c>
      <c r="E560" s="216">
        <v>9</v>
      </c>
      <c r="F560" s="216">
        <v>2146</v>
      </c>
      <c r="G560" s="216">
        <v>9</v>
      </c>
      <c r="H560" s="216">
        <v>5</v>
      </c>
      <c r="I560" s="216">
        <v>32214.6</v>
      </c>
      <c r="J560" s="216">
        <v>1.55</v>
      </c>
    </row>
    <row r="561" spans="1:10" ht="18" customHeight="1">
      <c r="A561" s="227">
        <v>42614</v>
      </c>
      <c r="B561" s="214" t="s">
        <v>337</v>
      </c>
      <c r="C561" s="224">
        <v>300009374215</v>
      </c>
      <c r="D561" s="216" t="s">
        <v>236</v>
      </c>
      <c r="E561" s="216">
        <v>21</v>
      </c>
      <c r="F561" s="216">
        <v>1932</v>
      </c>
      <c r="G561" s="216">
        <v>21</v>
      </c>
      <c r="H561" s="216">
        <v>13</v>
      </c>
      <c r="I561" s="216">
        <v>40297.300000000003</v>
      </c>
      <c r="J561" s="216">
        <v>3.23</v>
      </c>
    </row>
    <row r="562" spans="1:10" ht="18" customHeight="1">
      <c r="A562" s="227">
        <v>42614</v>
      </c>
      <c r="B562" s="214" t="s">
        <v>337</v>
      </c>
      <c r="C562" s="224">
        <v>300009185572</v>
      </c>
      <c r="D562" s="216" t="s">
        <v>237</v>
      </c>
      <c r="E562" s="216">
        <v>3</v>
      </c>
      <c r="F562" s="216">
        <v>1260</v>
      </c>
      <c r="G562" s="216">
        <v>3</v>
      </c>
      <c r="H562" s="216">
        <v>2</v>
      </c>
      <c r="I562" s="216">
        <v>19252.5</v>
      </c>
      <c r="J562" s="216">
        <v>1.04</v>
      </c>
    </row>
    <row r="563" spans="1:10" ht="18" customHeight="1">
      <c r="A563" s="227">
        <v>42615</v>
      </c>
      <c r="B563" s="214" t="s">
        <v>337</v>
      </c>
      <c r="C563" s="224">
        <v>300009374212</v>
      </c>
      <c r="D563" s="216" t="s">
        <v>235</v>
      </c>
      <c r="E563" s="216">
        <v>26</v>
      </c>
      <c r="F563" s="216">
        <v>3384</v>
      </c>
      <c r="G563" s="216">
        <v>26</v>
      </c>
      <c r="H563" s="216">
        <v>18</v>
      </c>
      <c r="I563" s="216">
        <v>77910.399999999994</v>
      </c>
      <c r="J563" s="216">
        <v>2.31</v>
      </c>
    </row>
    <row r="564" spans="1:10" ht="18" customHeight="1">
      <c r="A564" s="227">
        <v>42615</v>
      </c>
      <c r="B564" s="214" t="s">
        <v>337</v>
      </c>
      <c r="C564" s="224">
        <v>300009406201</v>
      </c>
      <c r="D564" s="216" t="s">
        <v>234</v>
      </c>
      <c r="E564" s="216">
        <v>35</v>
      </c>
      <c r="F564" s="216">
        <v>2818</v>
      </c>
      <c r="G564" s="216">
        <v>35</v>
      </c>
      <c r="H564" s="216">
        <v>22</v>
      </c>
      <c r="I564" s="216">
        <v>44352.4</v>
      </c>
      <c r="J564" s="216">
        <v>4.96</v>
      </c>
    </row>
    <row r="565" spans="1:10" ht="18" customHeight="1">
      <c r="A565" s="227">
        <v>42615</v>
      </c>
      <c r="B565" s="214" t="s">
        <v>337</v>
      </c>
      <c r="C565" s="224">
        <v>300009406202</v>
      </c>
      <c r="D565" s="216" t="s">
        <v>232</v>
      </c>
      <c r="E565" s="216">
        <v>12</v>
      </c>
      <c r="F565" s="216">
        <v>2419</v>
      </c>
      <c r="G565" s="216">
        <v>12</v>
      </c>
      <c r="H565" s="216">
        <v>6</v>
      </c>
      <c r="I565" s="216">
        <v>36129.300000000003</v>
      </c>
      <c r="J565" s="216">
        <v>1.66</v>
      </c>
    </row>
    <row r="566" spans="1:10" ht="18" customHeight="1">
      <c r="A566" s="227">
        <v>42615</v>
      </c>
      <c r="B566" s="214" t="s">
        <v>337</v>
      </c>
      <c r="C566" s="224">
        <v>300009374215</v>
      </c>
      <c r="D566" s="216" t="s">
        <v>236</v>
      </c>
      <c r="E566" s="216">
        <v>21</v>
      </c>
      <c r="F566" s="216">
        <v>1772</v>
      </c>
      <c r="G566" s="216">
        <v>21</v>
      </c>
      <c r="H566" s="216">
        <v>13</v>
      </c>
      <c r="I566" s="216">
        <v>36671.5</v>
      </c>
      <c r="J566" s="216">
        <v>3.54</v>
      </c>
    </row>
    <row r="567" spans="1:10" ht="18" customHeight="1">
      <c r="A567" s="227">
        <v>42615</v>
      </c>
      <c r="B567" s="214" t="s">
        <v>337</v>
      </c>
      <c r="C567" s="224">
        <v>300009185572</v>
      </c>
      <c r="D567" s="216" t="s">
        <v>237</v>
      </c>
      <c r="E567" s="216">
        <v>4</v>
      </c>
      <c r="F567" s="216">
        <v>1536</v>
      </c>
      <c r="G567" s="216">
        <v>4</v>
      </c>
      <c r="H567" s="216">
        <v>3</v>
      </c>
      <c r="I567" s="216">
        <v>23302.9</v>
      </c>
      <c r="J567" s="216">
        <v>1.29</v>
      </c>
    </row>
    <row r="568" spans="1:10" ht="18" customHeight="1">
      <c r="A568" s="227">
        <v>42616</v>
      </c>
      <c r="B568" s="214" t="s">
        <v>337</v>
      </c>
      <c r="C568" s="224">
        <v>300009374212</v>
      </c>
      <c r="D568" s="216" t="s">
        <v>235</v>
      </c>
      <c r="E568" s="216">
        <v>27</v>
      </c>
      <c r="F568" s="216">
        <v>3556</v>
      </c>
      <c r="G568" s="216">
        <v>27</v>
      </c>
      <c r="H568" s="216">
        <v>19</v>
      </c>
      <c r="I568" s="216">
        <v>82943.899999999994</v>
      </c>
      <c r="J568" s="216">
        <v>2.29</v>
      </c>
    </row>
    <row r="569" spans="1:10" ht="18" customHeight="1">
      <c r="A569" s="227">
        <v>42616</v>
      </c>
      <c r="B569" s="214" t="s">
        <v>337</v>
      </c>
      <c r="C569" s="224">
        <v>300009406202</v>
      </c>
      <c r="D569" s="216" t="s">
        <v>232</v>
      </c>
      <c r="E569" s="216">
        <v>13</v>
      </c>
      <c r="F569" s="216">
        <v>2830</v>
      </c>
      <c r="G569" s="216">
        <v>13</v>
      </c>
      <c r="H569" s="216">
        <v>7</v>
      </c>
      <c r="I569" s="216">
        <v>42438.6</v>
      </c>
      <c r="J569" s="216">
        <v>1.65</v>
      </c>
    </row>
    <row r="570" spans="1:10" ht="18" customHeight="1">
      <c r="A570" s="227">
        <v>42616</v>
      </c>
      <c r="B570" s="214" t="s">
        <v>337</v>
      </c>
      <c r="C570" s="224">
        <v>300009406201</v>
      </c>
      <c r="D570" s="216" t="s">
        <v>234</v>
      </c>
      <c r="E570" s="216">
        <v>35</v>
      </c>
      <c r="F570" s="216">
        <v>2818</v>
      </c>
      <c r="G570" s="216">
        <v>35</v>
      </c>
      <c r="H570" s="216">
        <v>22</v>
      </c>
      <c r="I570" s="216">
        <v>44352.4</v>
      </c>
      <c r="J570" s="216">
        <v>4.96</v>
      </c>
    </row>
    <row r="571" spans="1:10" ht="18" customHeight="1">
      <c r="A571" s="227">
        <v>42616</v>
      </c>
      <c r="B571" s="214" t="s">
        <v>337</v>
      </c>
      <c r="C571" s="224">
        <v>300009185572</v>
      </c>
      <c r="D571" s="216" t="s">
        <v>237</v>
      </c>
      <c r="E571" s="216">
        <v>5</v>
      </c>
      <c r="F571" s="216">
        <v>1955</v>
      </c>
      <c r="G571" s="216">
        <v>5</v>
      </c>
      <c r="H571" s="216">
        <v>3</v>
      </c>
      <c r="I571" s="216">
        <v>29335.5</v>
      </c>
      <c r="J571" s="216">
        <v>1.02</v>
      </c>
    </row>
    <row r="572" spans="1:10" ht="18" customHeight="1">
      <c r="A572" s="227">
        <v>42616</v>
      </c>
      <c r="B572" s="214" t="s">
        <v>337</v>
      </c>
      <c r="C572" s="224">
        <v>300009374215</v>
      </c>
      <c r="D572" s="216" t="s">
        <v>236</v>
      </c>
      <c r="E572" s="216">
        <v>18</v>
      </c>
      <c r="F572" s="216">
        <v>1666</v>
      </c>
      <c r="G572" s="216">
        <v>18</v>
      </c>
      <c r="H572" s="216">
        <v>11</v>
      </c>
      <c r="I572" s="216">
        <v>34020.199999999997</v>
      </c>
      <c r="J572" s="216">
        <v>3.23</v>
      </c>
    </row>
    <row r="573" spans="1:10" ht="18" customHeight="1">
      <c r="A573" s="227">
        <v>42617</v>
      </c>
      <c r="B573" s="214" t="s">
        <v>337</v>
      </c>
      <c r="C573" s="224">
        <v>300009374212</v>
      </c>
      <c r="D573" s="216" t="s">
        <v>235</v>
      </c>
      <c r="E573" s="216">
        <v>28</v>
      </c>
      <c r="F573" s="216">
        <v>3716</v>
      </c>
      <c r="G573" s="216">
        <v>28</v>
      </c>
      <c r="H573" s="216">
        <v>20</v>
      </c>
      <c r="I573" s="216">
        <v>87091.6</v>
      </c>
      <c r="J573" s="216">
        <v>2.2999999999999998</v>
      </c>
    </row>
    <row r="574" spans="1:10" ht="18" customHeight="1">
      <c r="A574" s="227">
        <v>42617</v>
      </c>
      <c r="B574" s="214" t="s">
        <v>337</v>
      </c>
      <c r="C574" s="224">
        <v>300009406202</v>
      </c>
      <c r="D574" s="216" t="s">
        <v>232</v>
      </c>
      <c r="E574" s="216">
        <v>14</v>
      </c>
      <c r="F574" s="216">
        <v>3182</v>
      </c>
      <c r="G574" s="216">
        <v>14</v>
      </c>
      <c r="H574" s="216">
        <v>8</v>
      </c>
      <c r="I574" s="216">
        <v>47774.2</v>
      </c>
      <c r="J574" s="216">
        <v>1.67</v>
      </c>
    </row>
    <row r="575" spans="1:10" ht="18" customHeight="1">
      <c r="A575" s="227">
        <v>42617</v>
      </c>
      <c r="B575" s="214" t="s">
        <v>337</v>
      </c>
      <c r="C575" s="224">
        <v>300009406201</v>
      </c>
      <c r="D575" s="216" t="s">
        <v>234</v>
      </c>
      <c r="E575" s="216">
        <v>35</v>
      </c>
      <c r="F575" s="216">
        <v>2818</v>
      </c>
      <c r="G575" s="216">
        <v>35</v>
      </c>
      <c r="H575" s="216">
        <v>22</v>
      </c>
      <c r="I575" s="216">
        <v>44352.4</v>
      </c>
      <c r="J575" s="216">
        <v>4.96</v>
      </c>
    </row>
    <row r="576" spans="1:10" ht="18" customHeight="1">
      <c r="A576" s="227">
        <v>42617</v>
      </c>
      <c r="B576" s="214" t="s">
        <v>337</v>
      </c>
      <c r="C576" s="224">
        <v>300009185572</v>
      </c>
      <c r="D576" s="216" t="s">
        <v>237</v>
      </c>
      <c r="E576" s="216">
        <v>8</v>
      </c>
      <c r="F576" s="216">
        <v>2280</v>
      </c>
      <c r="G576" s="216">
        <v>8</v>
      </c>
      <c r="H576" s="216">
        <v>5</v>
      </c>
      <c r="I576" s="216">
        <v>33410.699999999997</v>
      </c>
      <c r="J576" s="216">
        <v>1.5</v>
      </c>
    </row>
    <row r="577" spans="1:10" ht="18" customHeight="1">
      <c r="A577" s="227">
        <v>42617</v>
      </c>
      <c r="B577" s="214" t="s">
        <v>337</v>
      </c>
      <c r="C577" s="224">
        <v>300009184067</v>
      </c>
      <c r="D577" s="216" t="s">
        <v>233</v>
      </c>
      <c r="E577" s="216">
        <v>2</v>
      </c>
      <c r="F577" s="216">
        <v>1300</v>
      </c>
      <c r="G577" s="216">
        <v>2</v>
      </c>
      <c r="H577" s="216">
        <v>0</v>
      </c>
      <c r="I577" s="216">
        <v>17013</v>
      </c>
      <c r="J577" s="216">
        <v>0</v>
      </c>
    </row>
    <row r="578" spans="1:10" ht="18" customHeight="1">
      <c r="A578" s="227">
        <v>42617</v>
      </c>
      <c r="B578" s="214" t="s">
        <v>168</v>
      </c>
      <c r="C578" s="224">
        <v>300008823388</v>
      </c>
      <c r="D578" s="216" t="s">
        <v>231</v>
      </c>
      <c r="E578" s="216">
        <v>1</v>
      </c>
      <c r="F578" s="216">
        <v>226</v>
      </c>
      <c r="G578" s="216">
        <v>1</v>
      </c>
      <c r="H578" s="216">
        <v>0</v>
      </c>
      <c r="I578" s="216">
        <v>3985.27</v>
      </c>
      <c r="J578" s="216">
        <v>0</v>
      </c>
    </row>
    <row r="579" spans="1:10" ht="18" customHeight="1">
      <c r="A579" s="227">
        <v>42614</v>
      </c>
      <c r="B579" s="214" t="s">
        <v>169</v>
      </c>
      <c r="C579" s="224">
        <v>300009290321</v>
      </c>
      <c r="D579" s="216" t="s">
        <v>194</v>
      </c>
      <c r="E579" s="216">
        <v>23</v>
      </c>
      <c r="F579" s="216">
        <v>4809</v>
      </c>
      <c r="G579" s="216">
        <v>23</v>
      </c>
      <c r="H579" s="216">
        <v>13</v>
      </c>
      <c r="I579" s="216">
        <v>100760.5</v>
      </c>
      <c r="J579" s="216">
        <v>1.29</v>
      </c>
    </row>
    <row r="580" spans="1:10" ht="18" customHeight="1">
      <c r="A580" s="227">
        <v>42615</v>
      </c>
      <c r="B580" s="214" t="s">
        <v>169</v>
      </c>
      <c r="C580" s="224">
        <v>300009290321</v>
      </c>
      <c r="D580" s="216" t="s">
        <v>194</v>
      </c>
      <c r="E580" s="216">
        <v>24</v>
      </c>
      <c r="F580" s="216">
        <v>4605</v>
      </c>
      <c r="G580" s="216">
        <v>24</v>
      </c>
      <c r="H580" s="216">
        <v>13</v>
      </c>
      <c r="I580" s="216">
        <v>95763.199999999997</v>
      </c>
      <c r="J580" s="216">
        <v>1.36</v>
      </c>
    </row>
    <row r="581" spans="1:10" ht="18" customHeight="1">
      <c r="A581" s="227">
        <v>42616</v>
      </c>
      <c r="B581" s="214" t="s">
        <v>169</v>
      </c>
      <c r="C581" s="224">
        <v>300009290321</v>
      </c>
      <c r="D581" s="216" t="s">
        <v>194</v>
      </c>
      <c r="E581" s="216">
        <v>24</v>
      </c>
      <c r="F581" s="216">
        <v>4405</v>
      </c>
      <c r="G581" s="216">
        <v>24</v>
      </c>
      <c r="H581" s="216">
        <v>13</v>
      </c>
      <c r="I581" s="216">
        <v>90764</v>
      </c>
      <c r="J581" s="216">
        <v>1.43</v>
      </c>
    </row>
    <row r="582" spans="1:10" ht="18" customHeight="1">
      <c r="A582" s="227">
        <v>42617</v>
      </c>
      <c r="B582" s="214" t="s">
        <v>169</v>
      </c>
      <c r="C582" s="224">
        <v>300009290321</v>
      </c>
      <c r="D582" s="216" t="s">
        <v>194</v>
      </c>
      <c r="E582" s="216">
        <v>24</v>
      </c>
      <c r="F582" s="216">
        <v>4202</v>
      </c>
      <c r="G582" s="216">
        <v>24</v>
      </c>
      <c r="H582" s="216">
        <v>13</v>
      </c>
      <c r="I582" s="216">
        <v>85764</v>
      </c>
      <c r="J582" s="216">
        <v>1.52</v>
      </c>
    </row>
    <row r="583" spans="1:10" ht="18" customHeight="1">
      <c r="A583" s="227">
        <v>42618</v>
      </c>
      <c r="B583" s="214" t="s">
        <v>245</v>
      </c>
      <c r="C583" s="224">
        <v>300009480238</v>
      </c>
      <c r="D583" s="216" t="s">
        <v>263</v>
      </c>
      <c r="E583" s="216">
        <v>32</v>
      </c>
      <c r="F583" s="216">
        <v>5396</v>
      </c>
      <c r="G583" s="216">
        <v>32</v>
      </c>
      <c r="H583" s="216">
        <v>22</v>
      </c>
      <c r="I583" s="216">
        <v>90973.6</v>
      </c>
      <c r="J583" s="216">
        <v>2.42</v>
      </c>
    </row>
    <row r="584" spans="1:10" ht="18" customHeight="1">
      <c r="A584" s="227">
        <v>42618</v>
      </c>
      <c r="B584" s="214" t="s">
        <v>338</v>
      </c>
      <c r="C584" s="224">
        <v>300009192151</v>
      </c>
      <c r="D584" s="216" t="s">
        <v>230</v>
      </c>
      <c r="E584" s="216">
        <v>14</v>
      </c>
      <c r="F584" s="216">
        <v>2992</v>
      </c>
      <c r="G584" s="216">
        <v>14</v>
      </c>
      <c r="H584" s="216">
        <v>5</v>
      </c>
      <c r="I584" s="216">
        <v>40620.6</v>
      </c>
      <c r="J584" s="216">
        <v>1.23</v>
      </c>
    </row>
    <row r="585" spans="1:10" ht="18" customHeight="1">
      <c r="A585" s="227">
        <v>42618</v>
      </c>
      <c r="B585" s="214" t="s">
        <v>339</v>
      </c>
      <c r="C585" s="224">
        <v>300009374212</v>
      </c>
      <c r="D585" s="216" t="s">
        <v>235</v>
      </c>
      <c r="E585" s="216">
        <v>28</v>
      </c>
      <c r="F585" s="216">
        <v>3816</v>
      </c>
      <c r="G585" s="216">
        <v>28</v>
      </c>
      <c r="H585" s="216">
        <v>20</v>
      </c>
      <c r="I585" s="216">
        <v>89610.2</v>
      </c>
      <c r="J585" s="216">
        <v>2.23</v>
      </c>
    </row>
    <row r="586" spans="1:10" ht="18" customHeight="1">
      <c r="A586" s="227">
        <v>42618</v>
      </c>
      <c r="B586" s="214" t="s">
        <v>339</v>
      </c>
      <c r="C586" s="224">
        <v>300009406202</v>
      </c>
      <c r="D586" s="216" t="s">
        <v>232</v>
      </c>
      <c r="E586" s="216">
        <v>16</v>
      </c>
      <c r="F586" s="216">
        <v>3437</v>
      </c>
      <c r="G586" s="216">
        <v>16</v>
      </c>
      <c r="H586" s="216">
        <v>9</v>
      </c>
      <c r="I586" s="216">
        <v>51662.5</v>
      </c>
      <c r="J586" s="216">
        <v>1.74</v>
      </c>
    </row>
    <row r="587" spans="1:10" ht="18" customHeight="1">
      <c r="A587" s="227">
        <v>42618</v>
      </c>
      <c r="B587" s="214" t="s">
        <v>339</v>
      </c>
      <c r="C587" s="224">
        <v>300009406201</v>
      </c>
      <c r="D587" s="216" t="s">
        <v>234</v>
      </c>
      <c r="E587" s="216">
        <v>35</v>
      </c>
      <c r="F587" s="216">
        <v>2818</v>
      </c>
      <c r="G587" s="216">
        <v>35</v>
      </c>
      <c r="H587" s="216">
        <v>23</v>
      </c>
      <c r="I587" s="216">
        <v>44352.4</v>
      </c>
      <c r="J587" s="216">
        <v>5.19</v>
      </c>
    </row>
    <row r="588" spans="1:10" ht="18" customHeight="1">
      <c r="A588" s="227">
        <v>42618</v>
      </c>
      <c r="B588" s="214" t="s">
        <v>339</v>
      </c>
      <c r="C588" s="224">
        <v>300009185572</v>
      </c>
      <c r="D588" s="216" t="s">
        <v>237</v>
      </c>
      <c r="E588" s="216">
        <v>8</v>
      </c>
      <c r="F588" s="216">
        <v>2551</v>
      </c>
      <c r="G588" s="216">
        <v>8</v>
      </c>
      <c r="H588" s="216">
        <v>5</v>
      </c>
      <c r="I588" s="216">
        <v>37478.199999999997</v>
      </c>
      <c r="J588" s="216">
        <v>1.33</v>
      </c>
    </row>
    <row r="589" spans="1:10" ht="18" customHeight="1">
      <c r="A589" s="227">
        <v>42618</v>
      </c>
      <c r="B589" s="214" t="s">
        <v>339</v>
      </c>
      <c r="C589" s="224">
        <v>300009184067</v>
      </c>
      <c r="D589" s="216" t="s">
        <v>233</v>
      </c>
      <c r="E589" s="216">
        <v>2</v>
      </c>
      <c r="F589" s="216">
        <v>1569</v>
      </c>
      <c r="G589" s="216">
        <v>2</v>
      </c>
      <c r="H589" s="216">
        <v>0</v>
      </c>
      <c r="I589" s="216">
        <v>20701.900000000001</v>
      </c>
      <c r="J589" s="216">
        <v>0</v>
      </c>
    </row>
    <row r="590" spans="1:10" ht="18" customHeight="1">
      <c r="A590" s="227">
        <v>42618</v>
      </c>
      <c r="B590" s="214" t="s">
        <v>340</v>
      </c>
      <c r="C590" s="224">
        <v>300008823388</v>
      </c>
      <c r="D590" s="216" t="s">
        <v>231</v>
      </c>
      <c r="E590" s="216">
        <v>1</v>
      </c>
      <c r="F590" s="216">
        <v>226</v>
      </c>
      <c r="G590" s="216">
        <v>1</v>
      </c>
      <c r="H590" s="216">
        <v>0</v>
      </c>
      <c r="I590" s="216">
        <v>3985.27</v>
      </c>
      <c r="J590" s="216">
        <v>0</v>
      </c>
    </row>
    <row r="591" spans="1:10" ht="18" customHeight="1">
      <c r="A591" s="227">
        <v>42618</v>
      </c>
      <c r="B591" s="214" t="s">
        <v>341</v>
      </c>
      <c r="C591" s="224">
        <v>300009235971</v>
      </c>
      <c r="D591" s="216" t="s">
        <v>241</v>
      </c>
      <c r="E591" s="216">
        <v>38</v>
      </c>
      <c r="F591" s="216">
        <v>4690</v>
      </c>
      <c r="G591" s="216">
        <v>38</v>
      </c>
      <c r="H591" s="216">
        <v>19</v>
      </c>
      <c r="I591" s="216">
        <v>71386.2</v>
      </c>
      <c r="J591" s="216">
        <v>2.66</v>
      </c>
    </row>
    <row r="592" spans="1:10" ht="18" customHeight="1">
      <c r="A592" s="227">
        <v>42618</v>
      </c>
      <c r="B592" s="214" t="s">
        <v>341</v>
      </c>
      <c r="C592" s="224">
        <v>300008244937</v>
      </c>
      <c r="D592" s="216" t="s">
        <v>272</v>
      </c>
      <c r="E592" s="216">
        <v>29</v>
      </c>
      <c r="F592" s="216">
        <v>3960</v>
      </c>
      <c r="G592" s="216">
        <v>29</v>
      </c>
      <c r="H592" s="216">
        <v>21</v>
      </c>
      <c r="I592" s="216">
        <v>63204.02</v>
      </c>
      <c r="J592" s="216">
        <v>3.32</v>
      </c>
    </row>
    <row r="593" spans="1:10" ht="18" customHeight="1">
      <c r="A593" s="227">
        <v>42618</v>
      </c>
      <c r="B593" s="214" t="s">
        <v>341</v>
      </c>
      <c r="C593" s="224">
        <v>300008839381</v>
      </c>
      <c r="D593" s="216" t="s">
        <v>190</v>
      </c>
      <c r="E593" s="216">
        <v>19</v>
      </c>
      <c r="F593" s="216">
        <v>3824</v>
      </c>
      <c r="G593" s="216">
        <v>19</v>
      </c>
      <c r="H593" s="216">
        <v>8</v>
      </c>
      <c r="I593" s="216">
        <v>54556.800000000003</v>
      </c>
      <c r="J593" s="216">
        <v>1.47</v>
      </c>
    </row>
    <row r="594" spans="1:10" ht="18" customHeight="1">
      <c r="A594" s="227">
        <v>42618</v>
      </c>
      <c r="B594" s="214" t="s">
        <v>341</v>
      </c>
      <c r="C594" s="224">
        <v>300008579657</v>
      </c>
      <c r="D594" s="216" t="s">
        <v>188</v>
      </c>
      <c r="E594" s="216">
        <v>21</v>
      </c>
      <c r="F594" s="216">
        <v>2435</v>
      </c>
      <c r="G594" s="216">
        <v>21</v>
      </c>
      <c r="H594" s="216">
        <v>8</v>
      </c>
      <c r="I594" s="216">
        <v>34804.199999999997</v>
      </c>
      <c r="J594" s="216">
        <v>2.2999999999999998</v>
      </c>
    </row>
    <row r="595" spans="1:10" ht="18" customHeight="1">
      <c r="A595" s="227">
        <v>42618</v>
      </c>
      <c r="B595" s="214" t="s">
        <v>341</v>
      </c>
      <c r="C595" s="224">
        <v>300009003496</v>
      </c>
      <c r="D595" s="216" t="s">
        <v>240</v>
      </c>
      <c r="E595" s="216">
        <v>16</v>
      </c>
      <c r="F595" s="216">
        <v>2018</v>
      </c>
      <c r="G595" s="216">
        <v>16</v>
      </c>
      <c r="H595" s="216">
        <v>6</v>
      </c>
      <c r="I595" s="216">
        <v>28833.14</v>
      </c>
      <c r="J595" s="216">
        <v>2.08</v>
      </c>
    </row>
    <row r="596" spans="1:10" ht="18" customHeight="1">
      <c r="A596" s="227">
        <v>42618</v>
      </c>
      <c r="B596" s="214" t="s">
        <v>341</v>
      </c>
      <c r="C596" s="224">
        <v>300009235974</v>
      </c>
      <c r="D596" s="216" t="s">
        <v>187</v>
      </c>
      <c r="E596" s="216">
        <v>9</v>
      </c>
      <c r="F596" s="216">
        <v>635</v>
      </c>
      <c r="G596" s="216">
        <v>9</v>
      </c>
      <c r="H596" s="216">
        <v>4</v>
      </c>
      <c r="I596" s="216">
        <v>13267.1</v>
      </c>
      <c r="J596" s="216">
        <v>3.01</v>
      </c>
    </row>
    <row r="597" spans="1:10" ht="18" customHeight="1">
      <c r="A597" s="227">
        <v>42618</v>
      </c>
      <c r="B597" s="214" t="s">
        <v>341</v>
      </c>
      <c r="C597" s="224">
        <v>300008875665</v>
      </c>
      <c r="D597" s="216" t="s">
        <v>189</v>
      </c>
      <c r="E597" s="216">
        <v>5</v>
      </c>
      <c r="F597" s="216">
        <v>508</v>
      </c>
      <c r="G597" s="216">
        <v>5</v>
      </c>
      <c r="H597" s="216">
        <v>2</v>
      </c>
      <c r="I597" s="216">
        <v>10809.87</v>
      </c>
      <c r="J597" s="216">
        <v>1.85</v>
      </c>
    </row>
    <row r="598" spans="1:10" ht="18" customHeight="1">
      <c r="A598" s="227">
        <v>42618</v>
      </c>
      <c r="B598" s="214" t="s">
        <v>341</v>
      </c>
      <c r="C598" s="224">
        <v>300009000071</v>
      </c>
      <c r="D598" s="216" t="s">
        <v>192</v>
      </c>
      <c r="E598" s="216">
        <v>8</v>
      </c>
      <c r="F598" s="216">
        <v>329</v>
      </c>
      <c r="G598" s="216">
        <v>8</v>
      </c>
      <c r="H598" s="216">
        <v>3</v>
      </c>
      <c r="I598" s="216">
        <v>3902.74</v>
      </c>
      <c r="J598" s="216">
        <v>3</v>
      </c>
    </row>
    <row r="599" spans="1:10" ht="18" customHeight="1">
      <c r="A599" s="227">
        <v>42619</v>
      </c>
      <c r="B599" s="214" t="s">
        <v>341</v>
      </c>
      <c r="C599" s="224">
        <v>300009235971</v>
      </c>
      <c r="D599" s="216" t="s">
        <v>241</v>
      </c>
      <c r="E599" s="216">
        <v>40</v>
      </c>
      <c r="F599" s="216">
        <v>4690</v>
      </c>
      <c r="G599" s="216">
        <v>40</v>
      </c>
      <c r="H599" s="216">
        <v>20</v>
      </c>
      <c r="I599" s="216">
        <v>71386.2</v>
      </c>
      <c r="J599" s="216">
        <v>2.8</v>
      </c>
    </row>
    <row r="600" spans="1:10" ht="18" customHeight="1">
      <c r="A600" s="227">
        <v>42619</v>
      </c>
      <c r="B600" s="214" t="s">
        <v>341</v>
      </c>
      <c r="C600" s="224">
        <v>300008244937</v>
      </c>
      <c r="D600" s="216" t="s">
        <v>272</v>
      </c>
      <c r="E600" s="216">
        <v>32</v>
      </c>
      <c r="F600" s="216">
        <v>4312</v>
      </c>
      <c r="G600" s="216">
        <v>32</v>
      </c>
      <c r="H600" s="216">
        <v>22</v>
      </c>
      <c r="I600" s="216">
        <v>68311.48</v>
      </c>
      <c r="J600" s="216">
        <v>3.22</v>
      </c>
    </row>
    <row r="601" spans="1:10" ht="18" customHeight="1">
      <c r="A601" s="227">
        <v>42619</v>
      </c>
      <c r="B601" s="214" t="s">
        <v>341</v>
      </c>
      <c r="C601" s="224">
        <v>300008839381</v>
      </c>
      <c r="D601" s="216" t="s">
        <v>190</v>
      </c>
      <c r="E601" s="216">
        <v>21</v>
      </c>
      <c r="F601" s="216">
        <v>4154</v>
      </c>
      <c r="G601" s="216">
        <v>21</v>
      </c>
      <c r="H601" s="216">
        <v>9</v>
      </c>
      <c r="I601" s="216">
        <v>59462</v>
      </c>
      <c r="J601" s="216">
        <v>1.51</v>
      </c>
    </row>
    <row r="602" spans="1:10" ht="18" customHeight="1">
      <c r="A602" s="227">
        <v>42619</v>
      </c>
      <c r="B602" s="214" t="s">
        <v>341</v>
      </c>
      <c r="C602" s="224">
        <v>300008579657</v>
      </c>
      <c r="D602" s="216" t="s">
        <v>188</v>
      </c>
      <c r="E602" s="216">
        <v>24</v>
      </c>
      <c r="F602" s="216">
        <v>2780</v>
      </c>
      <c r="G602" s="216">
        <v>24</v>
      </c>
      <c r="H602" s="216">
        <v>8</v>
      </c>
      <c r="I602" s="216">
        <v>39570.81</v>
      </c>
      <c r="J602" s="216">
        <v>2.02</v>
      </c>
    </row>
    <row r="603" spans="1:10" ht="18" customHeight="1">
      <c r="A603" s="227">
        <v>42619</v>
      </c>
      <c r="B603" s="214" t="s">
        <v>341</v>
      </c>
      <c r="C603" s="224">
        <v>300009003496</v>
      </c>
      <c r="D603" s="216" t="s">
        <v>240</v>
      </c>
      <c r="E603" s="216">
        <v>18</v>
      </c>
      <c r="F603" s="216">
        <v>2282</v>
      </c>
      <c r="G603" s="216">
        <v>18</v>
      </c>
      <c r="H603" s="216">
        <v>8</v>
      </c>
      <c r="I603" s="216">
        <v>32684.75</v>
      </c>
      <c r="J603" s="216">
        <v>2.4500000000000002</v>
      </c>
    </row>
    <row r="604" spans="1:10" ht="18" customHeight="1">
      <c r="A604" s="227">
        <v>42619</v>
      </c>
      <c r="B604" s="214" t="s">
        <v>341</v>
      </c>
      <c r="C604" s="224">
        <v>300009235974</v>
      </c>
      <c r="D604" s="216" t="s">
        <v>187</v>
      </c>
      <c r="E604" s="216">
        <v>10</v>
      </c>
      <c r="F604" s="216">
        <v>695</v>
      </c>
      <c r="G604" s="216">
        <v>10</v>
      </c>
      <c r="H604" s="216">
        <v>5</v>
      </c>
      <c r="I604" s="216">
        <v>14680.1</v>
      </c>
      <c r="J604" s="216">
        <v>3.41</v>
      </c>
    </row>
    <row r="605" spans="1:10" ht="18" customHeight="1">
      <c r="A605" s="227">
        <v>42619</v>
      </c>
      <c r="B605" s="214" t="s">
        <v>341</v>
      </c>
      <c r="C605" s="224">
        <v>300008875665</v>
      </c>
      <c r="D605" s="216" t="s">
        <v>189</v>
      </c>
      <c r="E605" s="216">
        <v>7</v>
      </c>
      <c r="F605" s="216">
        <v>596</v>
      </c>
      <c r="G605" s="216">
        <v>7</v>
      </c>
      <c r="H605" s="216">
        <v>3</v>
      </c>
      <c r="I605" s="216">
        <v>12682.89</v>
      </c>
      <c r="J605" s="216">
        <v>2.37</v>
      </c>
    </row>
    <row r="606" spans="1:10" ht="18" customHeight="1">
      <c r="A606" s="227">
        <v>42619</v>
      </c>
      <c r="B606" s="214" t="s">
        <v>341</v>
      </c>
      <c r="C606" s="224">
        <v>300009000071</v>
      </c>
      <c r="D606" s="216" t="s">
        <v>192</v>
      </c>
      <c r="E606" s="216">
        <v>8</v>
      </c>
      <c r="F606" s="216">
        <v>329</v>
      </c>
      <c r="G606" s="216">
        <v>8</v>
      </c>
      <c r="H606" s="216">
        <v>3</v>
      </c>
      <c r="I606" s="216">
        <v>3902.74</v>
      </c>
      <c r="J606" s="216">
        <v>3</v>
      </c>
    </row>
    <row r="607" spans="1:10" ht="18" customHeight="1">
      <c r="A607" s="227">
        <v>42620</v>
      </c>
      <c r="B607" s="214" t="s">
        <v>341</v>
      </c>
      <c r="C607" s="224">
        <v>300009235971</v>
      </c>
      <c r="D607" s="216" t="s">
        <v>241</v>
      </c>
      <c r="E607" s="216">
        <v>40</v>
      </c>
      <c r="F607" s="216">
        <v>4690</v>
      </c>
      <c r="G607" s="216">
        <v>40</v>
      </c>
      <c r="H607" s="216">
        <v>20</v>
      </c>
      <c r="I607" s="216">
        <v>71386.2</v>
      </c>
      <c r="J607" s="216">
        <v>2.8</v>
      </c>
    </row>
    <row r="608" spans="1:10" ht="18" customHeight="1">
      <c r="A608" s="227">
        <v>42620</v>
      </c>
      <c r="B608" s="214" t="s">
        <v>341</v>
      </c>
      <c r="C608" s="224">
        <v>300008839381</v>
      </c>
      <c r="D608" s="216" t="s">
        <v>190</v>
      </c>
      <c r="E608" s="216">
        <v>22</v>
      </c>
      <c r="F608" s="216">
        <v>4588</v>
      </c>
      <c r="G608" s="216">
        <v>22</v>
      </c>
      <c r="H608" s="216">
        <v>9</v>
      </c>
      <c r="I608" s="216">
        <v>65427.4</v>
      </c>
      <c r="J608" s="216">
        <v>1.38</v>
      </c>
    </row>
    <row r="609" spans="1:10" ht="18" customHeight="1">
      <c r="A609" s="227">
        <v>42620</v>
      </c>
      <c r="B609" s="214" t="s">
        <v>341</v>
      </c>
      <c r="C609" s="224">
        <v>300008244937</v>
      </c>
      <c r="D609" s="216" t="s">
        <v>272</v>
      </c>
      <c r="E609" s="216">
        <v>33</v>
      </c>
      <c r="F609" s="216">
        <v>4347</v>
      </c>
      <c r="G609" s="216">
        <v>33</v>
      </c>
      <c r="H609" s="216">
        <v>23</v>
      </c>
      <c r="I609" s="216">
        <v>68825.88</v>
      </c>
      <c r="J609" s="216">
        <v>3.34</v>
      </c>
    </row>
    <row r="610" spans="1:10" ht="18" customHeight="1">
      <c r="A610" s="227">
        <v>42620</v>
      </c>
      <c r="B610" s="214" t="s">
        <v>341</v>
      </c>
      <c r="C610" s="224">
        <v>300008579657</v>
      </c>
      <c r="D610" s="216" t="s">
        <v>188</v>
      </c>
      <c r="E610" s="216">
        <v>25</v>
      </c>
      <c r="F610" s="216">
        <v>3248</v>
      </c>
      <c r="G610" s="216">
        <v>25</v>
      </c>
      <c r="H610" s="216">
        <v>9</v>
      </c>
      <c r="I610" s="216">
        <v>46329.760000000002</v>
      </c>
      <c r="J610" s="216">
        <v>1.94</v>
      </c>
    </row>
    <row r="611" spans="1:10" ht="18" customHeight="1">
      <c r="A611" s="227">
        <v>42620</v>
      </c>
      <c r="B611" s="214" t="s">
        <v>341</v>
      </c>
      <c r="C611" s="224">
        <v>300009003496</v>
      </c>
      <c r="D611" s="216" t="s">
        <v>240</v>
      </c>
      <c r="E611" s="216">
        <v>20</v>
      </c>
      <c r="F611" s="216">
        <v>2639</v>
      </c>
      <c r="G611" s="216">
        <v>20</v>
      </c>
      <c r="H611" s="216">
        <v>9</v>
      </c>
      <c r="I611" s="216">
        <v>38175.65</v>
      </c>
      <c r="J611" s="216">
        <v>2.36</v>
      </c>
    </row>
    <row r="612" spans="1:10" ht="18" customHeight="1">
      <c r="A612" s="227">
        <v>42620</v>
      </c>
      <c r="B612" s="214" t="s">
        <v>341</v>
      </c>
      <c r="C612" s="224">
        <v>300009235974</v>
      </c>
      <c r="D612" s="216" t="s">
        <v>187</v>
      </c>
      <c r="E612" s="216">
        <v>10</v>
      </c>
      <c r="F612" s="216">
        <v>751</v>
      </c>
      <c r="G612" s="216">
        <v>10</v>
      </c>
      <c r="H612" s="216">
        <v>5</v>
      </c>
      <c r="I612" s="216">
        <v>15970.8</v>
      </c>
      <c r="J612" s="216">
        <v>3.13</v>
      </c>
    </row>
    <row r="613" spans="1:10" ht="18" customHeight="1">
      <c r="A613" s="227">
        <v>42620</v>
      </c>
      <c r="B613" s="214" t="s">
        <v>341</v>
      </c>
      <c r="C613" s="224">
        <v>300008875665</v>
      </c>
      <c r="D613" s="216" t="s">
        <v>189</v>
      </c>
      <c r="E613" s="216">
        <v>7</v>
      </c>
      <c r="F613" s="216">
        <v>669</v>
      </c>
      <c r="G613" s="216">
        <v>7</v>
      </c>
      <c r="H613" s="216">
        <v>3</v>
      </c>
      <c r="I613" s="216">
        <v>14523.2</v>
      </c>
      <c r="J613" s="216">
        <v>2.0699999999999998</v>
      </c>
    </row>
    <row r="614" spans="1:10" ht="18" customHeight="1">
      <c r="A614" s="227">
        <v>42620</v>
      </c>
      <c r="B614" s="214" t="s">
        <v>341</v>
      </c>
      <c r="C614" s="224">
        <v>300009000071</v>
      </c>
      <c r="D614" s="216" t="s">
        <v>192</v>
      </c>
      <c r="E614" s="216">
        <v>8</v>
      </c>
      <c r="F614" s="216">
        <v>329</v>
      </c>
      <c r="G614" s="216">
        <v>8</v>
      </c>
      <c r="H614" s="216">
        <v>3</v>
      </c>
      <c r="I614" s="216">
        <v>3902.74</v>
      </c>
      <c r="J614" s="216">
        <v>3</v>
      </c>
    </row>
    <row r="615" spans="1:10" ht="18" customHeight="1">
      <c r="A615" s="227">
        <v>42618</v>
      </c>
      <c r="B615" s="214" t="s">
        <v>342</v>
      </c>
      <c r="C615" s="224">
        <v>300009290321</v>
      </c>
      <c r="D615" s="216" t="s">
        <v>194</v>
      </c>
      <c r="E615" s="216">
        <v>24</v>
      </c>
      <c r="F615" s="216">
        <v>3986</v>
      </c>
      <c r="G615" s="216">
        <v>24</v>
      </c>
      <c r="H615" s="216">
        <v>12</v>
      </c>
      <c r="I615" s="216">
        <v>80764.7</v>
      </c>
      <c r="J615" s="216">
        <v>1.49</v>
      </c>
    </row>
    <row r="616" spans="1:10" ht="18" customHeight="1">
      <c r="A616" s="227">
        <v>42619</v>
      </c>
      <c r="B616" s="214" t="s">
        <v>342</v>
      </c>
      <c r="C616" s="224">
        <v>300009290321</v>
      </c>
      <c r="D616" s="216" t="s">
        <v>194</v>
      </c>
      <c r="E616" s="216">
        <v>24</v>
      </c>
      <c r="F616" s="216">
        <v>3761</v>
      </c>
      <c r="G616" s="216">
        <v>24</v>
      </c>
      <c r="H616" s="216">
        <v>12</v>
      </c>
      <c r="I616" s="216">
        <v>75765.100000000006</v>
      </c>
      <c r="J616" s="216">
        <v>1.58</v>
      </c>
    </row>
    <row r="617" spans="1:10" ht="18" customHeight="1">
      <c r="A617" s="227">
        <v>42620</v>
      </c>
      <c r="B617" s="214" t="s">
        <v>342</v>
      </c>
      <c r="C617" s="224">
        <v>300009290321</v>
      </c>
      <c r="D617" s="216" t="s">
        <v>194</v>
      </c>
      <c r="E617" s="216">
        <v>24</v>
      </c>
      <c r="F617" s="216">
        <v>3531</v>
      </c>
      <c r="G617" s="216">
        <v>24</v>
      </c>
      <c r="H617" s="216">
        <v>12</v>
      </c>
      <c r="I617" s="216">
        <v>70766.7</v>
      </c>
      <c r="J617" s="216">
        <v>1.7</v>
      </c>
    </row>
    <row r="618" spans="1:10" ht="18" customHeight="1">
      <c r="A618" s="227">
        <v>42618</v>
      </c>
      <c r="B618" s="214" t="s">
        <v>342</v>
      </c>
      <c r="C618" s="224">
        <v>300009374212</v>
      </c>
      <c r="D618" s="216" t="s">
        <v>235</v>
      </c>
      <c r="E618" s="216">
        <v>31</v>
      </c>
      <c r="F618" s="216">
        <v>3900</v>
      </c>
      <c r="G618" s="216">
        <v>31</v>
      </c>
      <c r="H618" s="216">
        <v>22</v>
      </c>
      <c r="I618" s="216">
        <v>91513.3</v>
      </c>
      <c r="J618" s="216">
        <v>2.4</v>
      </c>
    </row>
    <row r="619" spans="1:10" ht="18" customHeight="1">
      <c r="A619" s="227">
        <v>42618</v>
      </c>
      <c r="B619" s="214" t="s">
        <v>167</v>
      </c>
      <c r="C619" s="224">
        <v>300009406202</v>
      </c>
      <c r="D619" s="216" t="s">
        <v>232</v>
      </c>
      <c r="E619" s="216">
        <v>21</v>
      </c>
      <c r="F619" s="216">
        <v>3735</v>
      </c>
      <c r="G619" s="216">
        <v>21</v>
      </c>
      <c r="H619" s="216">
        <v>11</v>
      </c>
      <c r="I619" s="216">
        <v>55581.9</v>
      </c>
      <c r="J619" s="216">
        <v>1.98</v>
      </c>
    </row>
    <row r="620" spans="1:10" ht="18" customHeight="1">
      <c r="A620" s="227">
        <v>42618</v>
      </c>
      <c r="B620" s="214" t="s">
        <v>167</v>
      </c>
      <c r="C620" s="224">
        <v>300009185572</v>
      </c>
      <c r="D620" s="216" t="s">
        <v>237</v>
      </c>
      <c r="E620" s="216">
        <v>11</v>
      </c>
      <c r="F620" s="216">
        <v>2856</v>
      </c>
      <c r="G620" s="216">
        <v>11</v>
      </c>
      <c r="H620" s="216">
        <v>7</v>
      </c>
      <c r="I620" s="216">
        <v>41849.4</v>
      </c>
      <c r="J620" s="216">
        <v>1.67</v>
      </c>
    </row>
    <row r="621" spans="1:10" ht="18" customHeight="1">
      <c r="A621" s="227">
        <v>42618</v>
      </c>
      <c r="B621" s="214" t="s">
        <v>167</v>
      </c>
      <c r="C621" s="224">
        <v>300009406201</v>
      </c>
      <c r="D621" s="216" t="s">
        <v>234</v>
      </c>
      <c r="E621" s="216">
        <v>37</v>
      </c>
      <c r="F621" s="216">
        <v>2818</v>
      </c>
      <c r="G621" s="216">
        <v>37</v>
      </c>
      <c r="H621" s="216">
        <v>23</v>
      </c>
      <c r="I621" s="216">
        <v>44352.4</v>
      </c>
      <c r="J621" s="216">
        <v>5.19</v>
      </c>
    </row>
    <row r="622" spans="1:10" ht="18" customHeight="1">
      <c r="A622" s="227">
        <v>42618</v>
      </c>
      <c r="B622" s="214" t="s">
        <v>167</v>
      </c>
      <c r="C622" s="224">
        <v>300009184067</v>
      </c>
      <c r="D622" s="216" t="s">
        <v>233</v>
      </c>
      <c r="E622" s="216">
        <v>2</v>
      </c>
      <c r="F622" s="216">
        <v>1878</v>
      </c>
      <c r="G622" s="216">
        <v>2</v>
      </c>
      <c r="H622" s="216">
        <v>0</v>
      </c>
      <c r="I622" s="216">
        <v>24982.400000000001</v>
      </c>
      <c r="J622" s="216">
        <v>0</v>
      </c>
    </row>
    <row r="623" spans="1:10" ht="18" customHeight="1">
      <c r="A623" s="227">
        <v>42618</v>
      </c>
      <c r="B623" s="214" t="s">
        <v>167</v>
      </c>
      <c r="C623" s="224">
        <v>300009374215</v>
      </c>
      <c r="D623" s="216" t="s">
        <v>236</v>
      </c>
      <c r="E623" s="216">
        <v>2</v>
      </c>
      <c r="F623" s="216">
        <v>146</v>
      </c>
      <c r="G623" s="216">
        <v>2</v>
      </c>
      <c r="H623" s="216">
        <v>1</v>
      </c>
      <c r="I623" s="216">
        <v>2919.6</v>
      </c>
      <c r="J623" s="216">
        <v>1</v>
      </c>
    </row>
    <row r="624" spans="1:10" ht="18" customHeight="1">
      <c r="A624" s="227">
        <v>42619</v>
      </c>
      <c r="B624" s="214" t="s">
        <v>167</v>
      </c>
      <c r="C624" s="224">
        <v>300009374212</v>
      </c>
      <c r="D624" s="216" t="s">
        <v>235</v>
      </c>
      <c r="E624" s="216">
        <v>31</v>
      </c>
      <c r="F624" s="216">
        <v>3900</v>
      </c>
      <c r="G624" s="216">
        <v>31</v>
      </c>
      <c r="H624" s="216">
        <v>22</v>
      </c>
      <c r="I624" s="216">
        <v>91513.3</v>
      </c>
      <c r="J624" s="216">
        <v>2.4</v>
      </c>
    </row>
    <row r="625" spans="1:10" ht="18" customHeight="1">
      <c r="A625" s="227">
        <v>42619</v>
      </c>
      <c r="B625" s="214" t="s">
        <v>167</v>
      </c>
      <c r="C625" s="224">
        <v>300009406202</v>
      </c>
      <c r="D625" s="216" t="s">
        <v>232</v>
      </c>
      <c r="E625" s="216">
        <v>21</v>
      </c>
      <c r="F625" s="216">
        <v>3735</v>
      </c>
      <c r="G625" s="216">
        <v>21</v>
      </c>
      <c r="H625" s="216">
        <v>11</v>
      </c>
      <c r="I625" s="216">
        <v>55581.9</v>
      </c>
      <c r="J625" s="216">
        <v>1.98</v>
      </c>
    </row>
    <row r="626" spans="1:10" ht="18" customHeight="1">
      <c r="A626" s="227">
        <v>42619</v>
      </c>
      <c r="B626" s="214" t="s">
        <v>167</v>
      </c>
      <c r="C626" s="224">
        <v>300009185572</v>
      </c>
      <c r="D626" s="216" t="s">
        <v>237</v>
      </c>
      <c r="E626" s="216">
        <v>11</v>
      </c>
      <c r="F626" s="216">
        <v>2856</v>
      </c>
      <c r="G626" s="216">
        <v>11</v>
      </c>
      <c r="H626" s="216">
        <v>7</v>
      </c>
      <c r="I626" s="216">
        <v>41849.4</v>
      </c>
      <c r="J626" s="216">
        <v>1.67</v>
      </c>
    </row>
    <row r="627" spans="1:10" ht="18" customHeight="1">
      <c r="A627" s="227">
        <v>42619</v>
      </c>
      <c r="B627" s="214" t="s">
        <v>167</v>
      </c>
      <c r="C627" s="224">
        <v>300009406201</v>
      </c>
      <c r="D627" s="216" t="s">
        <v>234</v>
      </c>
      <c r="E627" s="216">
        <v>37</v>
      </c>
      <c r="F627" s="216">
        <v>2818</v>
      </c>
      <c r="G627" s="216">
        <v>37</v>
      </c>
      <c r="H627" s="216">
        <v>23</v>
      </c>
      <c r="I627" s="216">
        <v>44352.4</v>
      </c>
      <c r="J627" s="216">
        <v>5.19</v>
      </c>
    </row>
    <row r="628" spans="1:10" ht="18" customHeight="1">
      <c r="A628" s="227">
        <v>42619</v>
      </c>
      <c r="B628" s="214" t="s">
        <v>167</v>
      </c>
      <c r="C628" s="224">
        <v>300009184067</v>
      </c>
      <c r="D628" s="216" t="s">
        <v>233</v>
      </c>
      <c r="E628" s="216">
        <v>2</v>
      </c>
      <c r="F628" s="216">
        <v>1878</v>
      </c>
      <c r="G628" s="216">
        <v>2</v>
      </c>
      <c r="H628" s="216">
        <v>0</v>
      </c>
      <c r="I628" s="216">
        <v>24982.400000000001</v>
      </c>
      <c r="J628" s="216">
        <v>0</v>
      </c>
    </row>
    <row r="629" spans="1:10" ht="18" customHeight="1">
      <c r="A629" s="227">
        <v>42619</v>
      </c>
      <c r="B629" s="214" t="s">
        <v>167</v>
      </c>
      <c r="C629" s="224">
        <v>300009374215</v>
      </c>
      <c r="D629" s="216" t="s">
        <v>236</v>
      </c>
      <c r="E629" s="216">
        <v>2</v>
      </c>
      <c r="F629" s="216">
        <v>146</v>
      </c>
      <c r="G629" s="216">
        <v>2</v>
      </c>
      <c r="H629" s="216">
        <v>1</v>
      </c>
      <c r="I629" s="216">
        <v>2919.6</v>
      </c>
      <c r="J629" s="216">
        <v>1</v>
      </c>
    </row>
    <row r="630" spans="1:10" ht="18" customHeight="1">
      <c r="A630" s="227">
        <v>42620</v>
      </c>
      <c r="B630" s="214" t="s">
        <v>167</v>
      </c>
      <c r="C630" s="224">
        <v>300009406202</v>
      </c>
      <c r="D630" s="216" t="s">
        <v>232</v>
      </c>
      <c r="E630" s="216">
        <v>23</v>
      </c>
      <c r="F630" s="216">
        <v>4083</v>
      </c>
      <c r="G630" s="216">
        <v>23</v>
      </c>
      <c r="H630" s="216">
        <v>11</v>
      </c>
      <c r="I630" s="216">
        <v>60399.1</v>
      </c>
      <c r="J630" s="216">
        <v>1.82</v>
      </c>
    </row>
    <row r="631" spans="1:10" ht="18" customHeight="1">
      <c r="A631" s="227">
        <v>42620</v>
      </c>
      <c r="B631" s="214" t="s">
        <v>167</v>
      </c>
      <c r="C631" s="224">
        <v>300009374212</v>
      </c>
      <c r="D631" s="216" t="s">
        <v>235</v>
      </c>
      <c r="E631" s="216">
        <v>32</v>
      </c>
      <c r="F631" s="216">
        <v>3819</v>
      </c>
      <c r="G631" s="216">
        <v>32</v>
      </c>
      <c r="H631" s="216">
        <v>23</v>
      </c>
      <c r="I631" s="216">
        <v>89555.199999999997</v>
      </c>
      <c r="J631" s="216">
        <v>2.57</v>
      </c>
    </row>
    <row r="632" spans="1:10" ht="18" customHeight="1">
      <c r="A632" s="227">
        <v>42620</v>
      </c>
      <c r="B632" s="214" t="s">
        <v>167</v>
      </c>
      <c r="C632" s="224">
        <v>300009185572</v>
      </c>
      <c r="D632" s="216" t="s">
        <v>237</v>
      </c>
      <c r="E632" s="216">
        <v>15</v>
      </c>
      <c r="F632" s="216">
        <v>3212</v>
      </c>
      <c r="G632" s="216">
        <v>15</v>
      </c>
      <c r="H632" s="216">
        <v>8</v>
      </c>
      <c r="I632" s="216">
        <v>46794.3</v>
      </c>
      <c r="J632" s="216">
        <v>1.71</v>
      </c>
    </row>
    <row r="633" spans="1:10" ht="18" customHeight="1">
      <c r="A633" s="227">
        <v>42620</v>
      </c>
      <c r="B633" s="214" t="s">
        <v>167</v>
      </c>
      <c r="C633" s="224">
        <v>300009184067</v>
      </c>
      <c r="D633" s="216" t="s">
        <v>233</v>
      </c>
      <c r="E633" s="216">
        <v>7</v>
      </c>
      <c r="F633" s="216">
        <v>2256</v>
      </c>
      <c r="G633" s="216">
        <v>7</v>
      </c>
      <c r="H633" s="216">
        <v>2</v>
      </c>
      <c r="I633" s="216">
        <v>29857.200000000001</v>
      </c>
      <c r="J633" s="216">
        <v>0.67</v>
      </c>
    </row>
    <row r="634" spans="1:10" ht="18" customHeight="1">
      <c r="A634" s="227">
        <v>42620</v>
      </c>
      <c r="B634" s="214" t="s">
        <v>167</v>
      </c>
      <c r="C634" s="224">
        <v>300009374215</v>
      </c>
      <c r="D634" s="216" t="s">
        <v>236</v>
      </c>
      <c r="E634" s="216">
        <v>2</v>
      </c>
      <c r="F634" s="216">
        <v>244</v>
      </c>
      <c r="G634" s="216">
        <v>2</v>
      </c>
      <c r="H634" s="216">
        <v>1</v>
      </c>
      <c r="I634" s="216">
        <v>5205.8</v>
      </c>
      <c r="J634" s="216">
        <v>1</v>
      </c>
    </row>
    <row r="635" spans="1:10" ht="18" customHeight="1">
      <c r="A635" s="227">
        <v>42620</v>
      </c>
      <c r="B635" s="214" t="s">
        <v>167</v>
      </c>
      <c r="C635" s="224">
        <v>300009406201</v>
      </c>
      <c r="D635" s="216" t="s">
        <v>234</v>
      </c>
      <c r="E635" s="216">
        <v>1</v>
      </c>
      <c r="F635" s="216" t="s">
        <v>242</v>
      </c>
      <c r="G635" s="216">
        <v>1</v>
      </c>
      <c r="H635" s="216">
        <v>0</v>
      </c>
      <c r="I635" s="216">
        <v>0</v>
      </c>
      <c r="J635" s="216">
        <v>0</v>
      </c>
    </row>
    <row r="636" spans="1:10" ht="18" customHeight="1">
      <c r="A636" s="227">
        <v>42618</v>
      </c>
      <c r="B636" s="214" t="s">
        <v>343</v>
      </c>
      <c r="C636" s="224">
        <v>300009358277</v>
      </c>
      <c r="D636" s="216" t="s">
        <v>266</v>
      </c>
      <c r="E636" s="216">
        <v>167</v>
      </c>
      <c r="F636" s="216">
        <v>17784</v>
      </c>
      <c r="G636" s="216">
        <v>93.9</v>
      </c>
      <c r="H636" s="216">
        <v>103</v>
      </c>
      <c r="I636" s="216">
        <v>376867.1</v>
      </c>
      <c r="J636" s="216">
        <v>2.73</v>
      </c>
    </row>
    <row r="637" spans="1:10" ht="18" customHeight="1">
      <c r="A637" s="227">
        <v>42619</v>
      </c>
      <c r="B637" s="214" t="s">
        <v>343</v>
      </c>
      <c r="C637" s="224">
        <v>300009358277</v>
      </c>
      <c r="D637" s="216" t="s">
        <v>266</v>
      </c>
      <c r="E637" s="216">
        <v>162</v>
      </c>
      <c r="F637" s="216">
        <v>17621</v>
      </c>
      <c r="G637" s="216">
        <v>91.94</v>
      </c>
      <c r="H637" s="216">
        <v>97</v>
      </c>
      <c r="I637" s="216">
        <v>368633.7</v>
      </c>
      <c r="J637" s="216">
        <v>2.63</v>
      </c>
    </row>
    <row r="638" spans="1:10" ht="18" customHeight="1">
      <c r="A638" s="227">
        <v>42620</v>
      </c>
      <c r="B638" s="214" t="s">
        <v>343</v>
      </c>
      <c r="C638" s="224">
        <v>300009358277</v>
      </c>
      <c r="D638" s="216" t="s">
        <v>266</v>
      </c>
      <c r="E638" s="216">
        <v>163</v>
      </c>
      <c r="F638" s="216">
        <v>17850</v>
      </c>
      <c r="G638" s="216">
        <v>91.32</v>
      </c>
      <c r="H638" s="216">
        <v>95</v>
      </c>
      <c r="I638" s="216">
        <v>370551.2</v>
      </c>
      <c r="J638" s="216">
        <v>2.56</v>
      </c>
    </row>
    <row r="639" spans="1:10" ht="18" customHeight="1">
      <c r="A639" s="227">
        <v>42618</v>
      </c>
      <c r="B639" s="214" t="s">
        <v>344</v>
      </c>
      <c r="C639" s="224">
        <v>300009192151</v>
      </c>
      <c r="D639" s="216" t="s">
        <v>230</v>
      </c>
      <c r="E639" s="216">
        <v>14</v>
      </c>
      <c r="F639" s="216">
        <v>2992</v>
      </c>
      <c r="G639" s="216">
        <v>14</v>
      </c>
      <c r="H639" s="216">
        <v>5</v>
      </c>
      <c r="I639" s="216">
        <v>40620.6</v>
      </c>
      <c r="J639" s="216">
        <v>1.23</v>
      </c>
    </row>
    <row r="640" spans="1:10" ht="18" customHeight="1">
      <c r="A640" s="227">
        <v>42619</v>
      </c>
      <c r="B640" s="214" t="s">
        <v>344</v>
      </c>
      <c r="C640" s="224">
        <v>300009192151</v>
      </c>
      <c r="D640" s="216" t="s">
        <v>230</v>
      </c>
      <c r="E640" s="216">
        <v>18</v>
      </c>
      <c r="F640" s="216">
        <v>3315</v>
      </c>
      <c r="G640" s="216">
        <v>18</v>
      </c>
      <c r="H640" s="216">
        <v>7</v>
      </c>
      <c r="I640" s="216">
        <v>44940</v>
      </c>
      <c r="J640" s="216">
        <v>1.56</v>
      </c>
    </row>
    <row r="641" spans="1:10" ht="18" customHeight="1">
      <c r="A641" s="227">
        <v>42620</v>
      </c>
      <c r="B641" s="214" t="s">
        <v>344</v>
      </c>
      <c r="C641" s="224">
        <v>300009192151</v>
      </c>
      <c r="D641" s="216" t="s">
        <v>230</v>
      </c>
      <c r="E641" s="216">
        <v>22</v>
      </c>
      <c r="F641" s="216">
        <v>3633</v>
      </c>
      <c r="G641" s="216">
        <v>22</v>
      </c>
      <c r="H641" s="216">
        <v>7</v>
      </c>
      <c r="I641" s="216">
        <v>49430.9</v>
      </c>
      <c r="J641" s="216">
        <v>1.42</v>
      </c>
    </row>
    <row r="642" spans="1:10" ht="18" customHeight="1">
      <c r="A642" s="227">
        <v>42619</v>
      </c>
      <c r="B642" s="214" t="s">
        <v>345</v>
      </c>
      <c r="C642" s="224">
        <v>300008823388</v>
      </c>
      <c r="D642" s="216" t="s">
        <v>231</v>
      </c>
      <c r="E642" s="216">
        <v>1</v>
      </c>
      <c r="F642" s="216">
        <v>226</v>
      </c>
      <c r="G642" s="216">
        <v>1</v>
      </c>
      <c r="H642" s="216">
        <v>0</v>
      </c>
      <c r="I642" s="216">
        <v>3985.27</v>
      </c>
      <c r="J642" s="216">
        <v>0</v>
      </c>
    </row>
    <row r="643" spans="1:10" ht="18" customHeight="1">
      <c r="A643" s="227">
        <v>42620</v>
      </c>
      <c r="B643" s="214" t="s">
        <v>345</v>
      </c>
      <c r="C643" s="224">
        <v>300008823388</v>
      </c>
      <c r="D643" s="216" t="s">
        <v>231</v>
      </c>
      <c r="E643" s="216">
        <v>1</v>
      </c>
      <c r="F643" s="216">
        <v>226</v>
      </c>
      <c r="G643" s="216">
        <v>1</v>
      </c>
      <c r="H643" s="216">
        <v>0</v>
      </c>
      <c r="I643" s="216">
        <v>3985.27</v>
      </c>
      <c r="J643" s="216">
        <v>0</v>
      </c>
    </row>
    <row r="644" spans="1:10" ht="18" customHeight="1">
      <c r="A644" s="227">
        <v>42619</v>
      </c>
      <c r="B644" s="214" t="s">
        <v>346</v>
      </c>
      <c r="C644" s="224">
        <v>300009480238</v>
      </c>
      <c r="D644" s="216" t="s">
        <v>263</v>
      </c>
      <c r="E644" s="216">
        <v>34</v>
      </c>
      <c r="F644" s="216">
        <v>5396</v>
      </c>
      <c r="G644" s="216">
        <v>34</v>
      </c>
      <c r="H644" s="216">
        <v>23</v>
      </c>
      <c r="I644" s="216">
        <v>90973.6</v>
      </c>
      <c r="J644" s="216">
        <v>2.5299999999999998</v>
      </c>
    </row>
    <row r="645" spans="1:10" ht="18" customHeight="1">
      <c r="A645" s="227">
        <v>42620</v>
      </c>
      <c r="B645" s="214" t="s">
        <v>346</v>
      </c>
      <c r="C645" s="224">
        <v>300009480238</v>
      </c>
      <c r="D645" s="216" t="s">
        <v>263</v>
      </c>
      <c r="E645" s="216">
        <v>32</v>
      </c>
      <c r="F645" s="216">
        <v>5238</v>
      </c>
      <c r="G645" s="216">
        <v>32</v>
      </c>
      <c r="H645" s="216">
        <v>21</v>
      </c>
      <c r="I645" s="216">
        <v>87372</v>
      </c>
      <c r="J645" s="216">
        <v>2.4</v>
      </c>
    </row>
    <row r="646" spans="1:10" ht="18" customHeight="1">
      <c r="A646" s="227">
        <v>42621</v>
      </c>
      <c r="B646" s="214" t="s">
        <v>372</v>
      </c>
      <c r="C646" s="224">
        <v>300008839381</v>
      </c>
      <c r="D646" s="216" t="s">
        <v>190</v>
      </c>
      <c r="E646" s="216">
        <v>26</v>
      </c>
      <c r="F646" s="216">
        <v>4935</v>
      </c>
      <c r="G646" s="216">
        <v>26</v>
      </c>
      <c r="H646" s="216">
        <v>10</v>
      </c>
      <c r="I646" s="216">
        <v>70203.7</v>
      </c>
      <c r="J646" s="216">
        <v>1.42</v>
      </c>
    </row>
    <row r="647" spans="1:10" ht="18" customHeight="1">
      <c r="A647" s="227">
        <v>42621</v>
      </c>
      <c r="B647" s="214" t="s">
        <v>372</v>
      </c>
      <c r="C647" s="224">
        <v>300009235971</v>
      </c>
      <c r="D647" s="216" t="s">
        <v>241</v>
      </c>
      <c r="E647" s="216">
        <v>41</v>
      </c>
      <c r="F647" s="216">
        <v>4690</v>
      </c>
      <c r="G647" s="216">
        <v>41</v>
      </c>
      <c r="H647" s="216">
        <v>20</v>
      </c>
      <c r="I647" s="216">
        <v>71386.2</v>
      </c>
      <c r="J647" s="216">
        <v>2.8</v>
      </c>
    </row>
    <row r="648" spans="1:10" ht="18" customHeight="1">
      <c r="A648" s="227">
        <v>42621</v>
      </c>
      <c r="B648" s="214" t="s">
        <v>372</v>
      </c>
      <c r="C648" s="224">
        <v>300008244937</v>
      </c>
      <c r="D648" s="216" t="s">
        <v>272</v>
      </c>
      <c r="E648" s="216">
        <v>34</v>
      </c>
      <c r="F648" s="216">
        <v>4347</v>
      </c>
      <c r="G648" s="216">
        <v>34</v>
      </c>
      <c r="H648" s="216">
        <v>24</v>
      </c>
      <c r="I648" s="216">
        <v>68825.88</v>
      </c>
      <c r="J648" s="216">
        <v>3.49</v>
      </c>
    </row>
    <row r="649" spans="1:10" ht="18" customHeight="1">
      <c r="A649" s="227">
        <v>42621</v>
      </c>
      <c r="B649" s="214" t="s">
        <v>372</v>
      </c>
      <c r="C649" s="224">
        <v>300008579657</v>
      </c>
      <c r="D649" s="216" t="s">
        <v>188</v>
      </c>
      <c r="E649" s="216">
        <v>31</v>
      </c>
      <c r="F649" s="216">
        <v>3648</v>
      </c>
      <c r="G649" s="216">
        <v>31</v>
      </c>
      <c r="H649" s="216">
        <v>10</v>
      </c>
      <c r="I649" s="216">
        <v>52518.58</v>
      </c>
      <c r="J649" s="216">
        <v>1.9</v>
      </c>
    </row>
    <row r="650" spans="1:10" ht="18" customHeight="1">
      <c r="A650" s="227">
        <v>42621</v>
      </c>
      <c r="B650" s="214" t="s">
        <v>372</v>
      </c>
      <c r="C650" s="224">
        <v>300009003496</v>
      </c>
      <c r="D650" s="216" t="s">
        <v>240</v>
      </c>
      <c r="E650" s="216">
        <v>25</v>
      </c>
      <c r="F650" s="216">
        <v>2984</v>
      </c>
      <c r="G650" s="216">
        <v>25</v>
      </c>
      <c r="H650" s="216">
        <v>11</v>
      </c>
      <c r="I650" s="216">
        <v>43145.07</v>
      </c>
      <c r="J650" s="216">
        <v>2.5499999999999998</v>
      </c>
    </row>
    <row r="651" spans="1:10" ht="18" customHeight="1">
      <c r="A651" s="227">
        <v>42621</v>
      </c>
      <c r="B651" s="214" t="s">
        <v>372</v>
      </c>
      <c r="C651" s="224">
        <v>300009235974</v>
      </c>
      <c r="D651" s="216" t="s">
        <v>187</v>
      </c>
      <c r="E651" s="216">
        <v>11</v>
      </c>
      <c r="F651" s="216">
        <v>791</v>
      </c>
      <c r="G651" s="216">
        <v>11</v>
      </c>
      <c r="H651" s="216">
        <v>6</v>
      </c>
      <c r="I651" s="216">
        <v>16999.599999999999</v>
      </c>
      <c r="J651" s="216">
        <v>3.53</v>
      </c>
    </row>
    <row r="652" spans="1:10" ht="18" customHeight="1">
      <c r="A652" s="227">
        <v>42621</v>
      </c>
      <c r="B652" s="214" t="s">
        <v>372</v>
      </c>
      <c r="C652" s="224">
        <v>300008875665</v>
      </c>
      <c r="D652" s="216" t="s">
        <v>189</v>
      </c>
      <c r="E652" s="216">
        <v>7</v>
      </c>
      <c r="F652" s="216">
        <v>721</v>
      </c>
      <c r="G652" s="216">
        <v>7</v>
      </c>
      <c r="H652" s="216">
        <v>3</v>
      </c>
      <c r="I652" s="216">
        <v>15920.01</v>
      </c>
      <c r="J652" s="216">
        <v>1.88</v>
      </c>
    </row>
    <row r="653" spans="1:10" ht="18" customHeight="1">
      <c r="A653" s="227">
        <v>42621</v>
      </c>
      <c r="B653" s="214" t="s">
        <v>372</v>
      </c>
      <c r="C653" s="224">
        <v>300009000071</v>
      </c>
      <c r="D653" s="216" t="s">
        <v>192</v>
      </c>
      <c r="E653" s="216">
        <v>8</v>
      </c>
      <c r="F653" s="216">
        <v>329</v>
      </c>
      <c r="G653" s="216">
        <v>8</v>
      </c>
      <c r="H653" s="216">
        <v>3</v>
      </c>
      <c r="I653" s="216">
        <v>3902.74</v>
      </c>
      <c r="J653" s="216">
        <v>3</v>
      </c>
    </row>
    <row r="654" spans="1:10" ht="18" customHeight="1">
      <c r="A654" s="227">
        <v>42621</v>
      </c>
      <c r="B654" s="214" t="s">
        <v>373</v>
      </c>
      <c r="C654" s="224">
        <v>300009358277</v>
      </c>
      <c r="D654" s="216" t="s">
        <v>266</v>
      </c>
      <c r="E654" s="216">
        <v>163</v>
      </c>
      <c r="F654" s="216">
        <v>17988</v>
      </c>
      <c r="G654" s="216">
        <v>90.62</v>
      </c>
      <c r="H654" s="216">
        <v>96</v>
      </c>
      <c r="I654" s="216">
        <v>370969.59999999998</v>
      </c>
      <c r="J654" s="216">
        <v>2.59</v>
      </c>
    </row>
    <row r="655" spans="1:10" ht="18" customHeight="1">
      <c r="A655" s="227">
        <v>42621</v>
      </c>
      <c r="B655" s="214" t="s">
        <v>374</v>
      </c>
      <c r="C655" s="224">
        <v>300009192151</v>
      </c>
      <c r="D655" s="216" t="s">
        <v>230</v>
      </c>
      <c r="E655" s="216">
        <v>25</v>
      </c>
      <c r="F655" s="216">
        <v>3943</v>
      </c>
      <c r="G655" s="216">
        <v>25</v>
      </c>
      <c r="H655" s="216">
        <v>9</v>
      </c>
      <c r="I655" s="216">
        <v>53539.8</v>
      </c>
      <c r="J655" s="216">
        <v>1.68</v>
      </c>
    </row>
    <row r="656" spans="1:10" ht="18" customHeight="1">
      <c r="A656" s="227">
        <v>42621</v>
      </c>
      <c r="B656" s="214" t="s">
        <v>375</v>
      </c>
      <c r="C656" s="224">
        <v>300008823388</v>
      </c>
      <c r="D656" s="216" t="s">
        <v>231</v>
      </c>
      <c r="E656" s="216">
        <v>2</v>
      </c>
      <c r="F656" s="216">
        <v>226</v>
      </c>
      <c r="G656" s="216">
        <v>2</v>
      </c>
      <c r="H656" s="216">
        <v>1</v>
      </c>
      <c r="I656" s="216">
        <v>3985.27</v>
      </c>
      <c r="J656" s="216">
        <v>1</v>
      </c>
    </row>
    <row r="657" spans="1:10" ht="18" customHeight="1">
      <c r="A657" s="227">
        <v>42621</v>
      </c>
      <c r="B657" s="214" t="s">
        <v>376</v>
      </c>
      <c r="C657" s="224">
        <v>300009480238</v>
      </c>
      <c r="D657" s="216" t="s">
        <v>263</v>
      </c>
      <c r="E657" s="216">
        <v>32</v>
      </c>
      <c r="F657" s="216">
        <v>5079</v>
      </c>
      <c r="G657" s="216">
        <v>32</v>
      </c>
      <c r="H657" s="216">
        <v>21</v>
      </c>
      <c r="I657" s="216">
        <v>83325.899999999994</v>
      </c>
      <c r="J657" s="216">
        <v>2.52</v>
      </c>
    </row>
    <row r="658" spans="1:10" ht="18" customHeight="1">
      <c r="A658" s="227">
        <v>42621</v>
      </c>
      <c r="B658" s="214" t="s">
        <v>377</v>
      </c>
      <c r="C658" s="224">
        <v>300009406202</v>
      </c>
      <c r="D658" s="216" t="s">
        <v>232</v>
      </c>
      <c r="E658" s="216">
        <v>29</v>
      </c>
      <c r="F658" s="216">
        <v>4394</v>
      </c>
      <c r="G658" s="216">
        <v>29</v>
      </c>
      <c r="H658" s="216">
        <v>12</v>
      </c>
      <c r="I658" s="216">
        <v>64495.199999999997</v>
      </c>
      <c r="J658" s="216">
        <v>1.86</v>
      </c>
    </row>
    <row r="659" spans="1:10" ht="18" customHeight="1">
      <c r="A659" s="227">
        <v>42621</v>
      </c>
      <c r="B659" s="214" t="s">
        <v>377</v>
      </c>
      <c r="C659" s="224">
        <v>300009374212</v>
      </c>
      <c r="D659" s="216" t="s">
        <v>235</v>
      </c>
      <c r="E659" s="216">
        <v>32</v>
      </c>
      <c r="F659" s="216">
        <v>3661</v>
      </c>
      <c r="G659" s="216">
        <v>32</v>
      </c>
      <c r="H659" s="216">
        <v>23</v>
      </c>
      <c r="I659" s="216">
        <v>85315.8</v>
      </c>
      <c r="J659" s="216">
        <v>2.7</v>
      </c>
    </row>
    <row r="660" spans="1:10" ht="18" customHeight="1">
      <c r="A660" s="227">
        <v>42621</v>
      </c>
      <c r="B660" s="214" t="s">
        <v>377</v>
      </c>
      <c r="C660" s="224">
        <v>300009185572</v>
      </c>
      <c r="D660" s="216" t="s">
        <v>237</v>
      </c>
      <c r="E660" s="216">
        <v>17</v>
      </c>
      <c r="F660" s="216">
        <v>3521</v>
      </c>
      <c r="G660" s="216">
        <v>17</v>
      </c>
      <c r="H660" s="216">
        <v>9</v>
      </c>
      <c r="I660" s="216">
        <v>50693.5</v>
      </c>
      <c r="J660" s="216">
        <v>1.78</v>
      </c>
    </row>
    <row r="661" spans="1:10" ht="18" customHeight="1">
      <c r="A661" s="227">
        <v>42621</v>
      </c>
      <c r="B661" s="214" t="s">
        <v>377</v>
      </c>
      <c r="C661" s="224">
        <v>300009184067</v>
      </c>
      <c r="D661" s="216" t="s">
        <v>233</v>
      </c>
      <c r="E661" s="216">
        <v>9</v>
      </c>
      <c r="F661" s="216">
        <v>2541</v>
      </c>
      <c r="G661" s="216">
        <v>9</v>
      </c>
      <c r="H661" s="216">
        <v>3</v>
      </c>
      <c r="I661" s="216">
        <v>33555.300000000003</v>
      </c>
      <c r="J661" s="216">
        <v>0.89</v>
      </c>
    </row>
    <row r="662" spans="1:10" ht="18" customHeight="1">
      <c r="A662" s="227">
        <v>42621</v>
      </c>
      <c r="B662" s="214" t="s">
        <v>377</v>
      </c>
      <c r="C662" s="224">
        <v>300009374215</v>
      </c>
      <c r="D662" s="216" t="s">
        <v>236</v>
      </c>
      <c r="E662" s="216">
        <v>2</v>
      </c>
      <c r="F662" s="216">
        <v>344</v>
      </c>
      <c r="G662" s="216">
        <v>2</v>
      </c>
      <c r="H662" s="216">
        <v>1</v>
      </c>
      <c r="I662" s="216">
        <v>7550.3</v>
      </c>
      <c r="J662" s="216">
        <v>1</v>
      </c>
    </row>
    <row r="663" spans="1:10" ht="18" customHeight="1">
      <c r="A663" s="227">
        <v>42621</v>
      </c>
      <c r="B663" s="214" t="s">
        <v>377</v>
      </c>
      <c r="C663" s="224">
        <v>300009406201</v>
      </c>
      <c r="D663" s="216" t="s">
        <v>234</v>
      </c>
      <c r="E663" s="216">
        <v>2</v>
      </c>
      <c r="F663" s="216">
        <v>293</v>
      </c>
      <c r="G663" s="216">
        <v>2</v>
      </c>
      <c r="H663" s="216">
        <v>2</v>
      </c>
      <c r="I663" s="216">
        <v>3743</v>
      </c>
      <c r="J663" s="216">
        <v>2</v>
      </c>
    </row>
    <row r="664" spans="1:10" ht="18" customHeight="1">
      <c r="A664" s="227">
        <v>42621</v>
      </c>
      <c r="B664" s="214" t="s">
        <v>169</v>
      </c>
      <c r="C664" s="224">
        <v>300009290321</v>
      </c>
      <c r="D664" s="216" t="s">
        <v>194</v>
      </c>
      <c r="E664" s="216">
        <v>24</v>
      </c>
      <c r="F664" s="216">
        <v>3294</v>
      </c>
      <c r="G664" s="216">
        <v>24</v>
      </c>
      <c r="H664" s="216">
        <v>13</v>
      </c>
      <c r="I664" s="216">
        <v>65768.7</v>
      </c>
      <c r="J664" s="216">
        <v>1.98</v>
      </c>
    </row>
    <row r="665" spans="1:10" ht="18" customHeight="1">
      <c r="A665" s="227">
        <v>42622</v>
      </c>
      <c r="B665" s="214" t="s">
        <v>378</v>
      </c>
      <c r="C665" s="224">
        <v>300009358277</v>
      </c>
      <c r="D665" s="216" t="s">
        <v>266</v>
      </c>
      <c r="E665" s="216">
        <v>167</v>
      </c>
      <c r="F665" s="216">
        <v>18191</v>
      </c>
      <c r="G665" s="216">
        <v>91.8</v>
      </c>
      <c r="H665" s="216">
        <v>100</v>
      </c>
      <c r="I665" s="216">
        <v>370776.7</v>
      </c>
      <c r="J665" s="216">
        <v>2.7</v>
      </c>
    </row>
    <row r="666" spans="1:10" ht="18" customHeight="1">
      <c r="A666" s="227">
        <v>42622</v>
      </c>
      <c r="B666" s="214" t="s">
        <v>379</v>
      </c>
      <c r="C666" s="224">
        <v>300009480238</v>
      </c>
      <c r="D666" s="216" t="s">
        <v>263</v>
      </c>
      <c r="E666" s="216">
        <v>32</v>
      </c>
      <c r="F666" s="216">
        <v>4890</v>
      </c>
      <c r="G666" s="216">
        <v>32</v>
      </c>
      <c r="H666" s="216">
        <v>21</v>
      </c>
      <c r="I666" s="216">
        <v>79108.5</v>
      </c>
      <c r="J666" s="216">
        <v>2.65</v>
      </c>
    </row>
    <row r="667" spans="1:10" ht="18" customHeight="1">
      <c r="A667" s="227">
        <v>42622</v>
      </c>
      <c r="B667" s="214" t="s">
        <v>380</v>
      </c>
      <c r="C667" s="224">
        <v>300008839381</v>
      </c>
      <c r="D667" s="216" t="s">
        <v>190</v>
      </c>
      <c r="E667" s="216">
        <v>28</v>
      </c>
      <c r="F667" s="216">
        <v>5540</v>
      </c>
      <c r="G667" s="216">
        <v>28</v>
      </c>
      <c r="H667" s="216">
        <v>11</v>
      </c>
      <c r="I667" s="216">
        <v>78902.8</v>
      </c>
      <c r="J667" s="216">
        <v>1.39</v>
      </c>
    </row>
    <row r="668" spans="1:10" ht="18" customHeight="1">
      <c r="A668" s="227">
        <v>42622</v>
      </c>
      <c r="B668" s="214" t="s">
        <v>380</v>
      </c>
      <c r="C668" s="224">
        <v>300008244937</v>
      </c>
      <c r="D668" s="216" t="s">
        <v>272</v>
      </c>
      <c r="E668" s="216">
        <v>36</v>
      </c>
      <c r="F668" s="216">
        <v>4347</v>
      </c>
      <c r="G668" s="216">
        <v>36</v>
      </c>
      <c r="H668" s="216">
        <v>24</v>
      </c>
      <c r="I668" s="216">
        <v>68825.88</v>
      </c>
      <c r="J668" s="216">
        <v>3.49</v>
      </c>
    </row>
    <row r="669" spans="1:10" ht="18" customHeight="1">
      <c r="A669" s="227">
        <v>42622</v>
      </c>
      <c r="B669" s="214" t="s">
        <v>380</v>
      </c>
      <c r="C669" s="224">
        <v>300008579657</v>
      </c>
      <c r="D669" s="216" t="s">
        <v>188</v>
      </c>
      <c r="E669" s="216">
        <v>35</v>
      </c>
      <c r="F669" s="216">
        <v>3832</v>
      </c>
      <c r="G669" s="216">
        <v>35</v>
      </c>
      <c r="H669" s="216">
        <v>11</v>
      </c>
      <c r="I669" s="216">
        <v>55559.03</v>
      </c>
      <c r="J669" s="216">
        <v>1.98</v>
      </c>
    </row>
    <row r="670" spans="1:10" ht="18" customHeight="1">
      <c r="A670" s="227">
        <v>42622</v>
      </c>
      <c r="B670" s="214" t="s">
        <v>380</v>
      </c>
      <c r="C670" s="224">
        <v>300009003496</v>
      </c>
      <c r="D670" s="216" t="s">
        <v>240</v>
      </c>
      <c r="E670" s="216">
        <v>30</v>
      </c>
      <c r="F670" s="216">
        <v>3390</v>
      </c>
      <c r="G670" s="216">
        <v>30</v>
      </c>
      <c r="H670" s="216">
        <v>14</v>
      </c>
      <c r="I670" s="216">
        <v>50082.53</v>
      </c>
      <c r="J670" s="216">
        <v>2.8</v>
      </c>
    </row>
    <row r="671" spans="1:10" ht="18" customHeight="1">
      <c r="A671" s="227">
        <v>42622</v>
      </c>
      <c r="B671" s="214" t="s">
        <v>380</v>
      </c>
      <c r="C671" s="224">
        <v>300009235974</v>
      </c>
      <c r="D671" s="216" t="s">
        <v>187</v>
      </c>
      <c r="E671" s="216">
        <v>12</v>
      </c>
      <c r="F671" s="216">
        <v>844</v>
      </c>
      <c r="G671" s="216">
        <v>12</v>
      </c>
      <c r="H671" s="216">
        <v>6</v>
      </c>
      <c r="I671" s="216">
        <v>18310.099999999999</v>
      </c>
      <c r="J671" s="216">
        <v>3.28</v>
      </c>
    </row>
    <row r="672" spans="1:10" ht="18" customHeight="1">
      <c r="A672" s="227">
        <v>42622</v>
      </c>
      <c r="B672" s="214" t="s">
        <v>380</v>
      </c>
      <c r="C672" s="224">
        <v>300008875665</v>
      </c>
      <c r="D672" s="216" t="s">
        <v>189</v>
      </c>
      <c r="E672" s="216">
        <v>7</v>
      </c>
      <c r="F672" s="216">
        <v>782</v>
      </c>
      <c r="G672" s="216">
        <v>7</v>
      </c>
      <c r="H672" s="216">
        <v>3</v>
      </c>
      <c r="I672" s="216">
        <v>17254.52</v>
      </c>
      <c r="J672" s="216">
        <v>1.74</v>
      </c>
    </row>
    <row r="673" spans="1:10" ht="18" customHeight="1">
      <c r="A673" s="227">
        <v>42622</v>
      </c>
      <c r="B673" s="214" t="s">
        <v>380</v>
      </c>
      <c r="C673" s="224">
        <v>300009000071</v>
      </c>
      <c r="D673" s="216" t="s">
        <v>192</v>
      </c>
      <c r="E673" s="216">
        <v>8</v>
      </c>
      <c r="F673" s="216">
        <v>329</v>
      </c>
      <c r="G673" s="216">
        <v>8</v>
      </c>
      <c r="H673" s="216">
        <v>3</v>
      </c>
      <c r="I673" s="216">
        <v>3902.74</v>
      </c>
      <c r="J673" s="216">
        <v>3</v>
      </c>
    </row>
    <row r="674" spans="1:10" ht="18" customHeight="1">
      <c r="A674" s="227">
        <v>42622</v>
      </c>
      <c r="B674" s="214" t="s">
        <v>381</v>
      </c>
      <c r="C674" s="224">
        <v>300009192151</v>
      </c>
      <c r="D674" s="216" t="s">
        <v>230</v>
      </c>
      <c r="E674" s="216">
        <v>25</v>
      </c>
      <c r="F674" s="216">
        <v>4333</v>
      </c>
      <c r="G674" s="216">
        <v>25</v>
      </c>
      <c r="H674" s="216">
        <v>9</v>
      </c>
      <c r="I674" s="216">
        <v>58556.800000000003</v>
      </c>
      <c r="J674" s="216">
        <v>1.54</v>
      </c>
    </row>
    <row r="675" spans="1:10" ht="18" customHeight="1">
      <c r="A675" s="227">
        <v>42622</v>
      </c>
      <c r="B675" s="214" t="s">
        <v>382</v>
      </c>
      <c r="C675" s="224">
        <v>300009406202</v>
      </c>
      <c r="D675" s="216" t="s">
        <v>232</v>
      </c>
      <c r="E675" s="216">
        <v>31</v>
      </c>
      <c r="F675" s="216">
        <v>4896</v>
      </c>
      <c r="G675" s="216">
        <v>31</v>
      </c>
      <c r="H675" s="216">
        <v>13</v>
      </c>
      <c r="I675" s="216">
        <v>70903.100000000006</v>
      </c>
      <c r="J675" s="216">
        <v>1.83</v>
      </c>
    </row>
    <row r="676" spans="1:10" ht="18" customHeight="1">
      <c r="A676" s="227">
        <v>42622</v>
      </c>
      <c r="B676" s="214" t="s">
        <v>382</v>
      </c>
      <c r="C676" s="224">
        <v>300009185572</v>
      </c>
      <c r="D676" s="216" t="s">
        <v>237</v>
      </c>
      <c r="E676" s="216">
        <v>18</v>
      </c>
      <c r="F676" s="216">
        <v>4033</v>
      </c>
      <c r="G676" s="216">
        <v>18</v>
      </c>
      <c r="H676" s="216">
        <v>9</v>
      </c>
      <c r="I676" s="216">
        <v>57383.4</v>
      </c>
      <c r="J676" s="216">
        <v>1.57</v>
      </c>
    </row>
    <row r="677" spans="1:10" ht="18" customHeight="1">
      <c r="A677" s="227">
        <v>42622</v>
      </c>
      <c r="B677" s="214" t="s">
        <v>382</v>
      </c>
      <c r="C677" s="224">
        <v>300009374212</v>
      </c>
      <c r="D677" s="216" t="s">
        <v>235</v>
      </c>
      <c r="E677" s="216">
        <v>31</v>
      </c>
      <c r="F677" s="216">
        <v>3536</v>
      </c>
      <c r="G677" s="216">
        <v>31</v>
      </c>
      <c r="H677" s="216">
        <v>22</v>
      </c>
      <c r="I677" s="216">
        <v>82154.5</v>
      </c>
      <c r="J677" s="216">
        <v>2.68</v>
      </c>
    </row>
    <row r="678" spans="1:10" ht="18" customHeight="1">
      <c r="A678" s="227">
        <v>42622</v>
      </c>
      <c r="B678" s="214" t="s">
        <v>382</v>
      </c>
      <c r="C678" s="224">
        <v>300009184067</v>
      </c>
      <c r="D678" s="216" t="s">
        <v>233</v>
      </c>
      <c r="E678" s="216">
        <v>12</v>
      </c>
      <c r="F678" s="216">
        <v>3047</v>
      </c>
      <c r="G678" s="216">
        <v>12</v>
      </c>
      <c r="H678" s="216">
        <v>4</v>
      </c>
      <c r="I678" s="216">
        <v>40099.9</v>
      </c>
      <c r="J678" s="216">
        <v>1</v>
      </c>
    </row>
    <row r="679" spans="1:10" ht="18" customHeight="1">
      <c r="A679" s="227">
        <v>42622</v>
      </c>
      <c r="B679" s="214" t="s">
        <v>382</v>
      </c>
      <c r="C679" s="224">
        <v>300009406201</v>
      </c>
      <c r="D679" s="216" t="s">
        <v>234</v>
      </c>
      <c r="E679" s="216">
        <v>5</v>
      </c>
      <c r="F679" s="216">
        <v>798</v>
      </c>
      <c r="G679" s="216">
        <v>5</v>
      </c>
      <c r="H679" s="216">
        <v>3</v>
      </c>
      <c r="I679" s="216">
        <v>10138.5</v>
      </c>
      <c r="J679" s="216">
        <v>2.96</v>
      </c>
    </row>
    <row r="680" spans="1:10" ht="18" customHeight="1">
      <c r="A680" s="227">
        <v>42622</v>
      </c>
      <c r="B680" s="214" t="s">
        <v>382</v>
      </c>
      <c r="C680" s="224">
        <v>300009374215</v>
      </c>
      <c r="D680" s="216" t="s">
        <v>236</v>
      </c>
      <c r="E680" s="216">
        <v>2</v>
      </c>
      <c r="F680" s="216">
        <v>437</v>
      </c>
      <c r="G680" s="216">
        <v>2</v>
      </c>
      <c r="H680" s="216">
        <v>1</v>
      </c>
      <c r="I680" s="216">
        <v>9700</v>
      </c>
      <c r="J680" s="216">
        <v>1</v>
      </c>
    </row>
    <row r="681" spans="1:10" ht="18" customHeight="1">
      <c r="A681" s="227">
        <v>42622</v>
      </c>
      <c r="B681" s="214" t="s">
        <v>383</v>
      </c>
      <c r="C681" s="224">
        <v>300008823388</v>
      </c>
      <c r="D681" s="216" t="s">
        <v>231</v>
      </c>
      <c r="E681" s="216">
        <v>3</v>
      </c>
      <c r="F681" s="216">
        <v>226</v>
      </c>
      <c r="G681" s="216">
        <v>3</v>
      </c>
      <c r="H681" s="216">
        <v>1</v>
      </c>
      <c r="I681" s="216">
        <v>3985.27</v>
      </c>
      <c r="J681" s="216">
        <v>1</v>
      </c>
    </row>
    <row r="682" spans="1:10" ht="18" customHeight="1">
      <c r="A682" s="227">
        <v>42622</v>
      </c>
      <c r="B682" s="214" t="s">
        <v>384</v>
      </c>
      <c r="C682" s="224">
        <v>300009290321</v>
      </c>
      <c r="D682" s="216" t="s">
        <v>194</v>
      </c>
      <c r="E682" s="216">
        <v>24</v>
      </c>
      <c r="F682" s="216">
        <v>3121</v>
      </c>
      <c r="G682" s="216">
        <v>24</v>
      </c>
      <c r="H682" s="216">
        <v>13</v>
      </c>
      <c r="I682" s="216">
        <v>62316.7</v>
      </c>
      <c r="J682" s="216">
        <v>2.09</v>
      </c>
    </row>
    <row r="683" spans="1:10" ht="18" customHeight="1">
      <c r="A683" s="227">
        <v>42623</v>
      </c>
      <c r="B683" s="214" t="s">
        <v>385</v>
      </c>
      <c r="C683" s="224">
        <v>300009358277</v>
      </c>
      <c r="D683" s="216" t="s">
        <v>266</v>
      </c>
      <c r="E683" s="216">
        <v>168</v>
      </c>
      <c r="F683" s="216">
        <v>18920</v>
      </c>
      <c r="G683" s="216">
        <v>88.79</v>
      </c>
      <c r="H683" s="216">
        <v>97</v>
      </c>
      <c r="I683" s="216">
        <v>384936</v>
      </c>
      <c r="J683" s="216">
        <v>2.52</v>
      </c>
    </row>
    <row r="684" spans="1:10" ht="18" customHeight="1">
      <c r="A684" s="227">
        <v>42624</v>
      </c>
      <c r="B684" s="214" t="s">
        <v>385</v>
      </c>
      <c r="C684" s="224">
        <v>300009358277</v>
      </c>
      <c r="D684" s="216" t="s">
        <v>266</v>
      </c>
      <c r="E684" s="216">
        <v>166</v>
      </c>
      <c r="F684" s="216">
        <v>19626</v>
      </c>
      <c r="G684" s="216">
        <v>84.58</v>
      </c>
      <c r="H684" s="216">
        <v>97</v>
      </c>
      <c r="I684" s="216">
        <v>399714.8</v>
      </c>
      <c r="J684" s="216">
        <v>2.4300000000000002</v>
      </c>
    </row>
    <row r="685" spans="1:10" ht="18" customHeight="1">
      <c r="A685" s="227">
        <v>42623</v>
      </c>
      <c r="B685" s="214" t="s">
        <v>386</v>
      </c>
      <c r="C685" s="224">
        <v>300009192151</v>
      </c>
      <c r="D685" s="216" t="s">
        <v>230</v>
      </c>
      <c r="E685" s="216">
        <v>30</v>
      </c>
      <c r="F685" s="216">
        <v>4705</v>
      </c>
      <c r="G685" s="216">
        <v>30</v>
      </c>
      <c r="H685" s="216">
        <v>9</v>
      </c>
      <c r="I685" s="216">
        <v>63556.800000000003</v>
      </c>
      <c r="J685" s="216">
        <v>1.42</v>
      </c>
    </row>
    <row r="686" spans="1:10" ht="18" customHeight="1">
      <c r="A686" s="227">
        <v>42624</v>
      </c>
      <c r="B686" s="214" t="s">
        <v>386</v>
      </c>
      <c r="C686" s="224">
        <v>300009192151</v>
      </c>
      <c r="D686" s="216" t="s">
        <v>230</v>
      </c>
      <c r="E686" s="216">
        <v>32</v>
      </c>
      <c r="F686" s="216">
        <v>4775</v>
      </c>
      <c r="G686" s="216">
        <v>32</v>
      </c>
      <c r="H686" s="216">
        <v>9</v>
      </c>
      <c r="I686" s="216">
        <v>64401.1</v>
      </c>
      <c r="J686" s="216">
        <v>1.4</v>
      </c>
    </row>
    <row r="687" spans="1:10" ht="18" customHeight="1">
      <c r="A687" s="227">
        <v>42623</v>
      </c>
      <c r="B687" s="214" t="s">
        <v>387</v>
      </c>
      <c r="C687" s="224">
        <v>300008823388</v>
      </c>
      <c r="D687" s="216" t="s">
        <v>231</v>
      </c>
      <c r="E687" s="216">
        <v>3</v>
      </c>
      <c r="F687" s="216">
        <v>226</v>
      </c>
      <c r="G687" s="216">
        <v>3</v>
      </c>
      <c r="H687" s="216">
        <v>1</v>
      </c>
      <c r="I687" s="216">
        <v>3985.27</v>
      </c>
      <c r="J687" s="216">
        <v>1</v>
      </c>
    </row>
    <row r="688" spans="1:10" ht="18" customHeight="1">
      <c r="A688" s="227">
        <v>42624</v>
      </c>
      <c r="B688" s="214" t="s">
        <v>387</v>
      </c>
      <c r="C688" s="224">
        <v>300008823388</v>
      </c>
      <c r="D688" s="216" t="s">
        <v>231</v>
      </c>
      <c r="E688" s="216">
        <v>3</v>
      </c>
      <c r="F688" s="216">
        <v>226</v>
      </c>
      <c r="G688" s="216">
        <v>3</v>
      </c>
      <c r="H688" s="216">
        <v>1</v>
      </c>
      <c r="I688" s="216">
        <v>3985.27</v>
      </c>
      <c r="J688" s="216">
        <v>1</v>
      </c>
    </row>
    <row r="689" spans="1:10" ht="18" customHeight="1">
      <c r="A689" s="227">
        <v>42623</v>
      </c>
      <c r="B689" s="214" t="s">
        <v>388</v>
      </c>
      <c r="C689" s="224">
        <v>300009406202</v>
      </c>
      <c r="D689" s="216" t="s">
        <v>232</v>
      </c>
      <c r="E689" s="216">
        <v>33</v>
      </c>
      <c r="F689" s="216">
        <v>4946</v>
      </c>
      <c r="G689" s="216">
        <v>33</v>
      </c>
      <c r="H689" s="216">
        <v>13</v>
      </c>
      <c r="I689" s="216">
        <v>71609.899999999994</v>
      </c>
      <c r="J689" s="216">
        <v>1.82</v>
      </c>
    </row>
    <row r="690" spans="1:10" ht="18" customHeight="1">
      <c r="A690" s="227">
        <v>42623</v>
      </c>
      <c r="B690" s="214" t="s">
        <v>388</v>
      </c>
      <c r="C690" s="224">
        <v>300009185572</v>
      </c>
      <c r="D690" s="216" t="s">
        <v>237</v>
      </c>
      <c r="E690" s="216">
        <v>20</v>
      </c>
      <c r="F690" s="216">
        <v>4788</v>
      </c>
      <c r="G690" s="216">
        <v>20</v>
      </c>
      <c r="H690" s="216">
        <v>9</v>
      </c>
      <c r="I690" s="216">
        <v>68033.100000000006</v>
      </c>
      <c r="J690" s="216">
        <v>1.32</v>
      </c>
    </row>
    <row r="691" spans="1:10" ht="18" customHeight="1">
      <c r="A691" s="227">
        <v>42623</v>
      </c>
      <c r="B691" s="214" t="s">
        <v>388</v>
      </c>
      <c r="C691" s="224">
        <v>300009184067</v>
      </c>
      <c r="D691" s="216" t="s">
        <v>233</v>
      </c>
      <c r="E691" s="216">
        <v>17</v>
      </c>
      <c r="F691" s="216">
        <v>3814</v>
      </c>
      <c r="G691" s="216">
        <v>17</v>
      </c>
      <c r="H691" s="216">
        <v>5</v>
      </c>
      <c r="I691" s="216">
        <v>50848.2</v>
      </c>
      <c r="J691" s="216">
        <v>0.98</v>
      </c>
    </row>
    <row r="692" spans="1:10" ht="18" customHeight="1">
      <c r="A692" s="227">
        <v>42623</v>
      </c>
      <c r="B692" s="214" t="s">
        <v>388</v>
      </c>
      <c r="C692" s="224">
        <v>300009374212</v>
      </c>
      <c r="D692" s="216" t="s">
        <v>235</v>
      </c>
      <c r="E692" s="216">
        <v>31</v>
      </c>
      <c r="F692" s="216">
        <v>3495</v>
      </c>
      <c r="G692" s="216">
        <v>31</v>
      </c>
      <c r="H692" s="216">
        <v>22</v>
      </c>
      <c r="I692" s="216">
        <v>81317.100000000006</v>
      </c>
      <c r="J692" s="216">
        <v>2.71</v>
      </c>
    </row>
    <row r="693" spans="1:10" ht="18" customHeight="1">
      <c r="A693" s="227">
        <v>42623</v>
      </c>
      <c r="B693" s="214" t="s">
        <v>388</v>
      </c>
      <c r="C693" s="224">
        <v>300009406201</v>
      </c>
      <c r="D693" s="216" t="s">
        <v>234</v>
      </c>
      <c r="E693" s="216">
        <v>7</v>
      </c>
      <c r="F693" s="216">
        <v>1593</v>
      </c>
      <c r="G693" s="216">
        <v>7</v>
      </c>
      <c r="H693" s="216">
        <v>3</v>
      </c>
      <c r="I693" s="216">
        <v>21360.2</v>
      </c>
      <c r="J693" s="216">
        <v>1.4</v>
      </c>
    </row>
    <row r="694" spans="1:10" ht="18" customHeight="1">
      <c r="A694" s="227">
        <v>42623</v>
      </c>
      <c r="B694" s="214" t="s">
        <v>388</v>
      </c>
      <c r="C694" s="224">
        <v>300009374215</v>
      </c>
      <c r="D694" s="216" t="s">
        <v>236</v>
      </c>
      <c r="E694" s="216">
        <v>4</v>
      </c>
      <c r="F694" s="216">
        <v>535</v>
      </c>
      <c r="G694" s="216">
        <v>4</v>
      </c>
      <c r="H694" s="216">
        <v>2</v>
      </c>
      <c r="I694" s="216">
        <v>12128.6</v>
      </c>
      <c r="J694" s="216">
        <v>1.65</v>
      </c>
    </row>
    <row r="695" spans="1:10" ht="18" customHeight="1">
      <c r="A695" s="227">
        <v>42624</v>
      </c>
      <c r="B695" s="214" t="s">
        <v>388</v>
      </c>
      <c r="C695" s="224">
        <v>300009185572</v>
      </c>
      <c r="D695" s="216" t="s">
        <v>237</v>
      </c>
      <c r="E695" s="216">
        <v>22</v>
      </c>
      <c r="F695" s="216">
        <v>5623</v>
      </c>
      <c r="G695" s="216">
        <v>22</v>
      </c>
      <c r="H695" s="216">
        <v>9</v>
      </c>
      <c r="I695" s="216">
        <v>80302.899999999994</v>
      </c>
      <c r="J695" s="216">
        <v>1.1200000000000001</v>
      </c>
    </row>
    <row r="696" spans="1:10" ht="18" customHeight="1">
      <c r="A696" s="227">
        <v>42624</v>
      </c>
      <c r="B696" s="214" t="s">
        <v>388</v>
      </c>
      <c r="C696" s="224">
        <v>300009406202</v>
      </c>
      <c r="D696" s="216" t="s">
        <v>232</v>
      </c>
      <c r="E696" s="216">
        <v>35</v>
      </c>
      <c r="F696" s="216">
        <v>4946</v>
      </c>
      <c r="G696" s="216">
        <v>35</v>
      </c>
      <c r="H696" s="216">
        <v>14</v>
      </c>
      <c r="I696" s="216">
        <v>71609.899999999994</v>
      </c>
      <c r="J696" s="216">
        <v>1.96</v>
      </c>
    </row>
    <row r="697" spans="1:10" ht="18" customHeight="1">
      <c r="A697" s="227">
        <v>42624</v>
      </c>
      <c r="B697" s="214" t="s">
        <v>388</v>
      </c>
      <c r="C697" s="224">
        <v>300009184067</v>
      </c>
      <c r="D697" s="216" t="s">
        <v>233</v>
      </c>
      <c r="E697" s="216">
        <v>19</v>
      </c>
      <c r="F697" s="216">
        <v>4615</v>
      </c>
      <c r="G697" s="216">
        <v>19</v>
      </c>
      <c r="H697" s="216">
        <v>6</v>
      </c>
      <c r="I697" s="216">
        <v>62925.7</v>
      </c>
      <c r="J697" s="216">
        <v>0.95</v>
      </c>
    </row>
    <row r="698" spans="1:10" ht="18" customHeight="1">
      <c r="A698" s="227">
        <v>42624</v>
      </c>
      <c r="B698" s="214" t="s">
        <v>388</v>
      </c>
      <c r="C698" s="224">
        <v>300009374212</v>
      </c>
      <c r="D698" s="216" t="s">
        <v>235</v>
      </c>
      <c r="E698" s="216">
        <v>30</v>
      </c>
      <c r="F698" s="216">
        <v>3446</v>
      </c>
      <c r="G698" s="216">
        <v>30</v>
      </c>
      <c r="H698" s="216">
        <v>21</v>
      </c>
      <c r="I698" s="216">
        <v>80076.7</v>
      </c>
      <c r="J698" s="216">
        <v>2.62</v>
      </c>
    </row>
    <row r="699" spans="1:10" ht="18" customHeight="1">
      <c r="A699" s="227">
        <v>42624</v>
      </c>
      <c r="B699" s="214" t="s">
        <v>388</v>
      </c>
      <c r="C699" s="224">
        <v>300009406201</v>
      </c>
      <c r="D699" s="216" t="s">
        <v>234</v>
      </c>
      <c r="E699" s="216">
        <v>8</v>
      </c>
      <c r="F699" s="216">
        <v>2419</v>
      </c>
      <c r="G699" s="216">
        <v>8</v>
      </c>
      <c r="H699" s="216">
        <v>4</v>
      </c>
      <c r="I699" s="216">
        <v>33535</v>
      </c>
      <c r="J699" s="216">
        <v>1.19</v>
      </c>
    </row>
    <row r="700" spans="1:10" ht="18" customHeight="1">
      <c r="A700" s="227">
        <v>42624</v>
      </c>
      <c r="B700" s="214" t="s">
        <v>388</v>
      </c>
      <c r="C700" s="224">
        <v>300009374215</v>
      </c>
      <c r="D700" s="216" t="s">
        <v>236</v>
      </c>
      <c r="E700" s="216">
        <v>5</v>
      </c>
      <c r="F700" s="216">
        <v>636</v>
      </c>
      <c r="G700" s="216">
        <v>5</v>
      </c>
      <c r="H700" s="216">
        <v>3</v>
      </c>
      <c r="I700" s="216">
        <v>14125.8</v>
      </c>
      <c r="J700" s="216">
        <v>2.12</v>
      </c>
    </row>
    <row r="701" spans="1:10" ht="18" customHeight="1">
      <c r="A701" s="227">
        <v>42623</v>
      </c>
      <c r="B701" s="246" t="s">
        <v>389</v>
      </c>
      <c r="C701" s="216">
        <v>300008839381</v>
      </c>
      <c r="D701" s="216" t="s">
        <v>190</v>
      </c>
      <c r="E701" s="216">
        <v>32</v>
      </c>
      <c r="F701" s="216">
        <v>6182</v>
      </c>
      <c r="G701" s="216">
        <v>32</v>
      </c>
      <c r="H701" s="216">
        <v>13</v>
      </c>
      <c r="I701" s="216">
        <v>89707.6</v>
      </c>
      <c r="J701" s="216">
        <v>1.45</v>
      </c>
    </row>
    <row r="702" spans="1:10" ht="18" customHeight="1">
      <c r="A702" s="227">
        <v>42623</v>
      </c>
      <c r="B702" s="246" t="s">
        <v>389</v>
      </c>
      <c r="C702" s="216">
        <v>300008244937</v>
      </c>
      <c r="D702" s="216" t="s">
        <v>272</v>
      </c>
      <c r="E702" s="216">
        <v>38</v>
      </c>
      <c r="F702" s="216">
        <v>4347</v>
      </c>
      <c r="G702" s="216">
        <v>38</v>
      </c>
      <c r="H702" s="216">
        <v>25</v>
      </c>
      <c r="I702" s="216">
        <v>68825.88</v>
      </c>
      <c r="J702" s="216">
        <v>3.63</v>
      </c>
    </row>
    <row r="703" spans="1:10" ht="18" customHeight="1">
      <c r="A703" s="227">
        <v>42623</v>
      </c>
      <c r="B703" s="246" t="s">
        <v>389</v>
      </c>
      <c r="C703" s="216">
        <v>300008579657</v>
      </c>
      <c r="D703" s="216" t="s">
        <v>188</v>
      </c>
      <c r="E703" s="216">
        <v>37</v>
      </c>
      <c r="F703" s="216">
        <v>3832</v>
      </c>
      <c r="G703" s="216">
        <v>37</v>
      </c>
      <c r="H703" s="216">
        <v>13</v>
      </c>
      <c r="I703" s="216">
        <v>55559.03</v>
      </c>
      <c r="J703" s="216">
        <v>2.34</v>
      </c>
    </row>
    <row r="704" spans="1:10" ht="18" customHeight="1">
      <c r="A704" s="227">
        <v>42623</v>
      </c>
      <c r="B704" s="246" t="s">
        <v>389</v>
      </c>
      <c r="C704" s="216">
        <v>300009003496</v>
      </c>
      <c r="D704" s="216" t="s">
        <v>240</v>
      </c>
      <c r="E704" s="216">
        <v>36</v>
      </c>
      <c r="F704" s="216">
        <v>3410</v>
      </c>
      <c r="G704" s="216">
        <v>36</v>
      </c>
      <c r="H704" s="216">
        <v>16</v>
      </c>
      <c r="I704" s="216">
        <v>50575.73</v>
      </c>
      <c r="J704" s="216">
        <v>3.16</v>
      </c>
    </row>
    <row r="705" spans="1:10" ht="18" customHeight="1">
      <c r="A705" s="227">
        <v>42623</v>
      </c>
      <c r="B705" s="246" t="s">
        <v>389</v>
      </c>
      <c r="C705" s="216">
        <v>300009235974</v>
      </c>
      <c r="D705" s="216" t="s">
        <v>187</v>
      </c>
      <c r="E705" s="216">
        <v>12</v>
      </c>
      <c r="F705" s="216">
        <v>920</v>
      </c>
      <c r="G705" s="216">
        <v>12</v>
      </c>
      <c r="H705" s="216">
        <v>6</v>
      </c>
      <c r="I705" s="216">
        <v>19988.7</v>
      </c>
      <c r="J705" s="216">
        <v>3</v>
      </c>
    </row>
    <row r="706" spans="1:10" ht="18" customHeight="1">
      <c r="A706" s="227">
        <v>42623</v>
      </c>
      <c r="B706" s="246" t="s">
        <v>389</v>
      </c>
      <c r="C706" s="216">
        <v>300008875665</v>
      </c>
      <c r="D706" s="216" t="s">
        <v>189</v>
      </c>
      <c r="E706" s="216">
        <v>7</v>
      </c>
      <c r="F706" s="216">
        <v>862</v>
      </c>
      <c r="G706" s="216">
        <v>7</v>
      </c>
      <c r="H706" s="216">
        <v>3</v>
      </c>
      <c r="I706" s="216">
        <v>18947.830000000002</v>
      </c>
      <c r="J706" s="216">
        <v>1.58</v>
      </c>
    </row>
    <row r="707" spans="1:10" ht="18" customHeight="1">
      <c r="A707" s="227">
        <v>42623</v>
      </c>
      <c r="B707" s="246" t="s">
        <v>389</v>
      </c>
      <c r="C707" s="216">
        <v>300009000071</v>
      </c>
      <c r="D707" s="216" t="s">
        <v>192</v>
      </c>
      <c r="E707" s="216">
        <v>8</v>
      </c>
      <c r="F707" s="216">
        <v>329</v>
      </c>
      <c r="G707" s="216">
        <v>8</v>
      </c>
      <c r="H707" s="216">
        <v>3</v>
      </c>
      <c r="I707" s="216">
        <v>3902.74</v>
      </c>
      <c r="J707" s="216">
        <v>3</v>
      </c>
    </row>
    <row r="708" spans="1:10" ht="18" customHeight="1">
      <c r="A708" s="227">
        <v>42624</v>
      </c>
      <c r="B708" s="246" t="s">
        <v>389</v>
      </c>
      <c r="C708" s="216">
        <v>300008839381</v>
      </c>
      <c r="D708" s="216" t="s">
        <v>190</v>
      </c>
      <c r="E708" s="216">
        <v>35</v>
      </c>
      <c r="F708" s="216">
        <v>6250</v>
      </c>
      <c r="G708" s="216">
        <v>35</v>
      </c>
      <c r="H708" s="216">
        <v>14</v>
      </c>
      <c r="I708" s="216">
        <v>90787.9</v>
      </c>
      <c r="J708" s="216">
        <v>1.54</v>
      </c>
    </row>
    <row r="709" spans="1:10" ht="18" customHeight="1">
      <c r="A709" s="227">
        <v>42624</v>
      </c>
      <c r="B709" s="246" t="s">
        <v>389</v>
      </c>
      <c r="C709" s="216">
        <v>300008244937</v>
      </c>
      <c r="D709" s="216" t="s">
        <v>272</v>
      </c>
      <c r="E709" s="216">
        <v>39</v>
      </c>
      <c r="F709" s="216">
        <v>4347</v>
      </c>
      <c r="G709" s="216">
        <v>39</v>
      </c>
      <c r="H709" s="216">
        <v>26</v>
      </c>
      <c r="I709" s="216">
        <v>68825.88</v>
      </c>
      <c r="J709" s="216">
        <v>3.78</v>
      </c>
    </row>
    <row r="710" spans="1:10" ht="18" customHeight="1">
      <c r="A710" s="227">
        <v>42624</v>
      </c>
      <c r="B710" s="246" t="s">
        <v>389</v>
      </c>
      <c r="C710" s="216">
        <v>300008579657</v>
      </c>
      <c r="D710" s="216" t="s">
        <v>188</v>
      </c>
      <c r="E710" s="216">
        <v>38</v>
      </c>
      <c r="F710" s="216">
        <v>3832</v>
      </c>
      <c r="G710" s="216">
        <v>38</v>
      </c>
      <c r="H710" s="216">
        <v>13</v>
      </c>
      <c r="I710" s="216">
        <v>55559.03</v>
      </c>
      <c r="J710" s="216">
        <v>2.34</v>
      </c>
    </row>
    <row r="711" spans="1:10" ht="18" customHeight="1">
      <c r="A711" s="227">
        <v>42624</v>
      </c>
      <c r="B711" s="246" t="s">
        <v>389</v>
      </c>
      <c r="C711" s="216">
        <v>300009003496</v>
      </c>
      <c r="D711" s="216" t="s">
        <v>240</v>
      </c>
      <c r="E711" s="216">
        <v>38</v>
      </c>
      <c r="F711" s="216">
        <v>3410</v>
      </c>
      <c r="G711" s="216">
        <v>38</v>
      </c>
      <c r="H711" s="216">
        <v>16</v>
      </c>
      <c r="I711" s="216">
        <v>50575.73</v>
      </c>
      <c r="J711" s="216">
        <v>3.16</v>
      </c>
    </row>
    <row r="712" spans="1:10" ht="18" customHeight="1">
      <c r="A712" s="227">
        <v>42624</v>
      </c>
      <c r="B712" s="246" t="s">
        <v>335</v>
      </c>
      <c r="C712" s="216">
        <v>300009235971</v>
      </c>
      <c r="D712" s="216" t="s">
        <v>241</v>
      </c>
      <c r="E712" s="216">
        <v>3</v>
      </c>
      <c r="F712" s="216">
        <v>1042</v>
      </c>
      <c r="G712" s="216">
        <v>3</v>
      </c>
      <c r="H712" s="216">
        <v>1</v>
      </c>
      <c r="I712" s="216">
        <v>19740.2</v>
      </c>
      <c r="J712" s="216">
        <v>0.51</v>
      </c>
    </row>
    <row r="713" spans="1:10" ht="18" customHeight="1">
      <c r="A713" s="227">
        <v>42624</v>
      </c>
      <c r="B713" s="246" t="s">
        <v>389</v>
      </c>
      <c r="C713" s="216">
        <v>300009235974</v>
      </c>
      <c r="D713" s="216" t="s">
        <v>187</v>
      </c>
      <c r="E713" s="216">
        <v>14</v>
      </c>
      <c r="F713" s="216">
        <v>986</v>
      </c>
      <c r="G713" s="216">
        <v>14</v>
      </c>
      <c r="H713" s="216">
        <v>6</v>
      </c>
      <c r="I713" s="216">
        <v>21359.599999999999</v>
      </c>
      <c r="J713" s="216">
        <v>2.81</v>
      </c>
    </row>
    <row r="714" spans="1:10" ht="18" customHeight="1">
      <c r="A714" s="227">
        <v>42624</v>
      </c>
      <c r="B714" s="246" t="s">
        <v>389</v>
      </c>
      <c r="C714" s="216">
        <v>300008875665</v>
      </c>
      <c r="D714" s="216" t="s">
        <v>189</v>
      </c>
      <c r="E714" s="216">
        <v>9</v>
      </c>
      <c r="F714" s="216">
        <v>940</v>
      </c>
      <c r="G714" s="216">
        <v>9</v>
      </c>
      <c r="H714" s="216">
        <v>3</v>
      </c>
      <c r="I714" s="216">
        <v>20566.830000000002</v>
      </c>
      <c r="J714" s="216">
        <v>1.46</v>
      </c>
    </row>
    <row r="715" spans="1:10" ht="18" customHeight="1">
      <c r="A715" s="227">
        <v>42624</v>
      </c>
      <c r="B715" s="246" t="s">
        <v>389</v>
      </c>
      <c r="C715" s="216">
        <v>300009000071</v>
      </c>
      <c r="D715" s="216" t="s">
        <v>192</v>
      </c>
      <c r="E715" s="216">
        <v>9</v>
      </c>
      <c r="F715" s="216">
        <v>876</v>
      </c>
      <c r="G715" s="216">
        <v>9</v>
      </c>
      <c r="H715" s="216">
        <v>3</v>
      </c>
      <c r="I715" s="216">
        <v>12736.39</v>
      </c>
      <c r="J715" s="216">
        <v>2.36</v>
      </c>
    </row>
    <row r="716" spans="1:10" ht="18" customHeight="1">
      <c r="A716" s="227">
        <v>42623</v>
      </c>
      <c r="B716" s="214" t="s">
        <v>390</v>
      </c>
      <c r="C716" s="224">
        <v>300009290321</v>
      </c>
      <c r="D716" s="216" t="s">
        <v>194</v>
      </c>
      <c r="E716" s="216">
        <v>23</v>
      </c>
      <c r="F716" s="216">
        <v>3054</v>
      </c>
      <c r="G716" s="216">
        <v>23</v>
      </c>
      <c r="H716" s="216">
        <v>12</v>
      </c>
      <c r="I716" s="216">
        <v>60710.400000000001</v>
      </c>
      <c r="J716" s="216">
        <v>1.98</v>
      </c>
    </row>
    <row r="717" spans="1:10" ht="18" customHeight="1">
      <c r="A717" s="227">
        <v>42624</v>
      </c>
      <c r="B717" s="214" t="s">
        <v>390</v>
      </c>
      <c r="C717" s="224">
        <v>300009290321</v>
      </c>
      <c r="D717" s="216" t="s">
        <v>194</v>
      </c>
      <c r="E717" s="216">
        <v>23</v>
      </c>
      <c r="F717" s="216">
        <v>2883</v>
      </c>
      <c r="G717" s="216">
        <v>23</v>
      </c>
      <c r="H717" s="216">
        <v>12</v>
      </c>
      <c r="I717" s="216">
        <v>57348.1</v>
      </c>
      <c r="J717" s="216">
        <v>2.09</v>
      </c>
    </row>
    <row r="718" spans="1:10" ht="18" customHeight="1">
      <c r="A718" s="227">
        <v>42624</v>
      </c>
      <c r="B718" s="214" t="s">
        <v>244</v>
      </c>
      <c r="C718" s="224">
        <v>300009358277</v>
      </c>
      <c r="D718" s="216" t="s">
        <v>266</v>
      </c>
      <c r="E718" s="216">
        <v>166</v>
      </c>
      <c r="F718" s="216">
        <v>19626</v>
      </c>
      <c r="G718" s="216">
        <v>84.58</v>
      </c>
      <c r="H718" s="216">
        <v>97</v>
      </c>
      <c r="I718" s="216">
        <v>399714.8</v>
      </c>
      <c r="J718" s="216">
        <v>2.4300000000000002</v>
      </c>
    </row>
    <row r="719" spans="1:10" ht="18" customHeight="1">
      <c r="A719" s="227">
        <v>42624</v>
      </c>
      <c r="B719" s="214" t="s">
        <v>391</v>
      </c>
      <c r="C719" s="224">
        <v>300009192151</v>
      </c>
      <c r="D719" s="216" t="s">
        <v>230</v>
      </c>
      <c r="E719" s="216">
        <v>32</v>
      </c>
      <c r="F719" s="216">
        <v>4775</v>
      </c>
      <c r="G719" s="216">
        <v>32</v>
      </c>
      <c r="H719" s="216">
        <v>9</v>
      </c>
      <c r="I719" s="216">
        <v>64401.1</v>
      </c>
      <c r="J719" s="216">
        <v>1.4</v>
      </c>
    </row>
    <row r="720" spans="1:10" ht="18" customHeight="1">
      <c r="A720" s="227">
        <v>42624</v>
      </c>
      <c r="B720" s="214" t="s">
        <v>392</v>
      </c>
      <c r="C720" s="224">
        <v>300008823388</v>
      </c>
      <c r="D720" s="216" t="s">
        <v>231</v>
      </c>
      <c r="E720" s="216">
        <v>3</v>
      </c>
      <c r="F720" s="216">
        <v>226</v>
      </c>
      <c r="G720" s="216">
        <v>3</v>
      </c>
      <c r="H720" s="216">
        <v>1</v>
      </c>
      <c r="I720" s="216">
        <v>3985.27</v>
      </c>
      <c r="J720" s="216">
        <v>1</v>
      </c>
    </row>
    <row r="721" spans="1:10" ht="18" customHeight="1">
      <c r="A721" s="227">
        <v>42624</v>
      </c>
      <c r="B721" s="214" t="s">
        <v>393</v>
      </c>
      <c r="C721" s="224">
        <v>300009185572</v>
      </c>
      <c r="D721" s="216" t="s">
        <v>237</v>
      </c>
      <c r="E721" s="216">
        <v>22</v>
      </c>
      <c r="F721" s="216">
        <v>5623</v>
      </c>
      <c r="G721" s="216">
        <v>22</v>
      </c>
      <c r="H721" s="216">
        <v>9</v>
      </c>
      <c r="I721" s="216">
        <v>80302.899999999994</v>
      </c>
      <c r="J721" s="216">
        <v>1.1200000000000001</v>
      </c>
    </row>
    <row r="722" spans="1:10" ht="18" customHeight="1">
      <c r="A722" s="227">
        <v>42624</v>
      </c>
      <c r="B722" s="214" t="s">
        <v>393</v>
      </c>
      <c r="C722" s="224">
        <v>300009406202</v>
      </c>
      <c r="D722" s="216" t="s">
        <v>232</v>
      </c>
      <c r="E722" s="216">
        <v>35</v>
      </c>
      <c r="F722" s="216">
        <v>4946</v>
      </c>
      <c r="G722" s="216">
        <v>35</v>
      </c>
      <c r="H722" s="216">
        <v>14</v>
      </c>
      <c r="I722" s="216">
        <v>71609.899999999994</v>
      </c>
      <c r="J722" s="216">
        <v>1.96</v>
      </c>
    </row>
    <row r="723" spans="1:10" ht="18" customHeight="1">
      <c r="A723" s="227">
        <v>42624</v>
      </c>
      <c r="B723" s="214" t="s">
        <v>393</v>
      </c>
      <c r="C723" s="224">
        <v>300009184067</v>
      </c>
      <c r="D723" s="216" t="s">
        <v>233</v>
      </c>
      <c r="E723" s="216">
        <v>19</v>
      </c>
      <c r="F723" s="216">
        <v>4615</v>
      </c>
      <c r="G723" s="216">
        <v>19</v>
      </c>
      <c r="H723" s="216">
        <v>6</v>
      </c>
      <c r="I723" s="216">
        <v>62925.7</v>
      </c>
      <c r="J723" s="216">
        <v>0.95</v>
      </c>
    </row>
    <row r="724" spans="1:10" ht="18" customHeight="1">
      <c r="A724" s="227">
        <v>42624</v>
      </c>
      <c r="B724" s="214" t="s">
        <v>393</v>
      </c>
      <c r="C724" s="224">
        <v>300009374212</v>
      </c>
      <c r="D724" s="216" t="s">
        <v>235</v>
      </c>
      <c r="E724" s="216">
        <v>30</v>
      </c>
      <c r="F724" s="216">
        <v>3446</v>
      </c>
      <c r="G724" s="216">
        <v>30</v>
      </c>
      <c r="H724" s="216">
        <v>21</v>
      </c>
      <c r="I724" s="216">
        <v>80076.7</v>
      </c>
      <c r="J724" s="216">
        <v>2.62</v>
      </c>
    </row>
    <row r="725" spans="1:10" ht="18" customHeight="1">
      <c r="A725" s="227">
        <v>42624</v>
      </c>
      <c r="B725" s="214" t="s">
        <v>393</v>
      </c>
      <c r="C725" s="224">
        <v>300009406201</v>
      </c>
      <c r="D725" s="216" t="s">
        <v>234</v>
      </c>
      <c r="E725" s="216">
        <v>8</v>
      </c>
      <c r="F725" s="216">
        <v>2419</v>
      </c>
      <c r="G725" s="216">
        <v>8</v>
      </c>
      <c r="H725" s="216">
        <v>4</v>
      </c>
      <c r="I725" s="216">
        <v>33535</v>
      </c>
      <c r="J725" s="216">
        <v>1.19</v>
      </c>
    </row>
    <row r="726" spans="1:10" ht="18" customHeight="1">
      <c r="A726" s="227">
        <v>42624</v>
      </c>
      <c r="B726" s="214" t="s">
        <v>393</v>
      </c>
      <c r="C726" s="224">
        <v>300009374215</v>
      </c>
      <c r="D726" s="216" t="s">
        <v>236</v>
      </c>
      <c r="E726" s="216">
        <v>5</v>
      </c>
      <c r="F726" s="216">
        <v>636</v>
      </c>
      <c r="G726" s="216">
        <v>5</v>
      </c>
      <c r="H726" s="216">
        <v>3</v>
      </c>
      <c r="I726" s="216">
        <v>14125.8</v>
      </c>
      <c r="J726" s="216">
        <v>2.12</v>
      </c>
    </row>
    <row r="727" spans="1:10" ht="18" customHeight="1">
      <c r="A727" s="227">
        <v>42624</v>
      </c>
      <c r="B727" s="214" t="s">
        <v>394</v>
      </c>
      <c r="C727" s="224">
        <v>300008839381</v>
      </c>
      <c r="D727" s="216" t="s">
        <v>190</v>
      </c>
      <c r="E727" s="216">
        <v>35</v>
      </c>
      <c r="F727" s="216">
        <v>6250</v>
      </c>
      <c r="G727" s="216">
        <v>35</v>
      </c>
      <c r="H727" s="216">
        <v>14</v>
      </c>
      <c r="I727" s="216">
        <v>90787.9</v>
      </c>
      <c r="J727" s="216">
        <v>1.54</v>
      </c>
    </row>
    <row r="728" spans="1:10" ht="18" customHeight="1">
      <c r="A728" s="227">
        <v>42624</v>
      </c>
      <c r="B728" s="214" t="s">
        <v>394</v>
      </c>
      <c r="C728" s="224">
        <v>300008244937</v>
      </c>
      <c r="D728" s="216" t="s">
        <v>272</v>
      </c>
      <c r="E728" s="216">
        <v>39</v>
      </c>
      <c r="F728" s="216">
        <v>4347</v>
      </c>
      <c r="G728" s="216">
        <v>39</v>
      </c>
      <c r="H728" s="216">
        <v>26</v>
      </c>
      <c r="I728" s="216">
        <v>68825.88</v>
      </c>
      <c r="J728" s="216">
        <v>3.78</v>
      </c>
    </row>
    <row r="729" spans="1:10" ht="18" customHeight="1">
      <c r="A729" s="227">
        <v>42624</v>
      </c>
      <c r="B729" s="214" t="s">
        <v>394</v>
      </c>
      <c r="C729" s="224">
        <v>300008579657</v>
      </c>
      <c r="D729" s="216" t="s">
        <v>188</v>
      </c>
      <c r="E729" s="216">
        <v>38</v>
      </c>
      <c r="F729" s="216">
        <v>3832</v>
      </c>
      <c r="G729" s="216">
        <v>38</v>
      </c>
      <c r="H729" s="216">
        <v>13</v>
      </c>
      <c r="I729" s="216">
        <v>55559.03</v>
      </c>
      <c r="J729" s="216">
        <v>2.34</v>
      </c>
    </row>
    <row r="730" spans="1:10" ht="18" customHeight="1">
      <c r="A730" s="227">
        <v>42624</v>
      </c>
      <c r="B730" s="214" t="s">
        <v>394</v>
      </c>
      <c r="C730" s="224">
        <v>300009003496</v>
      </c>
      <c r="D730" s="216" t="s">
        <v>240</v>
      </c>
      <c r="E730" s="216">
        <v>38</v>
      </c>
      <c r="F730" s="216">
        <v>3410</v>
      </c>
      <c r="G730" s="216">
        <v>38</v>
      </c>
      <c r="H730" s="216">
        <v>16</v>
      </c>
      <c r="I730" s="216">
        <v>50575.73</v>
      </c>
      <c r="J730" s="216">
        <v>3.16</v>
      </c>
    </row>
    <row r="731" spans="1:10" ht="18" customHeight="1">
      <c r="A731" s="227">
        <v>42624</v>
      </c>
      <c r="B731" s="214" t="s">
        <v>394</v>
      </c>
      <c r="C731" s="224">
        <v>300009235971</v>
      </c>
      <c r="D731" s="216" t="s">
        <v>241</v>
      </c>
      <c r="E731" s="216">
        <v>3</v>
      </c>
      <c r="F731" s="216">
        <v>1042</v>
      </c>
      <c r="G731" s="216">
        <v>3</v>
      </c>
      <c r="H731" s="216">
        <v>1</v>
      </c>
      <c r="I731" s="216">
        <v>19740.2</v>
      </c>
      <c r="J731" s="216">
        <v>0.51</v>
      </c>
    </row>
    <row r="732" spans="1:10" ht="18" customHeight="1">
      <c r="A732" s="227">
        <v>42624</v>
      </c>
      <c r="B732" s="214" t="s">
        <v>394</v>
      </c>
      <c r="C732" s="224">
        <v>300009235974</v>
      </c>
      <c r="D732" s="216" t="s">
        <v>187</v>
      </c>
      <c r="E732" s="216">
        <v>14</v>
      </c>
      <c r="F732" s="216">
        <v>986</v>
      </c>
      <c r="G732" s="216">
        <v>14</v>
      </c>
      <c r="H732" s="216">
        <v>6</v>
      </c>
      <c r="I732" s="216">
        <v>21359.599999999999</v>
      </c>
      <c r="J732" s="216">
        <v>2.81</v>
      </c>
    </row>
    <row r="733" spans="1:10" ht="18" customHeight="1">
      <c r="A733" s="227">
        <v>42624</v>
      </c>
      <c r="B733" s="214" t="s">
        <v>394</v>
      </c>
      <c r="C733" s="224">
        <v>300008875665</v>
      </c>
      <c r="D733" s="216" t="s">
        <v>189</v>
      </c>
      <c r="E733" s="216">
        <v>9</v>
      </c>
      <c r="F733" s="216">
        <v>940</v>
      </c>
      <c r="G733" s="216">
        <v>9</v>
      </c>
      <c r="H733" s="216">
        <v>3</v>
      </c>
      <c r="I733" s="216">
        <v>20566.830000000002</v>
      </c>
      <c r="J733" s="216">
        <v>1.46</v>
      </c>
    </row>
    <row r="734" spans="1:10" ht="18" customHeight="1">
      <c r="A734" s="227">
        <v>42624</v>
      </c>
      <c r="B734" s="214" t="s">
        <v>394</v>
      </c>
      <c r="C734" s="224">
        <v>300009000071</v>
      </c>
      <c r="D734" s="216" t="s">
        <v>192</v>
      </c>
      <c r="E734" s="216">
        <v>9</v>
      </c>
      <c r="F734" s="216">
        <v>876</v>
      </c>
      <c r="G734" s="216">
        <v>9</v>
      </c>
      <c r="H734" s="216">
        <v>3</v>
      </c>
      <c r="I734" s="216">
        <v>12736.39</v>
      </c>
      <c r="J734" s="216">
        <v>2.36</v>
      </c>
    </row>
    <row r="735" spans="1:10" ht="18" customHeight="1">
      <c r="A735" s="227">
        <v>42624</v>
      </c>
      <c r="B735" s="214" t="s">
        <v>395</v>
      </c>
      <c r="C735" s="224">
        <v>300009290321</v>
      </c>
      <c r="D735" s="216" t="s">
        <v>194</v>
      </c>
      <c r="E735" s="216">
        <v>23</v>
      </c>
      <c r="F735" s="216">
        <v>2883</v>
      </c>
      <c r="G735" s="216">
        <v>23</v>
      </c>
      <c r="H735" s="216">
        <v>12</v>
      </c>
      <c r="I735" s="216">
        <v>57348.1</v>
      </c>
      <c r="J735" s="216">
        <v>2.09</v>
      </c>
    </row>
    <row r="736" spans="1:10" ht="18" customHeight="1">
      <c r="A736" s="227">
        <v>42625</v>
      </c>
      <c r="B736" s="214" t="s">
        <v>396</v>
      </c>
      <c r="C736" s="224">
        <v>300009358277</v>
      </c>
      <c r="D736" s="216" t="s">
        <v>266</v>
      </c>
      <c r="E736" s="216">
        <v>171</v>
      </c>
      <c r="F736" s="216">
        <v>19813</v>
      </c>
      <c r="G736" s="216">
        <v>86.31</v>
      </c>
      <c r="H736" s="216">
        <v>98</v>
      </c>
      <c r="I736" s="216">
        <v>401176.2</v>
      </c>
      <c r="J736" s="216">
        <v>2.44</v>
      </c>
    </row>
    <row r="737" spans="1:10" ht="18" customHeight="1">
      <c r="A737" s="227">
        <v>42625</v>
      </c>
      <c r="B737" s="214" t="s">
        <v>397</v>
      </c>
      <c r="C737" s="224">
        <v>300009192151</v>
      </c>
      <c r="D737" s="216" t="s">
        <v>230</v>
      </c>
      <c r="E737" s="216">
        <v>32</v>
      </c>
      <c r="F737" s="216">
        <v>4775</v>
      </c>
      <c r="G737" s="216">
        <v>32</v>
      </c>
      <c r="H737" s="216">
        <v>9</v>
      </c>
      <c r="I737" s="216">
        <v>64401.1</v>
      </c>
      <c r="J737" s="216">
        <v>1.4</v>
      </c>
    </row>
    <row r="738" spans="1:10" ht="18" customHeight="1">
      <c r="A738" s="227">
        <v>42625</v>
      </c>
      <c r="B738" s="214" t="s">
        <v>398</v>
      </c>
      <c r="C738" s="224">
        <v>300008823388</v>
      </c>
      <c r="D738" s="216" t="s">
        <v>231</v>
      </c>
      <c r="E738" s="216">
        <v>4</v>
      </c>
      <c r="F738" s="216">
        <v>226</v>
      </c>
      <c r="G738" s="216">
        <v>4</v>
      </c>
      <c r="H738" s="216">
        <v>1</v>
      </c>
      <c r="I738" s="216">
        <v>3985.27</v>
      </c>
      <c r="J738" s="216">
        <v>1</v>
      </c>
    </row>
    <row r="739" spans="1:10" ht="18" customHeight="1">
      <c r="A739" s="227">
        <v>42625</v>
      </c>
      <c r="B739" s="214" t="s">
        <v>399</v>
      </c>
      <c r="C739" s="224">
        <v>300009480238</v>
      </c>
      <c r="D739" s="216" t="s">
        <v>263</v>
      </c>
      <c r="E739" s="216">
        <v>2</v>
      </c>
      <c r="F739" s="216">
        <v>296</v>
      </c>
      <c r="G739" s="216">
        <v>2</v>
      </c>
      <c r="H739" s="216">
        <v>0</v>
      </c>
      <c r="I739" s="216">
        <v>4076.2</v>
      </c>
      <c r="J739" s="216">
        <v>0</v>
      </c>
    </row>
    <row r="740" spans="1:10" ht="18" customHeight="1">
      <c r="A740" s="227">
        <v>42625</v>
      </c>
      <c r="B740" s="214" t="s">
        <v>400</v>
      </c>
      <c r="C740" s="224">
        <v>300009185572</v>
      </c>
      <c r="D740" s="216" t="s">
        <v>237</v>
      </c>
      <c r="E740" s="216">
        <v>26</v>
      </c>
      <c r="F740" s="216">
        <v>5984</v>
      </c>
      <c r="G740" s="216">
        <v>26</v>
      </c>
      <c r="H740" s="216">
        <v>11</v>
      </c>
      <c r="I740" s="216">
        <v>85998.7</v>
      </c>
      <c r="J740" s="216">
        <v>1.28</v>
      </c>
    </row>
    <row r="741" spans="1:10" ht="18" customHeight="1">
      <c r="A741" s="227">
        <v>42625</v>
      </c>
      <c r="B741" s="214" t="s">
        <v>400</v>
      </c>
      <c r="C741" s="224">
        <v>300009184067</v>
      </c>
      <c r="D741" s="216" t="s">
        <v>233</v>
      </c>
      <c r="E741" s="216">
        <v>22</v>
      </c>
      <c r="F741" s="216">
        <v>4947</v>
      </c>
      <c r="G741" s="216">
        <v>22</v>
      </c>
      <c r="H741" s="216">
        <v>6</v>
      </c>
      <c r="I741" s="216">
        <v>68098.5</v>
      </c>
      <c r="J741" s="216">
        <v>0.88</v>
      </c>
    </row>
    <row r="742" spans="1:10" ht="18" customHeight="1">
      <c r="A742" s="227">
        <v>42625</v>
      </c>
      <c r="B742" s="214" t="s">
        <v>400</v>
      </c>
      <c r="C742" s="224">
        <v>300009406202</v>
      </c>
      <c r="D742" s="216" t="s">
        <v>232</v>
      </c>
      <c r="E742" s="216">
        <v>37</v>
      </c>
      <c r="F742" s="216">
        <v>4946</v>
      </c>
      <c r="G742" s="216">
        <v>37</v>
      </c>
      <c r="H742" s="216">
        <v>15</v>
      </c>
      <c r="I742" s="216">
        <v>71609.899999999994</v>
      </c>
      <c r="J742" s="216">
        <v>2.09</v>
      </c>
    </row>
    <row r="743" spans="1:10" ht="18" customHeight="1">
      <c r="A743" s="227">
        <v>42625</v>
      </c>
      <c r="B743" s="214" t="s">
        <v>400</v>
      </c>
      <c r="C743" s="224">
        <v>300009374212</v>
      </c>
      <c r="D743" s="216" t="s">
        <v>235</v>
      </c>
      <c r="E743" s="216">
        <v>31</v>
      </c>
      <c r="F743" s="216">
        <v>3365</v>
      </c>
      <c r="G743" s="216">
        <v>31</v>
      </c>
      <c r="H743" s="216">
        <v>21</v>
      </c>
      <c r="I743" s="216">
        <v>78422.399999999994</v>
      </c>
      <c r="J743" s="216">
        <v>2.68</v>
      </c>
    </row>
    <row r="744" spans="1:10" ht="18" customHeight="1">
      <c r="A744" s="227">
        <v>42625</v>
      </c>
      <c r="B744" s="214" t="s">
        <v>400</v>
      </c>
      <c r="C744" s="224">
        <v>300009406201</v>
      </c>
      <c r="D744" s="216" t="s">
        <v>234</v>
      </c>
      <c r="E744" s="216">
        <v>12</v>
      </c>
      <c r="F744" s="216">
        <v>2801</v>
      </c>
      <c r="G744" s="216">
        <v>12</v>
      </c>
      <c r="H744" s="216">
        <v>5</v>
      </c>
      <c r="I744" s="216">
        <v>38752.6</v>
      </c>
      <c r="J744" s="216">
        <v>1.29</v>
      </c>
    </row>
    <row r="745" spans="1:10" ht="18" customHeight="1">
      <c r="A745" s="227">
        <v>42625</v>
      </c>
      <c r="B745" s="214" t="s">
        <v>400</v>
      </c>
      <c r="C745" s="224">
        <v>300009374215</v>
      </c>
      <c r="D745" s="216" t="s">
        <v>236</v>
      </c>
      <c r="E745" s="216">
        <v>6</v>
      </c>
      <c r="F745" s="216">
        <v>838</v>
      </c>
      <c r="G745" s="216">
        <v>6</v>
      </c>
      <c r="H745" s="216">
        <v>3</v>
      </c>
      <c r="I745" s="216">
        <v>17012.900000000001</v>
      </c>
      <c r="J745" s="216">
        <v>1.76</v>
      </c>
    </row>
    <row r="746" spans="1:10" ht="18" customHeight="1">
      <c r="A746" s="227">
        <v>42625</v>
      </c>
      <c r="B746" s="214" t="s">
        <v>401</v>
      </c>
      <c r="C746" s="224">
        <v>300008839381</v>
      </c>
      <c r="D746" s="216" t="s">
        <v>190</v>
      </c>
      <c r="E746" s="216">
        <v>37</v>
      </c>
      <c r="F746" s="216">
        <v>6250</v>
      </c>
      <c r="G746" s="216">
        <v>37</v>
      </c>
      <c r="H746" s="216">
        <v>16</v>
      </c>
      <c r="I746" s="216">
        <v>90787.9</v>
      </c>
      <c r="J746" s="216">
        <v>1.76</v>
      </c>
    </row>
    <row r="747" spans="1:10" ht="18" customHeight="1">
      <c r="A747" s="227">
        <v>42625</v>
      </c>
      <c r="B747" s="214" t="s">
        <v>401</v>
      </c>
      <c r="C747" s="224">
        <v>300008244937</v>
      </c>
      <c r="D747" s="216" t="s">
        <v>272</v>
      </c>
      <c r="E747" s="216">
        <v>41</v>
      </c>
      <c r="F747" s="216">
        <v>4347</v>
      </c>
      <c r="G747" s="216">
        <v>41</v>
      </c>
      <c r="H747" s="216">
        <v>26</v>
      </c>
      <c r="I747" s="216">
        <v>68825.88</v>
      </c>
      <c r="J747" s="216">
        <v>3.78</v>
      </c>
    </row>
    <row r="748" spans="1:10" ht="18" customHeight="1">
      <c r="A748" s="227">
        <v>42625</v>
      </c>
      <c r="B748" s="214" t="s">
        <v>401</v>
      </c>
      <c r="C748" s="224">
        <v>300008579657</v>
      </c>
      <c r="D748" s="216" t="s">
        <v>188</v>
      </c>
      <c r="E748" s="216">
        <v>38</v>
      </c>
      <c r="F748" s="216">
        <v>3832</v>
      </c>
      <c r="G748" s="216">
        <v>38</v>
      </c>
      <c r="H748" s="216">
        <v>13</v>
      </c>
      <c r="I748" s="216">
        <v>55559.03</v>
      </c>
      <c r="J748" s="216">
        <v>2.34</v>
      </c>
    </row>
    <row r="749" spans="1:10" ht="18" customHeight="1">
      <c r="A749" s="227">
        <v>42625</v>
      </c>
      <c r="B749" s="214" t="s">
        <v>401</v>
      </c>
      <c r="C749" s="224">
        <v>300009003496</v>
      </c>
      <c r="D749" s="216" t="s">
        <v>240</v>
      </c>
      <c r="E749" s="216">
        <v>40</v>
      </c>
      <c r="F749" s="216">
        <v>3410</v>
      </c>
      <c r="G749" s="216">
        <v>40</v>
      </c>
      <c r="H749" s="216">
        <v>16</v>
      </c>
      <c r="I749" s="216">
        <v>50575.73</v>
      </c>
      <c r="J749" s="216">
        <v>3.16</v>
      </c>
    </row>
    <row r="750" spans="1:10" ht="18" customHeight="1">
      <c r="A750" s="227">
        <v>42625</v>
      </c>
      <c r="B750" s="214" t="s">
        <v>401</v>
      </c>
      <c r="C750" s="224">
        <v>300009235971</v>
      </c>
      <c r="D750" s="216" t="s">
        <v>241</v>
      </c>
      <c r="E750" s="216">
        <v>8</v>
      </c>
      <c r="F750" s="216">
        <v>1540</v>
      </c>
      <c r="G750" s="216">
        <v>8</v>
      </c>
      <c r="H750" s="216">
        <v>5</v>
      </c>
      <c r="I750" s="216">
        <v>29315.7</v>
      </c>
      <c r="J750" s="216">
        <v>1.71</v>
      </c>
    </row>
    <row r="751" spans="1:10" ht="18" customHeight="1">
      <c r="A751" s="227">
        <v>42625</v>
      </c>
      <c r="B751" s="214" t="s">
        <v>401</v>
      </c>
      <c r="C751" s="224">
        <v>300009000071</v>
      </c>
      <c r="D751" s="216" t="s">
        <v>192</v>
      </c>
      <c r="E751" s="216">
        <v>9</v>
      </c>
      <c r="F751" s="216">
        <v>1430</v>
      </c>
      <c r="G751" s="216">
        <v>9</v>
      </c>
      <c r="H751" s="216">
        <v>3</v>
      </c>
      <c r="I751" s="216">
        <v>20032.12</v>
      </c>
      <c r="J751" s="216">
        <v>1.5</v>
      </c>
    </row>
    <row r="752" spans="1:10" ht="18" customHeight="1">
      <c r="A752" s="227">
        <v>42625</v>
      </c>
      <c r="B752" s="214" t="s">
        <v>401</v>
      </c>
      <c r="C752" s="224">
        <v>300009235974</v>
      </c>
      <c r="D752" s="216" t="s">
        <v>187</v>
      </c>
      <c r="E752" s="216">
        <v>14</v>
      </c>
      <c r="F752" s="216">
        <v>1139</v>
      </c>
      <c r="G752" s="216">
        <v>14</v>
      </c>
      <c r="H752" s="216">
        <v>6</v>
      </c>
      <c r="I752" s="216">
        <v>23500.1</v>
      </c>
      <c r="J752" s="216">
        <v>2.5499999999999998</v>
      </c>
    </row>
    <row r="753" spans="1:10" ht="18" customHeight="1">
      <c r="A753" s="227">
        <v>42625</v>
      </c>
      <c r="B753" s="214" t="s">
        <v>401</v>
      </c>
      <c r="C753" s="224">
        <v>300008875665</v>
      </c>
      <c r="D753" s="216" t="s">
        <v>189</v>
      </c>
      <c r="E753" s="216">
        <v>9</v>
      </c>
      <c r="F753" s="216">
        <v>1131</v>
      </c>
      <c r="G753" s="216">
        <v>9</v>
      </c>
      <c r="H753" s="216">
        <v>3</v>
      </c>
      <c r="I753" s="216">
        <v>23368.799999999999</v>
      </c>
      <c r="J753" s="216">
        <v>1.28</v>
      </c>
    </row>
    <row r="754" spans="1:10" ht="18" customHeight="1">
      <c r="A754" s="227">
        <v>42625</v>
      </c>
      <c r="B754" s="214" t="s">
        <v>402</v>
      </c>
      <c r="C754" s="224">
        <v>300009290321</v>
      </c>
      <c r="D754" s="216" t="s">
        <v>194</v>
      </c>
      <c r="E754" s="216">
        <v>20</v>
      </c>
      <c r="F754" s="216">
        <v>2678</v>
      </c>
      <c r="G754" s="216">
        <v>20</v>
      </c>
      <c r="H754" s="216">
        <v>10</v>
      </c>
      <c r="I754" s="216">
        <v>53086.400000000001</v>
      </c>
      <c r="J754" s="216">
        <v>1.88</v>
      </c>
    </row>
    <row r="755" spans="1:10" ht="18" customHeight="1">
      <c r="A755" s="227">
        <v>42626</v>
      </c>
      <c r="B755" s="214" t="s">
        <v>401</v>
      </c>
      <c r="C755" s="224">
        <v>300008839381</v>
      </c>
      <c r="D755" s="216" t="s">
        <v>190</v>
      </c>
      <c r="E755" s="216">
        <v>38</v>
      </c>
      <c r="F755" s="216">
        <v>6250</v>
      </c>
      <c r="G755" s="216">
        <v>38</v>
      </c>
      <c r="H755" s="216">
        <v>16</v>
      </c>
      <c r="I755" s="216">
        <v>90787.9</v>
      </c>
      <c r="J755" s="216">
        <v>1.76</v>
      </c>
    </row>
    <row r="756" spans="1:10" ht="18" customHeight="1">
      <c r="A756" s="227">
        <v>42626</v>
      </c>
      <c r="B756" s="214" t="s">
        <v>401</v>
      </c>
      <c r="C756" s="224">
        <v>300008244937</v>
      </c>
      <c r="D756" s="216" t="s">
        <v>272</v>
      </c>
      <c r="E756" s="216">
        <v>42</v>
      </c>
      <c r="F756" s="216">
        <v>4347</v>
      </c>
      <c r="G756" s="216">
        <v>42</v>
      </c>
      <c r="H756" s="216">
        <v>27</v>
      </c>
      <c r="I756" s="216">
        <v>68825.88</v>
      </c>
      <c r="J756" s="216">
        <v>3.92</v>
      </c>
    </row>
    <row r="757" spans="1:10" ht="18" customHeight="1">
      <c r="A757" s="227">
        <v>42626</v>
      </c>
      <c r="B757" s="214" t="s">
        <v>401</v>
      </c>
      <c r="C757" s="224">
        <v>300008579657</v>
      </c>
      <c r="D757" s="216" t="s">
        <v>188</v>
      </c>
      <c r="E757" s="216">
        <v>38</v>
      </c>
      <c r="F757" s="216">
        <v>3832</v>
      </c>
      <c r="G757" s="216">
        <v>38</v>
      </c>
      <c r="H757" s="216">
        <v>13</v>
      </c>
      <c r="I757" s="216">
        <v>55559.03</v>
      </c>
      <c r="J757" s="216">
        <v>2.34</v>
      </c>
    </row>
    <row r="758" spans="1:10" ht="18" customHeight="1">
      <c r="A758" s="227">
        <v>42626</v>
      </c>
      <c r="B758" s="214" t="s">
        <v>401</v>
      </c>
      <c r="C758" s="224">
        <v>300009003496</v>
      </c>
      <c r="D758" s="216" t="s">
        <v>240</v>
      </c>
      <c r="E758" s="216">
        <v>41</v>
      </c>
      <c r="F758" s="216">
        <v>3410</v>
      </c>
      <c r="G758" s="216">
        <v>41</v>
      </c>
      <c r="H758" s="216">
        <v>16</v>
      </c>
      <c r="I758" s="216">
        <v>50575.73</v>
      </c>
      <c r="J758" s="216">
        <v>3.16</v>
      </c>
    </row>
    <row r="759" spans="1:10" ht="18" customHeight="1">
      <c r="A759" s="227">
        <v>42626</v>
      </c>
      <c r="B759" s="214" t="s">
        <v>401</v>
      </c>
      <c r="C759" s="224">
        <v>300009235971</v>
      </c>
      <c r="D759" s="216" t="s">
        <v>241</v>
      </c>
      <c r="E759" s="216">
        <v>15</v>
      </c>
      <c r="F759" s="216">
        <v>1823</v>
      </c>
      <c r="G759" s="216">
        <v>15</v>
      </c>
      <c r="H759" s="216">
        <v>10</v>
      </c>
      <c r="I759" s="216">
        <v>34394.5</v>
      </c>
      <c r="J759" s="216">
        <v>2.91</v>
      </c>
    </row>
    <row r="760" spans="1:10" ht="18" customHeight="1">
      <c r="A760" s="227">
        <v>42626</v>
      </c>
      <c r="B760" s="214" t="s">
        <v>401</v>
      </c>
      <c r="C760" s="224">
        <v>300009000071</v>
      </c>
      <c r="D760" s="216" t="s">
        <v>192</v>
      </c>
      <c r="E760" s="216">
        <v>12</v>
      </c>
      <c r="F760" s="216">
        <v>1787</v>
      </c>
      <c r="G760" s="216">
        <v>12</v>
      </c>
      <c r="H760" s="216">
        <v>5</v>
      </c>
      <c r="I760" s="216">
        <v>24622.11</v>
      </c>
      <c r="J760" s="216">
        <v>2.0299999999999998</v>
      </c>
    </row>
    <row r="761" spans="1:10" ht="18" customHeight="1">
      <c r="A761" s="227">
        <v>42626</v>
      </c>
      <c r="B761" s="214" t="s">
        <v>401</v>
      </c>
      <c r="C761" s="224">
        <v>300008875665</v>
      </c>
      <c r="D761" s="216" t="s">
        <v>189</v>
      </c>
      <c r="E761" s="216">
        <v>9</v>
      </c>
      <c r="F761" s="216">
        <v>1471</v>
      </c>
      <c r="G761" s="216">
        <v>9</v>
      </c>
      <c r="H761" s="216">
        <v>3</v>
      </c>
      <c r="I761" s="216">
        <v>28165.64</v>
      </c>
      <c r="J761" s="216">
        <v>1.07</v>
      </c>
    </row>
    <row r="762" spans="1:10" ht="18" customHeight="1">
      <c r="A762" s="227">
        <v>42626</v>
      </c>
      <c r="B762" s="214" t="s">
        <v>401</v>
      </c>
      <c r="C762" s="224">
        <v>300009235974</v>
      </c>
      <c r="D762" s="216" t="s">
        <v>187</v>
      </c>
      <c r="E762" s="216">
        <v>15</v>
      </c>
      <c r="F762" s="216">
        <v>1432</v>
      </c>
      <c r="G762" s="216">
        <v>15</v>
      </c>
      <c r="H762" s="216">
        <v>7</v>
      </c>
      <c r="I762" s="216">
        <v>27481.599999999999</v>
      </c>
      <c r="J762" s="216">
        <v>2.5499999999999998</v>
      </c>
    </row>
    <row r="763" spans="1:10" ht="18" customHeight="1">
      <c r="A763" s="227">
        <v>42627</v>
      </c>
      <c r="B763" s="214" t="s">
        <v>401</v>
      </c>
      <c r="C763" s="224">
        <v>300008839381</v>
      </c>
      <c r="D763" s="216" t="s">
        <v>190</v>
      </c>
      <c r="E763" s="216">
        <v>38</v>
      </c>
      <c r="F763" s="216">
        <v>6250</v>
      </c>
      <c r="G763" s="216">
        <v>38</v>
      </c>
      <c r="H763" s="216">
        <v>16</v>
      </c>
      <c r="I763" s="216">
        <v>90787.9</v>
      </c>
      <c r="J763" s="216">
        <v>1.76</v>
      </c>
    </row>
    <row r="764" spans="1:10" ht="18" customHeight="1">
      <c r="A764" s="227">
        <v>42627</v>
      </c>
      <c r="B764" s="214" t="s">
        <v>401</v>
      </c>
      <c r="C764" s="224">
        <v>300008579657</v>
      </c>
      <c r="D764" s="216" t="s">
        <v>188</v>
      </c>
      <c r="E764" s="216">
        <v>38</v>
      </c>
      <c r="F764" s="216">
        <v>3832</v>
      </c>
      <c r="G764" s="216">
        <v>38</v>
      </c>
      <c r="H764" s="216">
        <v>13</v>
      </c>
      <c r="I764" s="216">
        <v>55559.03</v>
      </c>
      <c r="J764" s="216">
        <v>2.34</v>
      </c>
    </row>
    <row r="765" spans="1:10" ht="18" customHeight="1">
      <c r="A765" s="227">
        <v>42627</v>
      </c>
      <c r="B765" s="214" t="s">
        <v>401</v>
      </c>
      <c r="C765" s="224">
        <v>300009003496</v>
      </c>
      <c r="D765" s="216" t="s">
        <v>240</v>
      </c>
      <c r="E765" s="216">
        <v>41</v>
      </c>
      <c r="F765" s="216">
        <v>3410</v>
      </c>
      <c r="G765" s="216">
        <v>41</v>
      </c>
      <c r="H765" s="216">
        <v>16</v>
      </c>
      <c r="I765" s="216">
        <v>50575.73</v>
      </c>
      <c r="J765" s="216">
        <v>3.16</v>
      </c>
    </row>
    <row r="766" spans="1:10" ht="18" customHeight="1">
      <c r="A766" s="227">
        <v>42627</v>
      </c>
      <c r="B766" s="214" t="s">
        <v>401</v>
      </c>
      <c r="C766" s="224">
        <v>300009000071</v>
      </c>
      <c r="D766" s="216" t="s">
        <v>192</v>
      </c>
      <c r="E766" s="216">
        <v>13</v>
      </c>
      <c r="F766" s="216">
        <v>2226</v>
      </c>
      <c r="G766" s="216">
        <v>13</v>
      </c>
      <c r="H766" s="216">
        <v>5</v>
      </c>
      <c r="I766" s="216">
        <v>30122.22</v>
      </c>
      <c r="J766" s="216">
        <v>1.66</v>
      </c>
    </row>
    <row r="767" spans="1:10" ht="18" customHeight="1">
      <c r="A767" s="227">
        <v>42627</v>
      </c>
      <c r="B767" s="214" t="s">
        <v>401</v>
      </c>
      <c r="C767" s="224">
        <v>300009235971</v>
      </c>
      <c r="D767" s="216" t="s">
        <v>241</v>
      </c>
      <c r="E767" s="216">
        <v>20</v>
      </c>
      <c r="F767" s="216">
        <v>2097</v>
      </c>
      <c r="G767" s="216">
        <v>20</v>
      </c>
      <c r="H767" s="216">
        <v>14</v>
      </c>
      <c r="I767" s="216">
        <v>38099.4</v>
      </c>
      <c r="J767" s="216">
        <v>3.67</v>
      </c>
    </row>
    <row r="768" spans="1:10" ht="18" customHeight="1">
      <c r="A768" s="227">
        <v>42627</v>
      </c>
      <c r="B768" s="214" t="s">
        <v>401</v>
      </c>
      <c r="C768" s="224">
        <v>300008875665</v>
      </c>
      <c r="D768" s="216" t="s">
        <v>189</v>
      </c>
      <c r="E768" s="216">
        <v>12</v>
      </c>
      <c r="F768" s="216">
        <v>1932</v>
      </c>
      <c r="G768" s="216">
        <v>12</v>
      </c>
      <c r="H768" s="216">
        <v>4</v>
      </c>
      <c r="I768" s="216">
        <v>34552.68</v>
      </c>
      <c r="J768" s="216">
        <v>1.1599999999999999</v>
      </c>
    </row>
    <row r="769" spans="1:10" ht="18" customHeight="1">
      <c r="A769" s="227">
        <v>42627</v>
      </c>
      <c r="B769" s="214" t="s">
        <v>401</v>
      </c>
      <c r="C769" s="224">
        <v>300009235974</v>
      </c>
      <c r="D769" s="216" t="s">
        <v>187</v>
      </c>
      <c r="E769" s="216">
        <v>15</v>
      </c>
      <c r="F769" s="216">
        <v>1843</v>
      </c>
      <c r="G769" s="216">
        <v>15</v>
      </c>
      <c r="H769" s="216">
        <v>7</v>
      </c>
      <c r="I769" s="216">
        <v>33659</v>
      </c>
      <c r="J769" s="216">
        <v>2.08</v>
      </c>
    </row>
    <row r="770" spans="1:10" ht="18" customHeight="1">
      <c r="A770" s="227">
        <v>42627</v>
      </c>
      <c r="B770" s="214" t="s">
        <v>401</v>
      </c>
      <c r="C770" s="224">
        <v>300008244937</v>
      </c>
      <c r="D770" s="216" t="s">
        <v>272</v>
      </c>
      <c r="E770" s="216">
        <v>1</v>
      </c>
      <c r="F770" s="216" t="s">
        <v>242</v>
      </c>
      <c r="G770" s="216">
        <v>1</v>
      </c>
      <c r="H770" s="216">
        <v>0</v>
      </c>
      <c r="I770" s="216">
        <v>0</v>
      </c>
      <c r="J770" s="216">
        <v>0</v>
      </c>
    </row>
    <row r="771" spans="1:10" ht="18" customHeight="1">
      <c r="A771" s="227">
        <v>42628</v>
      </c>
      <c r="B771" s="214" t="s">
        <v>401</v>
      </c>
      <c r="C771" s="224">
        <v>300008839381</v>
      </c>
      <c r="D771" s="216" t="s">
        <v>190</v>
      </c>
      <c r="E771" s="216">
        <v>39</v>
      </c>
      <c r="F771" s="216">
        <v>6250</v>
      </c>
      <c r="G771" s="216">
        <v>39</v>
      </c>
      <c r="H771" s="216">
        <v>17</v>
      </c>
      <c r="I771" s="216">
        <v>90787.9</v>
      </c>
      <c r="J771" s="216">
        <v>1.87</v>
      </c>
    </row>
    <row r="772" spans="1:10" ht="18" customHeight="1">
      <c r="A772" s="227">
        <v>42628</v>
      </c>
      <c r="B772" s="214" t="s">
        <v>401</v>
      </c>
      <c r="C772" s="224">
        <v>300008579657</v>
      </c>
      <c r="D772" s="216" t="s">
        <v>188</v>
      </c>
      <c r="E772" s="216">
        <v>38</v>
      </c>
      <c r="F772" s="216">
        <v>3832</v>
      </c>
      <c r="G772" s="216">
        <v>38</v>
      </c>
      <c r="H772" s="216">
        <v>13</v>
      </c>
      <c r="I772" s="216">
        <v>55559.03</v>
      </c>
      <c r="J772" s="216">
        <v>2.34</v>
      </c>
    </row>
    <row r="773" spans="1:10" ht="18" customHeight="1">
      <c r="A773" s="227">
        <v>42628</v>
      </c>
      <c r="B773" s="214" t="s">
        <v>401</v>
      </c>
      <c r="C773" s="224">
        <v>300009003496</v>
      </c>
      <c r="D773" s="216" t="s">
        <v>240</v>
      </c>
      <c r="E773" s="216">
        <v>41</v>
      </c>
      <c r="F773" s="216">
        <v>3410</v>
      </c>
      <c r="G773" s="216">
        <v>41</v>
      </c>
      <c r="H773" s="216">
        <v>16</v>
      </c>
      <c r="I773" s="216">
        <v>50575.73</v>
      </c>
      <c r="J773" s="216">
        <v>3.16</v>
      </c>
    </row>
    <row r="774" spans="1:10" ht="18" customHeight="1">
      <c r="A774" s="227">
        <v>42628</v>
      </c>
      <c r="B774" s="214" t="s">
        <v>401</v>
      </c>
      <c r="C774" s="224">
        <v>300009000071</v>
      </c>
      <c r="D774" s="216" t="s">
        <v>192</v>
      </c>
      <c r="E774" s="216">
        <v>14</v>
      </c>
      <c r="F774" s="216">
        <v>2913</v>
      </c>
      <c r="G774" s="216">
        <v>14</v>
      </c>
      <c r="H774" s="216">
        <v>6</v>
      </c>
      <c r="I774" s="216">
        <v>39135.040000000001</v>
      </c>
      <c r="J774" s="216">
        <v>1.53</v>
      </c>
    </row>
    <row r="775" spans="1:10" ht="18" customHeight="1">
      <c r="A775" s="227">
        <v>42628</v>
      </c>
      <c r="B775" s="214" t="s">
        <v>401</v>
      </c>
      <c r="C775" s="224">
        <v>300009235971</v>
      </c>
      <c r="D775" s="216" t="s">
        <v>241</v>
      </c>
      <c r="E775" s="216">
        <v>22</v>
      </c>
      <c r="F775" s="216">
        <v>2558</v>
      </c>
      <c r="G775" s="216">
        <v>22</v>
      </c>
      <c r="H775" s="216">
        <v>14</v>
      </c>
      <c r="I775" s="216">
        <v>44272.9</v>
      </c>
      <c r="J775" s="216">
        <v>3.16</v>
      </c>
    </row>
    <row r="776" spans="1:10" ht="18" customHeight="1">
      <c r="A776" s="227">
        <v>42628</v>
      </c>
      <c r="B776" s="214" t="s">
        <v>401</v>
      </c>
      <c r="C776" s="224">
        <v>300008875665</v>
      </c>
      <c r="D776" s="216" t="s">
        <v>189</v>
      </c>
      <c r="E776" s="216">
        <v>12</v>
      </c>
      <c r="F776" s="216">
        <v>2418</v>
      </c>
      <c r="G776" s="216">
        <v>12</v>
      </c>
      <c r="H776" s="216">
        <v>4</v>
      </c>
      <c r="I776" s="216">
        <v>41251.25</v>
      </c>
      <c r="J776" s="216">
        <v>0.97</v>
      </c>
    </row>
    <row r="777" spans="1:10" ht="18" customHeight="1">
      <c r="A777" s="227">
        <v>42628</v>
      </c>
      <c r="B777" s="214" t="s">
        <v>401</v>
      </c>
      <c r="C777" s="224">
        <v>300009235974</v>
      </c>
      <c r="D777" s="216" t="s">
        <v>187</v>
      </c>
      <c r="E777" s="216">
        <v>15</v>
      </c>
      <c r="F777" s="216">
        <v>2304</v>
      </c>
      <c r="G777" s="216">
        <v>15</v>
      </c>
      <c r="H777" s="216">
        <v>7</v>
      </c>
      <c r="I777" s="216">
        <v>40732.699999999997</v>
      </c>
      <c r="J777" s="216">
        <v>1.72</v>
      </c>
    </row>
    <row r="778" spans="1:10" ht="18" customHeight="1">
      <c r="A778" s="227">
        <v>42628</v>
      </c>
      <c r="B778" s="214" t="s">
        <v>401</v>
      </c>
      <c r="C778" s="224">
        <v>300008244937</v>
      </c>
      <c r="D778" s="216" t="s">
        <v>272</v>
      </c>
      <c r="E778" s="216">
        <v>1</v>
      </c>
      <c r="F778" s="216">
        <v>222</v>
      </c>
      <c r="G778" s="216">
        <v>1</v>
      </c>
      <c r="H778" s="216">
        <v>0</v>
      </c>
      <c r="I778" s="216">
        <v>2927.73</v>
      </c>
      <c r="J778" s="216">
        <v>0</v>
      </c>
    </row>
    <row r="779" spans="1:10" ht="18" customHeight="1">
      <c r="A779" s="227">
        <v>42626</v>
      </c>
      <c r="B779" s="214" t="s">
        <v>403</v>
      </c>
      <c r="C779" s="224">
        <v>300009358277</v>
      </c>
      <c r="D779" s="216" t="s">
        <v>266</v>
      </c>
      <c r="E779" s="216">
        <v>163</v>
      </c>
      <c r="F779" s="216">
        <v>20139</v>
      </c>
      <c r="G779" s="216">
        <v>80.94</v>
      </c>
      <c r="H779" s="216">
        <v>90</v>
      </c>
      <c r="I779" s="216">
        <v>404345.8</v>
      </c>
      <c r="J779" s="216">
        <v>2.23</v>
      </c>
    </row>
    <row r="780" spans="1:10" ht="18" customHeight="1">
      <c r="A780" s="227">
        <v>42627</v>
      </c>
      <c r="B780" s="214" t="s">
        <v>403</v>
      </c>
      <c r="C780" s="224">
        <v>300009358277</v>
      </c>
      <c r="D780" s="216" t="s">
        <v>266</v>
      </c>
      <c r="E780" s="216">
        <v>163</v>
      </c>
      <c r="F780" s="216">
        <v>20815</v>
      </c>
      <c r="G780" s="216">
        <v>78.31</v>
      </c>
      <c r="H780" s="216">
        <v>88</v>
      </c>
      <c r="I780" s="216">
        <v>416827.4</v>
      </c>
      <c r="J780" s="216">
        <v>2.11</v>
      </c>
    </row>
    <row r="781" spans="1:10" ht="18" customHeight="1">
      <c r="A781" s="227">
        <v>42628</v>
      </c>
      <c r="B781" s="214" t="s">
        <v>403</v>
      </c>
      <c r="C781" s="224">
        <v>300009358277</v>
      </c>
      <c r="D781" s="216" t="s">
        <v>266</v>
      </c>
      <c r="E781" s="216">
        <v>167</v>
      </c>
      <c r="F781" s="216">
        <v>22104</v>
      </c>
      <c r="G781" s="216">
        <v>75.55</v>
      </c>
      <c r="H781" s="216">
        <v>92</v>
      </c>
      <c r="I781" s="216">
        <v>443776.8</v>
      </c>
      <c r="J781" s="216">
        <v>2.0699999999999998</v>
      </c>
    </row>
    <row r="782" spans="1:10" ht="18" customHeight="1">
      <c r="A782" s="227">
        <v>42626</v>
      </c>
      <c r="B782" s="214" t="s">
        <v>404</v>
      </c>
      <c r="C782" s="224">
        <v>300009192151</v>
      </c>
      <c r="D782" s="216" t="s">
        <v>230</v>
      </c>
      <c r="E782" s="216">
        <v>34</v>
      </c>
      <c r="F782" s="216">
        <v>4775</v>
      </c>
      <c r="G782" s="216">
        <v>34</v>
      </c>
      <c r="H782" s="216">
        <v>9</v>
      </c>
      <c r="I782" s="216">
        <v>64401.1</v>
      </c>
      <c r="J782" s="216">
        <v>1.4</v>
      </c>
    </row>
    <row r="783" spans="1:10" ht="18" customHeight="1">
      <c r="A783" s="227">
        <v>42627</v>
      </c>
      <c r="B783" s="214" t="s">
        <v>404</v>
      </c>
      <c r="C783" s="224">
        <v>300009192151</v>
      </c>
      <c r="D783" s="216" t="s">
        <v>230</v>
      </c>
      <c r="E783" s="216">
        <v>34</v>
      </c>
      <c r="F783" s="216">
        <v>4775</v>
      </c>
      <c r="G783" s="216">
        <v>34</v>
      </c>
      <c r="H783" s="216">
        <v>9</v>
      </c>
      <c r="I783" s="216">
        <v>64401.1</v>
      </c>
      <c r="J783" s="216">
        <v>1.4</v>
      </c>
    </row>
    <row r="784" spans="1:10" ht="18" customHeight="1">
      <c r="A784" s="227">
        <v>42628</v>
      </c>
      <c r="B784" s="214" t="s">
        <v>404</v>
      </c>
      <c r="C784" s="224">
        <v>300009192151</v>
      </c>
      <c r="D784" s="216" t="s">
        <v>230</v>
      </c>
      <c r="E784" s="216">
        <v>34</v>
      </c>
      <c r="F784" s="216">
        <v>4775</v>
      </c>
      <c r="G784" s="216">
        <v>34</v>
      </c>
      <c r="H784" s="216">
        <v>9</v>
      </c>
      <c r="I784" s="216">
        <v>64401.1</v>
      </c>
      <c r="J784" s="216">
        <v>1.4</v>
      </c>
    </row>
    <row r="785" spans="1:10" ht="18" customHeight="1">
      <c r="A785" s="227">
        <v>42626</v>
      </c>
      <c r="B785" s="214" t="s">
        <v>405</v>
      </c>
      <c r="C785" s="224">
        <v>300008823388</v>
      </c>
      <c r="D785" s="216" t="s">
        <v>231</v>
      </c>
      <c r="E785" s="216">
        <v>4</v>
      </c>
      <c r="F785" s="216">
        <v>226</v>
      </c>
      <c r="G785" s="216">
        <v>4</v>
      </c>
      <c r="H785" s="216">
        <v>1</v>
      </c>
      <c r="I785" s="216">
        <v>3985.27</v>
      </c>
      <c r="J785" s="216">
        <v>1</v>
      </c>
    </row>
    <row r="786" spans="1:10" ht="18" customHeight="1">
      <c r="A786" s="227">
        <v>42627</v>
      </c>
      <c r="B786" s="214" t="s">
        <v>405</v>
      </c>
      <c r="C786" s="224">
        <v>300008823388</v>
      </c>
      <c r="D786" s="216" t="s">
        <v>231</v>
      </c>
      <c r="E786" s="216">
        <v>4</v>
      </c>
      <c r="F786" s="216">
        <v>226</v>
      </c>
      <c r="G786" s="216">
        <v>4</v>
      </c>
      <c r="H786" s="216">
        <v>1</v>
      </c>
      <c r="I786" s="216">
        <v>3985.27</v>
      </c>
      <c r="J786" s="216">
        <v>1</v>
      </c>
    </row>
    <row r="787" spans="1:10" ht="18" customHeight="1">
      <c r="A787" s="227">
        <v>42628</v>
      </c>
      <c r="B787" s="214" t="s">
        <v>405</v>
      </c>
      <c r="C787" s="224">
        <v>300008823388</v>
      </c>
      <c r="D787" s="216" t="s">
        <v>231</v>
      </c>
      <c r="E787" s="216">
        <v>4</v>
      </c>
      <c r="F787" s="216">
        <v>226</v>
      </c>
      <c r="G787" s="216">
        <v>4</v>
      </c>
      <c r="H787" s="216">
        <v>1</v>
      </c>
      <c r="I787" s="216">
        <v>3985.27</v>
      </c>
      <c r="J787" s="216">
        <v>1</v>
      </c>
    </row>
    <row r="788" spans="1:10" ht="18" customHeight="1">
      <c r="A788" s="227">
        <v>42626</v>
      </c>
      <c r="B788" s="214" t="s">
        <v>406</v>
      </c>
      <c r="C788" s="224">
        <v>300009480238</v>
      </c>
      <c r="D788" s="216" t="s">
        <v>263</v>
      </c>
      <c r="E788" s="216">
        <v>3</v>
      </c>
      <c r="F788" s="216">
        <v>633</v>
      </c>
      <c r="G788" s="216">
        <v>3</v>
      </c>
      <c r="H788" s="216">
        <v>1</v>
      </c>
      <c r="I788" s="216">
        <v>8594.7000000000007</v>
      </c>
      <c r="J788" s="216">
        <v>1</v>
      </c>
    </row>
    <row r="789" spans="1:10" ht="18" customHeight="1">
      <c r="A789" s="227">
        <v>42627</v>
      </c>
      <c r="B789" s="214" t="s">
        <v>406</v>
      </c>
      <c r="C789" s="224">
        <v>300009480238</v>
      </c>
      <c r="D789" s="216" t="s">
        <v>263</v>
      </c>
      <c r="E789" s="216">
        <v>6</v>
      </c>
      <c r="F789" s="216">
        <v>990</v>
      </c>
      <c r="G789" s="216">
        <v>6</v>
      </c>
      <c r="H789" s="216">
        <v>4</v>
      </c>
      <c r="I789" s="216">
        <v>13594.7</v>
      </c>
      <c r="J789" s="216">
        <v>2.94</v>
      </c>
    </row>
    <row r="790" spans="1:10" ht="18" customHeight="1">
      <c r="A790" s="227">
        <v>42628</v>
      </c>
      <c r="B790" s="214" t="s">
        <v>406</v>
      </c>
      <c r="C790" s="224">
        <v>300009480238</v>
      </c>
      <c r="D790" s="216" t="s">
        <v>263</v>
      </c>
      <c r="E790" s="216">
        <v>10</v>
      </c>
      <c r="F790" s="216">
        <v>1389</v>
      </c>
      <c r="G790" s="216">
        <v>10</v>
      </c>
      <c r="H790" s="216">
        <v>5</v>
      </c>
      <c r="I790" s="216">
        <v>18515.3</v>
      </c>
      <c r="J790" s="216">
        <v>2.7</v>
      </c>
    </row>
    <row r="791" spans="1:10" ht="18" customHeight="1">
      <c r="A791" s="227">
        <v>42626</v>
      </c>
      <c r="B791" s="214" t="s">
        <v>407</v>
      </c>
      <c r="C791" s="245">
        <v>300009185572</v>
      </c>
      <c r="D791" s="238" t="s">
        <v>237</v>
      </c>
      <c r="E791" s="238">
        <v>32</v>
      </c>
      <c r="F791" s="238">
        <v>6283</v>
      </c>
      <c r="G791" s="238">
        <v>32</v>
      </c>
      <c r="H791" s="241">
        <v>12</v>
      </c>
      <c r="I791" s="238">
        <v>90460.800000000003</v>
      </c>
      <c r="J791" s="238">
        <v>1.33</v>
      </c>
    </row>
    <row r="792" spans="1:10" ht="18" customHeight="1">
      <c r="A792" s="227">
        <v>42626</v>
      </c>
      <c r="B792" s="214" t="s">
        <v>407</v>
      </c>
      <c r="C792" s="245">
        <v>300009184067</v>
      </c>
      <c r="D792" s="238" t="s">
        <v>233</v>
      </c>
      <c r="E792" s="238">
        <v>25</v>
      </c>
      <c r="F792" s="238">
        <v>5216</v>
      </c>
      <c r="G792" s="238">
        <v>25</v>
      </c>
      <c r="H792" s="241">
        <v>7</v>
      </c>
      <c r="I792" s="238">
        <v>71548</v>
      </c>
      <c r="J792" s="238">
        <v>0.98</v>
      </c>
    </row>
    <row r="793" spans="1:10" ht="18" customHeight="1">
      <c r="A793" s="227">
        <v>42626</v>
      </c>
      <c r="B793" s="214" t="s">
        <v>407</v>
      </c>
      <c r="C793" s="245">
        <v>300009406202</v>
      </c>
      <c r="D793" s="238" t="s">
        <v>232</v>
      </c>
      <c r="E793" s="238">
        <v>38</v>
      </c>
      <c r="F793" s="238">
        <v>4946</v>
      </c>
      <c r="G793" s="238">
        <v>38</v>
      </c>
      <c r="H793" s="241">
        <v>15</v>
      </c>
      <c r="I793" s="238">
        <v>71609.899999999994</v>
      </c>
      <c r="J793" s="238">
        <v>2.09</v>
      </c>
    </row>
    <row r="794" spans="1:10" ht="18" customHeight="1">
      <c r="A794" s="227">
        <v>42626</v>
      </c>
      <c r="B794" s="214" t="s">
        <v>407</v>
      </c>
      <c r="C794" s="245">
        <v>300009374212</v>
      </c>
      <c r="D794" s="238" t="s">
        <v>235</v>
      </c>
      <c r="E794" s="238">
        <v>31</v>
      </c>
      <c r="F794" s="238">
        <v>3267</v>
      </c>
      <c r="G794" s="238">
        <v>31</v>
      </c>
      <c r="H794" s="241">
        <v>21</v>
      </c>
      <c r="I794" s="238">
        <v>76538.899999999994</v>
      </c>
      <c r="J794" s="238">
        <v>2.74</v>
      </c>
    </row>
    <row r="795" spans="1:10" ht="18" customHeight="1">
      <c r="A795" s="227">
        <v>42626</v>
      </c>
      <c r="B795" s="214" t="s">
        <v>407</v>
      </c>
      <c r="C795" s="245">
        <v>300009406201</v>
      </c>
      <c r="D795" s="238" t="s">
        <v>234</v>
      </c>
      <c r="E795" s="238">
        <v>14</v>
      </c>
      <c r="F795" s="238">
        <v>3049</v>
      </c>
      <c r="G795" s="238">
        <v>14</v>
      </c>
      <c r="H795" s="241">
        <v>6</v>
      </c>
      <c r="I795" s="238">
        <v>42132.6</v>
      </c>
      <c r="J795" s="238">
        <v>1.42</v>
      </c>
    </row>
    <row r="796" spans="1:10" ht="18" customHeight="1">
      <c r="A796" s="227">
        <v>42626</v>
      </c>
      <c r="B796" s="214" t="s">
        <v>407</v>
      </c>
      <c r="C796" s="245">
        <v>300009374215</v>
      </c>
      <c r="D796" s="238" t="s">
        <v>236</v>
      </c>
      <c r="E796" s="238">
        <v>7</v>
      </c>
      <c r="F796" s="238">
        <v>1224</v>
      </c>
      <c r="G796" s="238">
        <v>7</v>
      </c>
      <c r="H796" s="241">
        <v>4</v>
      </c>
      <c r="I796" s="238">
        <v>22722.6</v>
      </c>
      <c r="J796" s="238">
        <v>1.76</v>
      </c>
    </row>
    <row r="797" spans="1:10" ht="18" customHeight="1">
      <c r="A797" s="227">
        <v>42627</v>
      </c>
      <c r="B797" s="214" t="s">
        <v>407</v>
      </c>
      <c r="C797" s="224">
        <v>300009185572</v>
      </c>
      <c r="D797" s="216" t="s">
        <v>237</v>
      </c>
      <c r="E797" s="216">
        <v>32</v>
      </c>
      <c r="F797" s="216">
        <v>6338</v>
      </c>
      <c r="G797" s="216">
        <v>32</v>
      </c>
      <c r="H797" s="216">
        <v>13</v>
      </c>
      <c r="I797" s="216">
        <v>91332.3</v>
      </c>
      <c r="J797" s="216">
        <v>1.42</v>
      </c>
    </row>
    <row r="798" spans="1:10" ht="18" customHeight="1">
      <c r="A798" s="227">
        <v>42627</v>
      </c>
      <c r="B798" s="214" t="s">
        <v>407</v>
      </c>
      <c r="C798" s="224">
        <v>300009184067</v>
      </c>
      <c r="D798" s="216" t="s">
        <v>233</v>
      </c>
      <c r="E798" s="216">
        <v>25</v>
      </c>
      <c r="F798" s="216">
        <v>5580</v>
      </c>
      <c r="G798" s="216">
        <v>25</v>
      </c>
      <c r="H798" s="216">
        <v>7</v>
      </c>
      <c r="I798" s="216">
        <v>77009.8</v>
      </c>
      <c r="J798" s="216">
        <v>0.91</v>
      </c>
    </row>
    <row r="799" spans="1:10" ht="18" customHeight="1">
      <c r="A799" s="227">
        <v>42627</v>
      </c>
      <c r="B799" s="214" t="s">
        <v>407</v>
      </c>
      <c r="C799" s="224">
        <v>300009406202</v>
      </c>
      <c r="D799" s="216" t="s">
        <v>232</v>
      </c>
      <c r="E799" s="216">
        <v>38</v>
      </c>
      <c r="F799" s="216">
        <v>4946</v>
      </c>
      <c r="G799" s="216">
        <v>38</v>
      </c>
      <c r="H799" s="216">
        <v>15</v>
      </c>
      <c r="I799" s="216">
        <v>71609.899999999994</v>
      </c>
      <c r="J799" s="216">
        <v>2.09</v>
      </c>
    </row>
    <row r="800" spans="1:10" ht="18" customHeight="1">
      <c r="A800" s="227">
        <v>42627</v>
      </c>
      <c r="B800" s="214" t="s">
        <v>407</v>
      </c>
      <c r="C800" s="224">
        <v>300009406201</v>
      </c>
      <c r="D800" s="216" t="s">
        <v>234</v>
      </c>
      <c r="E800" s="216">
        <v>14</v>
      </c>
      <c r="F800" s="216">
        <v>3407</v>
      </c>
      <c r="G800" s="216">
        <v>14</v>
      </c>
      <c r="H800" s="216">
        <v>6</v>
      </c>
      <c r="I800" s="216">
        <v>46686.2</v>
      </c>
      <c r="J800" s="216">
        <v>1.29</v>
      </c>
    </row>
    <row r="801" spans="1:10" ht="18" customHeight="1">
      <c r="A801" s="227">
        <v>42627</v>
      </c>
      <c r="B801" s="214" t="s">
        <v>407</v>
      </c>
      <c r="C801" s="224">
        <v>300009374215</v>
      </c>
      <c r="D801" s="216" t="s">
        <v>236</v>
      </c>
      <c r="E801" s="216">
        <v>9</v>
      </c>
      <c r="F801" s="216">
        <v>1869</v>
      </c>
      <c r="G801" s="216">
        <v>9</v>
      </c>
      <c r="H801" s="216">
        <v>4</v>
      </c>
      <c r="I801" s="216">
        <v>34280.400000000001</v>
      </c>
      <c r="J801" s="216">
        <v>1.17</v>
      </c>
    </row>
    <row r="802" spans="1:10" ht="18" customHeight="1">
      <c r="A802" s="227">
        <v>42628</v>
      </c>
      <c r="B802" s="214" t="s">
        <v>407</v>
      </c>
      <c r="C802" s="224">
        <v>300009185572</v>
      </c>
      <c r="D802" s="216" t="s">
        <v>237</v>
      </c>
      <c r="E802" s="216">
        <v>34</v>
      </c>
      <c r="F802" s="216">
        <v>6338</v>
      </c>
      <c r="G802" s="216">
        <v>34</v>
      </c>
      <c r="H802" s="216">
        <v>13</v>
      </c>
      <c r="I802" s="216">
        <v>91332.3</v>
      </c>
      <c r="J802" s="216">
        <v>1.42</v>
      </c>
    </row>
    <row r="803" spans="1:10" ht="18" customHeight="1">
      <c r="A803" s="227">
        <v>42628</v>
      </c>
      <c r="B803" s="214" t="s">
        <v>407</v>
      </c>
      <c r="C803" s="224">
        <v>300009184067</v>
      </c>
      <c r="D803" s="216" t="s">
        <v>233</v>
      </c>
      <c r="E803" s="216">
        <v>31</v>
      </c>
      <c r="F803" s="216">
        <v>6207</v>
      </c>
      <c r="G803" s="216">
        <v>31</v>
      </c>
      <c r="H803" s="216">
        <v>8</v>
      </c>
      <c r="I803" s="216">
        <v>85725.2</v>
      </c>
      <c r="J803" s="216">
        <v>0.93</v>
      </c>
    </row>
    <row r="804" spans="1:10" ht="18" customHeight="1">
      <c r="A804" s="227">
        <v>42628</v>
      </c>
      <c r="B804" s="214" t="s">
        <v>407</v>
      </c>
      <c r="C804" s="224">
        <v>300009406202</v>
      </c>
      <c r="D804" s="216" t="s">
        <v>232</v>
      </c>
      <c r="E804" s="216">
        <v>38</v>
      </c>
      <c r="F804" s="216">
        <v>4946</v>
      </c>
      <c r="G804" s="216">
        <v>38</v>
      </c>
      <c r="H804" s="216">
        <v>15</v>
      </c>
      <c r="I804" s="216">
        <v>71609.899999999994</v>
      </c>
      <c r="J804" s="216">
        <v>2.09</v>
      </c>
    </row>
    <row r="805" spans="1:10" ht="18" customHeight="1">
      <c r="A805" s="227">
        <v>42628</v>
      </c>
      <c r="B805" s="214" t="s">
        <v>407</v>
      </c>
      <c r="C805" s="224">
        <v>300009406201</v>
      </c>
      <c r="D805" s="216" t="s">
        <v>234</v>
      </c>
      <c r="E805" s="216">
        <v>18</v>
      </c>
      <c r="F805" s="216">
        <v>4057</v>
      </c>
      <c r="G805" s="216">
        <v>18</v>
      </c>
      <c r="H805" s="216">
        <v>6</v>
      </c>
      <c r="I805" s="216">
        <v>55766.400000000001</v>
      </c>
      <c r="J805" s="216">
        <v>1.08</v>
      </c>
    </row>
    <row r="806" spans="1:10" ht="18" customHeight="1">
      <c r="A806" s="227">
        <v>42628</v>
      </c>
      <c r="B806" s="214" t="s">
        <v>407</v>
      </c>
      <c r="C806" s="224">
        <v>300009374215</v>
      </c>
      <c r="D806" s="216" t="s">
        <v>236</v>
      </c>
      <c r="E806" s="216">
        <v>12</v>
      </c>
      <c r="F806" s="216">
        <v>2583</v>
      </c>
      <c r="G806" s="216">
        <v>12</v>
      </c>
      <c r="H806" s="216">
        <v>6</v>
      </c>
      <c r="I806" s="216">
        <v>48104.4</v>
      </c>
      <c r="J806" s="216">
        <v>1.25</v>
      </c>
    </row>
    <row r="807" spans="1:10" ht="18" customHeight="1">
      <c r="A807" s="227">
        <v>42626</v>
      </c>
      <c r="B807" s="214" t="s">
        <v>408</v>
      </c>
      <c r="C807" s="224">
        <v>300009290321</v>
      </c>
      <c r="D807" s="216" t="s">
        <v>194</v>
      </c>
      <c r="E807" s="216">
        <v>18</v>
      </c>
      <c r="F807" s="216">
        <v>2469</v>
      </c>
      <c r="G807" s="216">
        <v>18</v>
      </c>
      <c r="H807" s="216">
        <v>8</v>
      </c>
      <c r="I807" s="216">
        <v>48853.2</v>
      </c>
      <c r="J807" s="216">
        <v>1.64</v>
      </c>
    </row>
    <row r="808" spans="1:10" ht="18" customHeight="1">
      <c r="A808" s="227">
        <v>42627</v>
      </c>
      <c r="B808" s="214" t="s">
        <v>408</v>
      </c>
      <c r="C808" s="224">
        <v>300009290321</v>
      </c>
      <c r="D808" s="216" t="s">
        <v>194</v>
      </c>
      <c r="E808" s="216">
        <v>18</v>
      </c>
      <c r="F808" s="216">
        <v>2307</v>
      </c>
      <c r="G808" s="216">
        <v>18</v>
      </c>
      <c r="H808" s="216">
        <v>8</v>
      </c>
      <c r="I808" s="216">
        <v>45719.1</v>
      </c>
      <c r="J808" s="216">
        <v>1.75</v>
      </c>
    </row>
    <row r="809" spans="1:10" ht="18" customHeight="1">
      <c r="A809" s="227">
        <v>42628</v>
      </c>
      <c r="B809" s="214" t="s">
        <v>408</v>
      </c>
      <c r="C809" s="224">
        <v>300009290321</v>
      </c>
      <c r="D809" s="216" t="s">
        <v>194</v>
      </c>
      <c r="E809" s="216">
        <v>18</v>
      </c>
      <c r="F809" s="216">
        <v>2141</v>
      </c>
      <c r="G809" s="216">
        <v>18</v>
      </c>
      <c r="H809" s="216">
        <v>8</v>
      </c>
      <c r="I809" s="216">
        <v>42511.8</v>
      </c>
      <c r="J809" s="216">
        <v>1.88</v>
      </c>
    </row>
    <row r="810" spans="1:10" ht="18" customHeight="1">
      <c r="A810" s="227">
        <v>42629</v>
      </c>
      <c r="B810" s="214" t="s">
        <v>409</v>
      </c>
      <c r="C810" s="224">
        <v>300009358277</v>
      </c>
      <c r="D810" s="216" t="s">
        <v>266</v>
      </c>
      <c r="E810" s="216">
        <v>177</v>
      </c>
      <c r="F810" s="216">
        <v>23256</v>
      </c>
      <c r="G810" s="216">
        <v>76.11</v>
      </c>
      <c r="H810" s="216">
        <v>97</v>
      </c>
      <c r="I810" s="216">
        <v>473167.5</v>
      </c>
      <c r="J810" s="216">
        <v>2.0499999999999998</v>
      </c>
    </row>
    <row r="811" spans="1:10" ht="18" customHeight="1">
      <c r="A811" s="227">
        <v>42630</v>
      </c>
      <c r="B811" s="214" t="s">
        <v>409</v>
      </c>
      <c r="C811" s="224">
        <v>300009358277</v>
      </c>
      <c r="D811" s="216" t="s">
        <v>266</v>
      </c>
      <c r="E811" s="216">
        <v>188</v>
      </c>
      <c r="F811" s="216">
        <v>24065</v>
      </c>
      <c r="G811" s="216">
        <v>78.12</v>
      </c>
      <c r="H811" s="216">
        <v>101</v>
      </c>
      <c r="I811" s="216">
        <v>494146.7</v>
      </c>
      <c r="J811" s="216">
        <v>2.04</v>
      </c>
    </row>
    <row r="812" spans="1:10" ht="18" customHeight="1">
      <c r="A812" s="227">
        <v>42629</v>
      </c>
      <c r="B812" s="214" t="s">
        <v>410</v>
      </c>
      <c r="C812" s="224">
        <v>300009480238</v>
      </c>
      <c r="D812" s="216" t="s">
        <v>263</v>
      </c>
      <c r="E812" s="216">
        <v>10</v>
      </c>
      <c r="F812" s="216">
        <v>1389</v>
      </c>
      <c r="G812" s="216">
        <v>10</v>
      </c>
      <c r="H812" s="216">
        <v>5</v>
      </c>
      <c r="I812" s="216">
        <v>18515.3</v>
      </c>
      <c r="J812" s="216">
        <v>2.7</v>
      </c>
    </row>
    <row r="813" spans="1:10" ht="18" customHeight="1">
      <c r="A813" s="227">
        <v>42630</v>
      </c>
      <c r="B813" s="214" t="s">
        <v>410</v>
      </c>
      <c r="C813" s="224">
        <v>300009480238</v>
      </c>
      <c r="D813" s="216" t="s">
        <v>263</v>
      </c>
      <c r="E813" s="216">
        <v>12</v>
      </c>
      <c r="F813" s="216">
        <v>1389</v>
      </c>
      <c r="G813" s="216">
        <v>12</v>
      </c>
      <c r="H813" s="216">
        <v>6</v>
      </c>
      <c r="I813" s="216">
        <v>18515.3</v>
      </c>
      <c r="J813" s="216">
        <v>3.24</v>
      </c>
    </row>
    <row r="814" spans="1:10" ht="18" customHeight="1">
      <c r="A814" s="227">
        <v>42629</v>
      </c>
      <c r="B814" s="214" t="s">
        <v>411</v>
      </c>
      <c r="C814" s="224">
        <v>300008839381</v>
      </c>
      <c r="D814" s="216" t="s">
        <v>190</v>
      </c>
      <c r="E814" s="216">
        <v>42</v>
      </c>
      <c r="F814" s="216">
        <v>6250</v>
      </c>
      <c r="G814" s="216">
        <v>42</v>
      </c>
      <c r="H814" s="216">
        <v>17</v>
      </c>
      <c r="I814" s="216">
        <v>90787.9</v>
      </c>
      <c r="J814" s="216">
        <v>1.87</v>
      </c>
    </row>
    <row r="815" spans="1:10" ht="18" customHeight="1">
      <c r="A815" s="227">
        <v>42629</v>
      </c>
      <c r="B815" s="214" t="s">
        <v>411</v>
      </c>
      <c r="C815" s="224">
        <v>300009000071</v>
      </c>
      <c r="D815" s="216" t="s">
        <v>192</v>
      </c>
      <c r="E815" s="216">
        <v>16</v>
      </c>
      <c r="F815" s="216">
        <v>3705</v>
      </c>
      <c r="G815" s="216">
        <v>16</v>
      </c>
      <c r="H815" s="216">
        <v>7</v>
      </c>
      <c r="I815" s="216">
        <v>51504.77</v>
      </c>
      <c r="J815" s="216">
        <v>1.36</v>
      </c>
    </row>
    <row r="816" spans="1:10" ht="18" customHeight="1">
      <c r="A816" s="227">
        <v>42629</v>
      </c>
      <c r="B816" s="214" t="s">
        <v>411</v>
      </c>
      <c r="C816" s="224">
        <v>300009003496</v>
      </c>
      <c r="D816" s="216" t="s">
        <v>240</v>
      </c>
      <c r="E816" s="216">
        <v>42</v>
      </c>
      <c r="F816" s="216">
        <v>3410</v>
      </c>
      <c r="G816" s="216">
        <v>42</v>
      </c>
      <c r="H816" s="216">
        <v>17</v>
      </c>
      <c r="I816" s="216">
        <v>50575.73</v>
      </c>
      <c r="J816" s="216">
        <v>3.36</v>
      </c>
    </row>
    <row r="817" spans="1:10" ht="18" customHeight="1">
      <c r="A817" s="227">
        <v>42629</v>
      </c>
      <c r="B817" s="214" t="s">
        <v>411</v>
      </c>
      <c r="C817" s="224">
        <v>300009235971</v>
      </c>
      <c r="D817" s="216" t="s">
        <v>241</v>
      </c>
      <c r="E817" s="216">
        <v>29</v>
      </c>
      <c r="F817" s="216">
        <v>3025</v>
      </c>
      <c r="G817" s="216">
        <v>29</v>
      </c>
      <c r="H817" s="216">
        <v>17</v>
      </c>
      <c r="I817" s="216">
        <v>51372.3</v>
      </c>
      <c r="J817" s="216">
        <v>3.31</v>
      </c>
    </row>
    <row r="818" spans="1:10" ht="18" customHeight="1">
      <c r="A818" s="227">
        <v>42629</v>
      </c>
      <c r="B818" s="214" t="s">
        <v>411</v>
      </c>
      <c r="C818" s="224">
        <v>300008875665</v>
      </c>
      <c r="D818" s="216" t="s">
        <v>189</v>
      </c>
      <c r="E818" s="216">
        <v>13</v>
      </c>
      <c r="F818" s="216">
        <v>2418</v>
      </c>
      <c r="G818" s="216">
        <v>13</v>
      </c>
      <c r="H818" s="216">
        <v>5</v>
      </c>
      <c r="I818" s="216">
        <v>41251.25</v>
      </c>
      <c r="J818" s="216">
        <v>1.21</v>
      </c>
    </row>
    <row r="819" spans="1:10" ht="18" customHeight="1">
      <c r="A819" s="227">
        <v>42629</v>
      </c>
      <c r="B819" s="214" t="s">
        <v>411</v>
      </c>
      <c r="C819" s="224">
        <v>300009235974</v>
      </c>
      <c r="D819" s="216" t="s">
        <v>187</v>
      </c>
      <c r="E819" s="216">
        <v>17</v>
      </c>
      <c r="F819" s="216">
        <v>2304</v>
      </c>
      <c r="G819" s="216">
        <v>17</v>
      </c>
      <c r="H819" s="216">
        <v>7</v>
      </c>
      <c r="I819" s="216">
        <v>40732.699999999997</v>
      </c>
      <c r="J819" s="216">
        <v>1.72</v>
      </c>
    </row>
    <row r="820" spans="1:10" ht="18" customHeight="1">
      <c r="A820" s="227">
        <v>42629</v>
      </c>
      <c r="B820" s="214" t="s">
        <v>411</v>
      </c>
      <c r="C820" s="224">
        <v>300008244937</v>
      </c>
      <c r="D820" s="216" t="s">
        <v>272</v>
      </c>
      <c r="E820" s="216">
        <v>3</v>
      </c>
      <c r="F820" s="216">
        <v>1004</v>
      </c>
      <c r="G820" s="216">
        <v>3</v>
      </c>
      <c r="H820" s="216">
        <v>0</v>
      </c>
      <c r="I820" s="216">
        <v>12512.03</v>
      </c>
      <c r="J820" s="216">
        <v>0</v>
      </c>
    </row>
    <row r="821" spans="1:10" ht="18" customHeight="1">
      <c r="A821" s="227">
        <v>42630</v>
      </c>
      <c r="B821" s="214" t="s">
        <v>411</v>
      </c>
      <c r="C821" s="224">
        <v>300008839381</v>
      </c>
      <c r="D821" s="216" t="s">
        <v>190</v>
      </c>
      <c r="E821" s="216">
        <v>42</v>
      </c>
      <c r="F821" s="216">
        <v>6250</v>
      </c>
      <c r="G821" s="216">
        <v>42</v>
      </c>
      <c r="H821" s="216">
        <v>17</v>
      </c>
      <c r="I821" s="216">
        <v>90787.9</v>
      </c>
      <c r="J821" s="216">
        <v>1.87</v>
      </c>
    </row>
    <row r="822" spans="1:10" ht="18" customHeight="1">
      <c r="A822" s="227">
        <v>42630</v>
      </c>
      <c r="B822" s="214" t="s">
        <v>411</v>
      </c>
      <c r="C822" s="224">
        <v>300009000071</v>
      </c>
      <c r="D822" s="216" t="s">
        <v>192</v>
      </c>
      <c r="E822" s="216">
        <v>19</v>
      </c>
      <c r="F822" s="216">
        <v>4613</v>
      </c>
      <c r="G822" s="216">
        <v>19</v>
      </c>
      <c r="H822" s="216">
        <v>9</v>
      </c>
      <c r="I822" s="216">
        <v>65834.69</v>
      </c>
      <c r="J822" s="216">
        <v>1.37</v>
      </c>
    </row>
    <row r="823" spans="1:10" ht="18" customHeight="1">
      <c r="A823" s="227">
        <v>42630</v>
      </c>
      <c r="B823" s="214" t="s">
        <v>411</v>
      </c>
      <c r="C823" s="224">
        <v>300009235971</v>
      </c>
      <c r="D823" s="216" t="s">
        <v>241</v>
      </c>
      <c r="E823" s="216">
        <v>35</v>
      </c>
      <c r="F823" s="216">
        <v>3435</v>
      </c>
      <c r="G823" s="216">
        <v>35</v>
      </c>
      <c r="H823" s="216">
        <v>19</v>
      </c>
      <c r="I823" s="216">
        <v>57178.7</v>
      </c>
      <c r="J823" s="216">
        <v>3.32</v>
      </c>
    </row>
    <row r="824" spans="1:10" ht="18" customHeight="1">
      <c r="A824" s="227">
        <v>42630</v>
      </c>
      <c r="B824" s="214" t="s">
        <v>411</v>
      </c>
      <c r="C824" s="224">
        <v>300008875665</v>
      </c>
      <c r="D824" s="216" t="s">
        <v>189</v>
      </c>
      <c r="E824" s="216">
        <v>15</v>
      </c>
      <c r="F824" s="216">
        <v>2418</v>
      </c>
      <c r="G824" s="216">
        <v>15</v>
      </c>
      <c r="H824" s="216">
        <v>6</v>
      </c>
      <c r="I824" s="216">
        <v>41251.25</v>
      </c>
      <c r="J824" s="216">
        <v>1.45</v>
      </c>
    </row>
    <row r="825" spans="1:10" ht="18" customHeight="1">
      <c r="A825" s="227">
        <v>42630</v>
      </c>
      <c r="B825" s="214" t="s">
        <v>411</v>
      </c>
      <c r="C825" s="224">
        <v>300009235974</v>
      </c>
      <c r="D825" s="216" t="s">
        <v>187</v>
      </c>
      <c r="E825" s="216">
        <v>18</v>
      </c>
      <c r="F825" s="216">
        <v>2304</v>
      </c>
      <c r="G825" s="216">
        <v>18</v>
      </c>
      <c r="H825" s="216">
        <v>8</v>
      </c>
      <c r="I825" s="216">
        <v>40732.699999999997</v>
      </c>
      <c r="J825" s="216">
        <v>1.96</v>
      </c>
    </row>
    <row r="826" spans="1:10" ht="18" customHeight="1">
      <c r="A826" s="227">
        <v>42630</v>
      </c>
      <c r="B826" s="214" t="s">
        <v>411</v>
      </c>
      <c r="C826" s="224">
        <v>300008244937</v>
      </c>
      <c r="D826" s="216" t="s">
        <v>272</v>
      </c>
      <c r="E826" s="216">
        <v>7</v>
      </c>
      <c r="F826" s="216">
        <v>1601</v>
      </c>
      <c r="G826" s="216">
        <v>7</v>
      </c>
      <c r="H826" s="216">
        <v>0</v>
      </c>
      <c r="I826" s="216">
        <v>19976.13</v>
      </c>
      <c r="J826" s="216">
        <v>0</v>
      </c>
    </row>
    <row r="827" spans="1:10" ht="18" customHeight="1">
      <c r="A827" s="227">
        <v>42630</v>
      </c>
      <c r="B827" s="214" t="s">
        <v>411</v>
      </c>
      <c r="C827" s="224">
        <v>300008579657</v>
      </c>
      <c r="D827" s="216" t="s">
        <v>188</v>
      </c>
      <c r="E827" s="216">
        <v>4</v>
      </c>
      <c r="F827" s="216">
        <v>1264</v>
      </c>
      <c r="G827" s="216">
        <v>4</v>
      </c>
      <c r="H827" s="216">
        <v>0</v>
      </c>
      <c r="I827" s="216">
        <v>16157.21</v>
      </c>
      <c r="J827" s="216">
        <v>0</v>
      </c>
    </row>
    <row r="828" spans="1:10" ht="18" customHeight="1">
      <c r="A828" s="227">
        <v>42629</v>
      </c>
      <c r="B828" s="214" t="s">
        <v>412</v>
      </c>
      <c r="C828" s="224">
        <v>300009192151</v>
      </c>
      <c r="D828" s="216" t="s">
        <v>230</v>
      </c>
      <c r="E828" s="216">
        <v>34</v>
      </c>
      <c r="F828" s="216">
        <v>4775</v>
      </c>
      <c r="G828" s="216">
        <v>34</v>
      </c>
      <c r="H828" s="216">
        <v>9</v>
      </c>
      <c r="I828" s="216">
        <v>64401.1</v>
      </c>
      <c r="J828" s="216">
        <v>1.4</v>
      </c>
    </row>
    <row r="829" spans="1:10" ht="18" customHeight="1">
      <c r="A829" s="227">
        <v>42630</v>
      </c>
      <c r="B829" s="214" t="s">
        <v>412</v>
      </c>
      <c r="C829" s="224">
        <v>300009192151</v>
      </c>
      <c r="D829" s="216" t="s">
        <v>230</v>
      </c>
      <c r="E829" s="216">
        <v>34</v>
      </c>
      <c r="F829" s="216">
        <v>4775</v>
      </c>
      <c r="G829" s="216">
        <v>34</v>
      </c>
      <c r="H829" s="216">
        <v>9</v>
      </c>
      <c r="I829" s="216">
        <v>64401.1</v>
      </c>
      <c r="J829" s="216">
        <v>1.4</v>
      </c>
    </row>
    <row r="830" spans="1:10" ht="18" customHeight="1">
      <c r="A830" s="227">
        <v>42629</v>
      </c>
      <c r="B830" s="214" t="s">
        <v>413</v>
      </c>
      <c r="C830" s="224">
        <v>300009185572</v>
      </c>
      <c r="D830" s="216" t="s">
        <v>237</v>
      </c>
      <c r="E830" s="216">
        <v>37</v>
      </c>
      <c r="F830" s="216">
        <v>6338</v>
      </c>
      <c r="G830" s="216">
        <v>37</v>
      </c>
      <c r="H830" s="216">
        <v>14</v>
      </c>
      <c r="I830" s="216">
        <v>91332.3</v>
      </c>
      <c r="J830" s="216">
        <v>1.53</v>
      </c>
    </row>
    <row r="831" spans="1:10" ht="18" customHeight="1">
      <c r="A831" s="227">
        <v>42629</v>
      </c>
      <c r="B831" s="214" t="s">
        <v>413</v>
      </c>
      <c r="C831" s="224">
        <v>300009184067</v>
      </c>
      <c r="D831" s="216" t="s">
        <v>233</v>
      </c>
      <c r="E831" s="216">
        <v>36</v>
      </c>
      <c r="F831" s="216">
        <v>6286</v>
      </c>
      <c r="G831" s="216">
        <v>36</v>
      </c>
      <c r="H831" s="216">
        <v>10</v>
      </c>
      <c r="I831" s="216">
        <v>86992.1</v>
      </c>
      <c r="J831" s="216">
        <v>1.1499999999999999</v>
      </c>
    </row>
    <row r="832" spans="1:10" ht="18" customHeight="1">
      <c r="A832" s="227">
        <v>42629</v>
      </c>
      <c r="B832" s="214" t="s">
        <v>413</v>
      </c>
      <c r="C832" s="224">
        <v>300009406202</v>
      </c>
      <c r="D832" s="216" t="s">
        <v>232</v>
      </c>
      <c r="E832" s="216">
        <v>39</v>
      </c>
      <c r="F832" s="216">
        <v>4946</v>
      </c>
      <c r="G832" s="216">
        <v>39</v>
      </c>
      <c r="H832" s="216">
        <v>16</v>
      </c>
      <c r="I832" s="216">
        <v>71609.899999999994</v>
      </c>
      <c r="J832" s="216">
        <v>2.23</v>
      </c>
    </row>
    <row r="833" spans="1:10" ht="18" customHeight="1">
      <c r="A833" s="227">
        <v>42629</v>
      </c>
      <c r="B833" s="214" t="s">
        <v>413</v>
      </c>
      <c r="C833" s="224">
        <v>300009406201</v>
      </c>
      <c r="D833" s="216" t="s">
        <v>234</v>
      </c>
      <c r="E833" s="216">
        <v>23</v>
      </c>
      <c r="F833" s="216">
        <v>4808</v>
      </c>
      <c r="G833" s="216">
        <v>23</v>
      </c>
      <c r="H833" s="216">
        <v>7</v>
      </c>
      <c r="I833" s="216">
        <v>66858.3</v>
      </c>
      <c r="J833" s="216">
        <v>1.05</v>
      </c>
    </row>
    <row r="834" spans="1:10" ht="18" customHeight="1">
      <c r="A834" s="227">
        <v>42629</v>
      </c>
      <c r="B834" s="214" t="s">
        <v>413</v>
      </c>
      <c r="C834" s="224">
        <v>300009374215</v>
      </c>
      <c r="D834" s="216" t="s">
        <v>236</v>
      </c>
      <c r="E834" s="216">
        <v>21</v>
      </c>
      <c r="F834" s="216">
        <v>2583</v>
      </c>
      <c r="G834" s="216">
        <v>21</v>
      </c>
      <c r="H834" s="216">
        <v>13</v>
      </c>
      <c r="I834" s="216">
        <v>48104.4</v>
      </c>
      <c r="J834" s="216">
        <v>2.7</v>
      </c>
    </row>
    <row r="835" spans="1:10" ht="18" customHeight="1">
      <c r="A835" s="227">
        <v>42629</v>
      </c>
      <c r="B835" s="214" t="s">
        <v>413</v>
      </c>
      <c r="C835" s="224">
        <v>300009374212</v>
      </c>
      <c r="D835" s="216" t="s">
        <v>235</v>
      </c>
      <c r="E835" s="216">
        <v>3</v>
      </c>
      <c r="F835" s="216">
        <v>711</v>
      </c>
      <c r="G835" s="216">
        <v>3</v>
      </c>
      <c r="H835" s="216">
        <v>0</v>
      </c>
      <c r="I835" s="216">
        <v>10217.5</v>
      </c>
      <c r="J835" s="216">
        <v>0</v>
      </c>
    </row>
    <row r="836" spans="1:10" ht="18" customHeight="1">
      <c r="A836" s="227">
        <v>42630</v>
      </c>
      <c r="B836" s="214" t="s">
        <v>413</v>
      </c>
      <c r="C836" s="224">
        <v>300009185572</v>
      </c>
      <c r="D836" s="216" t="s">
        <v>237</v>
      </c>
      <c r="E836" s="216">
        <v>38</v>
      </c>
      <c r="F836" s="216">
        <v>6338</v>
      </c>
      <c r="G836" s="216">
        <v>38</v>
      </c>
      <c r="H836" s="216">
        <v>14</v>
      </c>
      <c r="I836" s="216">
        <v>91332.3</v>
      </c>
      <c r="J836" s="216">
        <v>1.53</v>
      </c>
    </row>
    <row r="837" spans="1:10" ht="18" customHeight="1">
      <c r="A837" s="227">
        <v>42630</v>
      </c>
      <c r="B837" s="214" t="s">
        <v>413</v>
      </c>
      <c r="C837" s="224">
        <v>300009184067</v>
      </c>
      <c r="D837" s="216" t="s">
        <v>233</v>
      </c>
      <c r="E837" s="216">
        <v>41</v>
      </c>
      <c r="F837" s="216">
        <v>6286</v>
      </c>
      <c r="G837" s="216">
        <v>41</v>
      </c>
      <c r="H837" s="216">
        <v>11</v>
      </c>
      <c r="I837" s="216">
        <v>86992.1</v>
      </c>
      <c r="J837" s="216">
        <v>1.26</v>
      </c>
    </row>
    <row r="838" spans="1:10" ht="18" customHeight="1">
      <c r="A838" s="227">
        <v>42630</v>
      </c>
      <c r="B838" s="214" t="s">
        <v>413</v>
      </c>
      <c r="C838" s="224">
        <v>300009406201</v>
      </c>
      <c r="D838" s="216" t="s">
        <v>234</v>
      </c>
      <c r="E838" s="216">
        <v>28</v>
      </c>
      <c r="F838" s="216">
        <v>5409</v>
      </c>
      <c r="G838" s="216">
        <v>28</v>
      </c>
      <c r="H838" s="216">
        <v>10</v>
      </c>
      <c r="I838" s="216">
        <v>75951.3</v>
      </c>
      <c r="J838" s="216">
        <v>1.32</v>
      </c>
    </row>
    <row r="839" spans="1:10" ht="18" customHeight="1">
      <c r="A839" s="227">
        <v>42630</v>
      </c>
      <c r="B839" s="214" t="s">
        <v>413</v>
      </c>
      <c r="C839" s="224">
        <v>300009374215</v>
      </c>
      <c r="D839" s="216" t="s">
        <v>236</v>
      </c>
      <c r="E839" s="216">
        <v>24</v>
      </c>
      <c r="F839" s="216">
        <v>2583</v>
      </c>
      <c r="G839" s="216">
        <v>24</v>
      </c>
      <c r="H839" s="216">
        <v>16</v>
      </c>
      <c r="I839" s="216">
        <v>48104.4</v>
      </c>
      <c r="J839" s="216">
        <v>3.33</v>
      </c>
    </row>
    <row r="840" spans="1:10" ht="18" customHeight="1">
      <c r="A840" s="227">
        <v>42630</v>
      </c>
      <c r="B840" s="214" t="s">
        <v>413</v>
      </c>
      <c r="C840" s="224">
        <v>300009374212</v>
      </c>
      <c r="D840" s="216" t="s">
        <v>235</v>
      </c>
      <c r="E840" s="216">
        <v>6</v>
      </c>
      <c r="F840" s="216">
        <v>1201</v>
      </c>
      <c r="G840" s="216">
        <v>6</v>
      </c>
      <c r="H840" s="216">
        <v>1</v>
      </c>
      <c r="I840" s="216">
        <v>18188.7</v>
      </c>
      <c r="J840" s="216">
        <v>0.55000000000000004</v>
      </c>
    </row>
    <row r="841" spans="1:10" ht="18" customHeight="1">
      <c r="A841" s="227">
        <v>42629</v>
      </c>
      <c r="B841" s="214" t="s">
        <v>414</v>
      </c>
      <c r="C841" s="224">
        <v>300008823388</v>
      </c>
      <c r="D841" s="216" t="s">
        <v>231</v>
      </c>
      <c r="E841" s="216">
        <v>4</v>
      </c>
      <c r="F841" s="216">
        <v>226</v>
      </c>
      <c r="G841" s="216">
        <v>4</v>
      </c>
      <c r="H841" s="216">
        <v>1</v>
      </c>
      <c r="I841" s="216">
        <v>3985.27</v>
      </c>
      <c r="J841" s="216">
        <v>1</v>
      </c>
    </row>
    <row r="842" spans="1:10" ht="18" customHeight="1">
      <c r="A842" s="227">
        <v>42630</v>
      </c>
      <c r="B842" s="214" t="s">
        <v>414</v>
      </c>
      <c r="C842" s="224">
        <v>300008823388</v>
      </c>
      <c r="D842" s="216" t="s">
        <v>231</v>
      </c>
      <c r="E842" s="216">
        <v>4</v>
      </c>
      <c r="F842" s="216">
        <v>226</v>
      </c>
      <c r="G842" s="216">
        <v>4</v>
      </c>
      <c r="H842" s="216">
        <v>1</v>
      </c>
      <c r="I842" s="216">
        <v>3985.27</v>
      </c>
      <c r="J842" s="216">
        <v>1</v>
      </c>
    </row>
    <row r="843" spans="1:10" ht="18" customHeight="1">
      <c r="A843" s="227">
        <v>42629</v>
      </c>
      <c r="B843" s="214" t="s">
        <v>415</v>
      </c>
      <c r="C843" s="224">
        <v>300009290321</v>
      </c>
      <c r="D843" s="216" t="s">
        <v>194</v>
      </c>
      <c r="E843" s="216">
        <v>19</v>
      </c>
      <c r="F843" s="216">
        <v>1985</v>
      </c>
      <c r="G843" s="216">
        <v>19</v>
      </c>
      <c r="H843" s="216">
        <v>8</v>
      </c>
      <c r="I843" s="216">
        <v>39759.5</v>
      </c>
      <c r="J843" s="216">
        <v>2.0099999999999998</v>
      </c>
    </row>
    <row r="844" spans="1:10" ht="18" customHeight="1">
      <c r="A844" s="227">
        <v>42630</v>
      </c>
      <c r="B844" s="214" t="s">
        <v>415</v>
      </c>
      <c r="C844" s="224">
        <v>300009290321</v>
      </c>
      <c r="D844" s="216" t="s">
        <v>194</v>
      </c>
      <c r="E844" s="216">
        <v>19</v>
      </c>
      <c r="F844" s="216">
        <v>1848</v>
      </c>
      <c r="G844" s="216">
        <v>19</v>
      </c>
      <c r="H844" s="216">
        <v>8</v>
      </c>
      <c r="I844" s="216">
        <v>36882.9</v>
      </c>
      <c r="J844" s="216">
        <v>2.17</v>
      </c>
    </row>
    <row r="845" spans="1:10" ht="18" customHeight="1">
      <c r="A845" s="227">
        <v>42631</v>
      </c>
      <c r="B845" s="214" t="s">
        <v>417</v>
      </c>
      <c r="C845" s="224">
        <v>300009358277</v>
      </c>
      <c r="D845" s="216" t="s">
        <v>266</v>
      </c>
      <c r="E845" s="216">
        <v>202</v>
      </c>
      <c r="F845" s="216">
        <v>24402</v>
      </c>
      <c r="G845" s="216">
        <v>82.78</v>
      </c>
      <c r="H845" s="216">
        <v>108</v>
      </c>
      <c r="I845" s="216">
        <v>505232.6</v>
      </c>
      <c r="J845" s="216">
        <v>2.14</v>
      </c>
    </row>
    <row r="846" spans="1:10" ht="18" customHeight="1">
      <c r="A846" s="227">
        <v>42632</v>
      </c>
      <c r="B846" s="214" t="s">
        <v>417</v>
      </c>
      <c r="C846" s="224">
        <v>300009358277</v>
      </c>
      <c r="D846" s="216" t="s">
        <v>266</v>
      </c>
      <c r="E846" s="216">
        <v>209</v>
      </c>
      <c r="F846" s="216">
        <v>24484</v>
      </c>
      <c r="G846" s="216">
        <v>85.36</v>
      </c>
      <c r="H846" s="216">
        <v>112</v>
      </c>
      <c r="I846" s="216">
        <v>512418.4</v>
      </c>
      <c r="J846" s="216">
        <v>2.19</v>
      </c>
    </row>
    <row r="847" spans="1:10" ht="18" customHeight="1">
      <c r="A847" s="227">
        <v>42633</v>
      </c>
      <c r="B847" s="214" t="s">
        <v>417</v>
      </c>
      <c r="C847" s="224">
        <v>300009358277</v>
      </c>
      <c r="D847" s="216" t="s">
        <v>266</v>
      </c>
      <c r="E847" s="216">
        <v>219</v>
      </c>
      <c r="F847" s="216">
        <v>24447</v>
      </c>
      <c r="G847" s="216">
        <v>89.58</v>
      </c>
      <c r="H847" s="216">
        <v>116</v>
      </c>
      <c r="I847" s="216">
        <v>516406.7</v>
      </c>
      <c r="J847" s="216">
        <v>2.25</v>
      </c>
    </row>
    <row r="848" spans="1:10" ht="18" customHeight="1">
      <c r="A848" s="227">
        <v>42634</v>
      </c>
      <c r="B848" s="214" t="s">
        <v>417</v>
      </c>
      <c r="C848" s="224">
        <v>300009358277</v>
      </c>
      <c r="D848" s="216" t="s">
        <v>266</v>
      </c>
      <c r="E848" s="216">
        <v>229</v>
      </c>
      <c r="F848" s="216">
        <v>24377</v>
      </c>
      <c r="G848" s="216">
        <v>93.94</v>
      </c>
      <c r="H848" s="216">
        <v>119</v>
      </c>
      <c r="I848" s="216">
        <v>520904.1</v>
      </c>
      <c r="J848" s="216">
        <v>2.2799999999999998</v>
      </c>
    </row>
    <row r="849" spans="1:10" ht="18" customHeight="1">
      <c r="A849" s="227">
        <v>42631</v>
      </c>
      <c r="B849" s="214" t="s">
        <v>418</v>
      </c>
      <c r="C849" s="224">
        <v>300009192151</v>
      </c>
      <c r="D849" s="216" t="s">
        <v>230</v>
      </c>
      <c r="E849" s="216">
        <v>1</v>
      </c>
      <c r="F849" s="216">
        <v>352</v>
      </c>
      <c r="G849" s="216">
        <v>1</v>
      </c>
      <c r="H849" s="216">
        <v>0</v>
      </c>
      <c r="I849" s="216">
        <v>5000</v>
      </c>
      <c r="J849" s="216">
        <v>0</v>
      </c>
    </row>
    <row r="850" spans="1:10" ht="18" customHeight="1">
      <c r="A850" s="227">
        <v>42632</v>
      </c>
      <c r="B850" s="214" t="s">
        <v>418</v>
      </c>
      <c r="C850" s="224">
        <v>300009192151</v>
      </c>
      <c r="D850" s="216" t="s">
        <v>230</v>
      </c>
      <c r="E850" s="216">
        <v>3</v>
      </c>
      <c r="F850" s="216">
        <v>680</v>
      </c>
      <c r="G850" s="216">
        <v>3</v>
      </c>
      <c r="H850" s="216">
        <v>0</v>
      </c>
      <c r="I850" s="216">
        <v>10000</v>
      </c>
      <c r="J850" s="216">
        <v>0</v>
      </c>
    </row>
    <row r="851" spans="1:10" ht="18" customHeight="1">
      <c r="A851" s="227">
        <v>42633</v>
      </c>
      <c r="B851" s="214" t="s">
        <v>418</v>
      </c>
      <c r="C851" s="224">
        <v>300009192151</v>
      </c>
      <c r="D851" s="216" t="s">
        <v>230</v>
      </c>
      <c r="E851" s="216">
        <v>9</v>
      </c>
      <c r="F851" s="216">
        <v>967</v>
      </c>
      <c r="G851" s="216">
        <v>9</v>
      </c>
      <c r="H851" s="216">
        <v>1</v>
      </c>
      <c r="I851" s="216">
        <v>15000</v>
      </c>
      <c r="J851" s="216">
        <v>0.67</v>
      </c>
    </row>
    <row r="852" spans="1:10" ht="18" customHeight="1">
      <c r="A852" s="227">
        <v>42634</v>
      </c>
      <c r="B852" s="214" t="s">
        <v>418</v>
      </c>
      <c r="C852" s="224">
        <v>300009192151</v>
      </c>
      <c r="D852" s="216" t="s">
        <v>230</v>
      </c>
      <c r="E852" s="216">
        <v>13</v>
      </c>
      <c r="F852" s="216">
        <v>1094</v>
      </c>
      <c r="G852" s="216">
        <v>13</v>
      </c>
      <c r="H852" s="216">
        <v>3</v>
      </c>
      <c r="I852" s="216">
        <v>17324.3</v>
      </c>
      <c r="J852" s="216">
        <v>1.73</v>
      </c>
    </row>
    <row r="853" spans="1:10" ht="18" customHeight="1">
      <c r="A853" s="227">
        <v>42631</v>
      </c>
      <c r="B853" s="214" t="s">
        <v>419</v>
      </c>
      <c r="C853" s="224">
        <v>300008823388</v>
      </c>
      <c r="D853" s="216" t="s">
        <v>231</v>
      </c>
      <c r="E853" s="216">
        <v>4</v>
      </c>
      <c r="F853" s="216">
        <v>226</v>
      </c>
      <c r="G853" s="216">
        <v>4</v>
      </c>
      <c r="H853" s="216">
        <v>1</v>
      </c>
      <c r="I853" s="216">
        <v>3985.27</v>
      </c>
      <c r="J853" s="216">
        <v>1</v>
      </c>
    </row>
    <row r="854" spans="1:10" ht="18" customHeight="1">
      <c r="A854" s="227">
        <v>42632</v>
      </c>
      <c r="B854" s="214" t="s">
        <v>419</v>
      </c>
      <c r="C854" s="224">
        <v>300008823388</v>
      </c>
      <c r="D854" s="216" t="s">
        <v>231</v>
      </c>
      <c r="E854" s="216">
        <v>4</v>
      </c>
      <c r="F854" s="216">
        <v>226</v>
      </c>
      <c r="G854" s="216">
        <v>4</v>
      </c>
      <c r="H854" s="216">
        <v>1</v>
      </c>
      <c r="I854" s="216">
        <v>3985.27</v>
      </c>
      <c r="J854" s="216">
        <v>1</v>
      </c>
    </row>
    <row r="855" spans="1:10" ht="18" customHeight="1">
      <c r="A855" s="227">
        <v>42633</v>
      </c>
      <c r="B855" s="214" t="s">
        <v>419</v>
      </c>
      <c r="C855" s="224">
        <v>300008823388</v>
      </c>
      <c r="D855" s="216" t="s">
        <v>231</v>
      </c>
      <c r="E855" s="216">
        <v>4</v>
      </c>
      <c r="F855" s="216">
        <v>226</v>
      </c>
      <c r="G855" s="216">
        <v>4</v>
      </c>
      <c r="H855" s="216">
        <v>1</v>
      </c>
      <c r="I855" s="216">
        <v>3985.27</v>
      </c>
      <c r="J855" s="216">
        <v>1</v>
      </c>
    </row>
    <row r="856" spans="1:10" ht="18" customHeight="1">
      <c r="A856" s="227">
        <v>42634</v>
      </c>
      <c r="B856" s="214" t="s">
        <v>419</v>
      </c>
      <c r="C856" s="224">
        <v>300008823388</v>
      </c>
      <c r="D856" s="216" t="s">
        <v>231</v>
      </c>
      <c r="E856" s="216">
        <v>4</v>
      </c>
      <c r="F856" s="216">
        <v>226</v>
      </c>
      <c r="G856" s="216">
        <v>4</v>
      </c>
      <c r="H856" s="216">
        <v>1</v>
      </c>
      <c r="I856" s="216">
        <v>3985.27</v>
      </c>
      <c r="J856" s="216">
        <v>1</v>
      </c>
    </row>
    <row r="857" spans="1:10" ht="18" customHeight="1">
      <c r="A857" s="227">
        <v>42631</v>
      </c>
      <c r="B857" s="214" t="s">
        <v>420</v>
      </c>
      <c r="C857" s="224">
        <v>300009480238</v>
      </c>
      <c r="D857" s="216" t="s">
        <v>263</v>
      </c>
      <c r="E857" s="216">
        <v>13</v>
      </c>
      <c r="F857" s="216">
        <v>1389</v>
      </c>
      <c r="G857" s="216">
        <v>13</v>
      </c>
      <c r="H857" s="216">
        <v>6</v>
      </c>
      <c r="I857" s="216">
        <v>18515.3</v>
      </c>
      <c r="J857" s="216">
        <v>3.24</v>
      </c>
    </row>
    <row r="858" spans="1:10" ht="18" customHeight="1">
      <c r="A858" s="227">
        <v>42632</v>
      </c>
      <c r="B858" s="214" t="s">
        <v>420</v>
      </c>
      <c r="C858" s="224">
        <v>300009480238</v>
      </c>
      <c r="D858" s="216" t="s">
        <v>263</v>
      </c>
      <c r="E858" s="216">
        <v>2</v>
      </c>
      <c r="F858" s="216">
        <v>1</v>
      </c>
      <c r="G858" s="216">
        <v>2</v>
      </c>
      <c r="H858" s="216">
        <v>1</v>
      </c>
      <c r="I858" s="216">
        <v>10</v>
      </c>
      <c r="J858" s="216">
        <v>1</v>
      </c>
    </row>
    <row r="859" spans="1:10" ht="18" customHeight="1">
      <c r="A859" s="227">
        <v>42633</v>
      </c>
      <c r="B859" s="214" t="s">
        <v>420</v>
      </c>
      <c r="C859" s="224">
        <v>300009480238</v>
      </c>
      <c r="D859" s="216" t="s">
        <v>263</v>
      </c>
      <c r="E859" s="216">
        <v>4</v>
      </c>
      <c r="F859" s="216">
        <v>116</v>
      </c>
      <c r="G859" s="216">
        <v>4</v>
      </c>
      <c r="H859" s="216">
        <v>1</v>
      </c>
      <c r="I859" s="216">
        <v>1886.6</v>
      </c>
      <c r="J859" s="216">
        <v>1</v>
      </c>
    </row>
    <row r="860" spans="1:10" ht="18" customHeight="1">
      <c r="A860" s="227">
        <v>42634</v>
      </c>
      <c r="B860" s="214" t="s">
        <v>420</v>
      </c>
      <c r="C860" s="224">
        <v>300009480238</v>
      </c>
      <c r="D860" s="216" t="s">
        <v>263</v>
      </c>
      <c r="E860" s="216">
        <v>6</v>
      </c>
      <c r="F860" s="216">
        <v>420</v>
      </c>
      <c r="G860" s="216">
        <v>6</v>
      </c>
      <c r="H860" s="216">
        <v>1</v>
      </c>
      <c r="I860" s="216">
        <v>6652</v>
      </c>
      <c r="J860" s="216">
        <v>1</v>
      </c>
    </row>
    <row r="861" spans="1:10" ht="18" customHeight="1">
      <c r="A861" s="227">
        <v>42631</v>
      </c>
      <c r="B861" s="214" t="s">
        <v>421</v>
      </c>
      <c r="C861" s="224">
        <v>300009185572</v>
      </c>
      <c r="D861" s="216" t="s">
        <v>237</v>
      </c>
      <c r="E861" s="216">
        <v>39</v>
      </c>
      <c r="F861" s="216">
        <v>6338</v>
      </c>
      <c r="G861" s="216">
        <v>39</v>
      </c>
      <c r="H861" s="216">
        <v>15</v>
      </c>
      <c r="I861" s="216">
        <v>91332.3</v>
      </c>
      <c r="J861" s="216">
        <v>1.64</v>
      </c>
    </row>
    <row r="862" spans="1:10" ht="18" customHeight="1">
      <c r="A862" s="227">
        <v>42631</v>
      </c>
      <c r="B862" s="214" t="s">
        <v>421</v>
      </c>
      <c r="C862" s="224">
        <v>300009184067</v>
      </c>
      <c r="D862" s="216" t="s">
        <v>233</v>
      </c>
      <c r="E862" s="216">
        <v>44</v>
      </c>
      <c r="F862" s="216">
        <v>6286</v>
      </c>
      <c r="G862" s="216">
        <v>44</v>
      </c>
      <c r="H862" s="216">
        <v>12</v>
      </c>
      <c r="I862" s="216">
        <v>86992.1</v>
      </c>
      <c r="J862" s="216">
        <v>1.38</v>
      </c>
    </row>
    <row r="863" spans="1:10" ht="18" customHeight="1">
      <c r="A863" s="227">
        <v>42631</v>
      </c>
      <c r="B863" s="214" t="s">
        <v>421</v>
      </c>
      <c r="C863" s="224">
        <v>300009406201</v>
      </c>
      <c r="D863" s="216" t="s">
        <v>234</v>
      </c>
      <c r="E863" s="216">
        <v>37</v>
      </c>
      <c r="F863" s="216">
        <v>5838</v>
      </c>
      <c r="G863" s="216">
        <v>37</v>
      </c>
      <c r="H863" s="216">
        <v>11</v>
      </c>
      <c r="I863" s="216">
        <v>82358.2</v>
      </c>
      <c r="J863" s="216">
        <v>1.34</v>
      </c>
    </row>
    <row r="864" spans="1:10" ht="18" customHeight="1">
      <c r="A864" s="227">
        <v>42631</v>
      </c>
      <c r="B864" s="214" t="s">
        <v>421</v>
      </c>
      <c r="C864" s="224">
        <v>300009374215</v>
      </c>
      <c r="D864" s="216" t="s">
        <v>236</v>
      </c>
      <c r="E864" s="216">
        <v>26</v>
      </c>
      <c r="F864" s="216">
        <v>2583</v>
      </c>
      <c r="G864" s="216">
        <v>26</v>
      </c>
      <c r="H864" s="216">
        <v>16</v>
      </c>
      <c r="I864" s="216">
        <v>48104.4</v>
      </c>
      <c r="J864" s="216">
        <v>3.33</v>
      </c>
    </row>
    <row r="865" spans="1:10" ht="18" customHeight="1">
      <c r="A865" s="227">
        <v>42631</v>
      </c>
      <c r="B865" s="214" t="s">
        <v>421</v>
      </c>
      <c r="C865" s="224">
        <v>300009374212</v>
      </c>
      <c r="D865" s="216" t="s">
        <v>235</v>
      </c>
      <c r="E865" s="216">
        <v>9</v>
      </c>
      <c r="F865" s="216">
        <v>1701</v>
      </c>
      <c r="G865" s="216">
        <v>9</v>
      </c>
      <c r="H865" s="216">
        <v>1</v>
      </c>
      <c r="I865" s="216">
        <v>25660.400000000001</v>
      </c>
      <c r="J865" s="216">
        <v>0.39</v>
      </c>
    </row>
    <row r="866" spans="1:10" ht="18" customHeight="1">
      <c r="A866" s="227">
        <v>42632</v>
      </c>
      <c r="B866" s="214" t="s">
        <v>421</v>
      </c>
      <c r="C866" s="224">
        <v>300009185572</v>
      </c>
      <c r="D866" s="216" t="s">
        <v>237</v>
      </c>
      <c r="E866" s="216">
        <v>40</v>
      </c>
      <c r="F866" s="216">
        <v>6338</v>
      </c>
      <c r="G866" s="216">
        <v>40</v>
      </c>
      <c r="H866" s="216">
        <v>15</v>
      </c>
      <c r="I866" s="216">
        <v>91332.3</v>
      </c>
      <c r="J866" s="216">
        <v>1.64</v>
      </c>
    </row>
    <row r="867" spans="1:10" ht="18" customHeight="1">
      <c r="A867" s="227">
        <v>42632</v>
      </c>
      <c r="B867" s="214" t="s">
        <v>421</v>
      </c>
      <c r="C867" s="224">
        <v>300009184067</v>
      </c>
      <c r="D867" s="216" t="s">
        <v>233</v>
      </c>
      <c r="E867" s="216">
        <v>45</v>
      </c>
      <c r="F867" s="216">
        <v>6286</v>
      </c>
      <c r="G867" s="216">
        <v>45</v>
      </c>
      <c r="H867" s="216">
        <v>12</v>
      </c>
      <c r="I867" s="216">
        <v>86992.1</v>
      </c>
      <c r="J867" s="216">
        <v>1.38</v>
      </c>
    </row>
    <row r="868" spans="1:10" ht="18" customHeight="1">
      <c r="A868" s="227">
        <v>42632</v>
      </c>
      <c r="B868" s="214" t="s">
        <v>421</v>
      </c>
      <c r="C868" s="224">
        <v>300009406201</v>
      </c>
      <c r="D868" s="216" t="s">
        <v>234</v>
      </c>
      <c r="E868" s="216">
        <v>40</v>
      </c>
      <c r="F868" s="216">
        <v>5879</v>
      </c>
      <c r="G868" s="216">
        <v>40</v>
      </c>
      <c r="H868" s="216">
        <v>11</v>
      </c>
      <c r="I868" s="216">
        <v>83097</v>
      </c>
      <c r="J868" s="216">
        <v>1.32</v>
      </c>
    </row>
    <row r="869" spans="1:10" ht="18" customHeight="1">
      <c r="A869" s="227">
        <v>42632</v>
      </c>
      <c r="B869" s="214" t="s">
        <v>421</v>
      </c>
      <c r="C869" s="224">
        <v>300009374212</v>
      </c>
      <c r="D869" s="216" t="s">
        <v>235</v>
      </c>
      <c r="E869" s="216">
        <v>10</v>
      </c>
      <c r="F869" s="216">
        <v>2016</v>
      </c>
      <c r="G869" s="216">
        <v>10</v>
      </c>
      <c r="H869" s="216">
        <v>1</v>
      </c>
      <c r="I869" s="216">
        <v>30320.5</v>
      </c>
      <c r="J869" s="216">
        <v>0.33</v>
      </c>
    </row>
    <row r="870" spans="1:10" ht="18" customHeight="1">
      <c r="A870" s="227">
        <v>42632</v>
      </c>
      <c r="B870" s="214" t="s">
        <v>421</v>
      </c>
      <c r="C870" s="224">
        <v>300009406202</v>
      </c>
      <c r="D870" s="216" t="s">
        <v>232</v>
      </c>
      <c r="E870" s="216">
        <v>6</v>
      </c>
      <c r="F870" s="216">
        <v>1041</v>
      </c>
      <c r="G870" s="216">
        <v>6</v>
      </c>
      <c r="H870" s="216">
        <v>3</v>
      </c>
      <c r="I870" s="216">
        <v>17355.2</v>
      </c>
      <c r="J870" s="216">
        <v>1.73</v>
      </c>
    </row>
    <row r="871" spans="1:10" ht="18" customHeight="1">
      <c r="A871" s="227">
        <v>42632</v>
      </c>
      <c r="B871" s="214" t="s">
        <v>421</v>
      </c>
      <c r="C871" s="224">
        <v>300009374215</v>
      </c>
      <c r="D871" s="216" t="s">
        <v>236</v>
      </c>
      <c r="E871" s="216">
        <v>3</v>
      </c>
      <c r="F871" s="216" t="s">
        <v>242</v>
      </c>
      <c r="G871" s="216">
        <v>3</v>
      </c>
      <c r="H871" s="216">
        <v>1</v>
      </c>
      <c r="I871" s="216">
        <v>0</v>
      </c>
      <c r="J871" s="216">
        <v>1</v>
      </c>
    </row>
    <row r="872" spans="1:10" ht="18" customHeight="1">
      <c r="A872" s="227">
        <v>42633</v>
      </c>
      <c r="B872" s="214" t="s">
        <v>421</v>
      </c>
      <c r="C872" s="224">
        <v>300009185572</v>
      </c>
      <c r="D872" s="216" t="s">
        <v>237</v>
      </c>
      <c r="E872" s="216">
        <v>42</v>
      </c>
      <c r="F872" s="216">
        <v>6338</v>
      </c>
      <c r="G872" s="216">
        <v>42</v>
      </c>
      <c r="H872" s="216">
        <v>16</v>
      </c>
      <c r="I872" s="216">
        <v>91332.3</v>
      </c>
      <c r="J872" s="216">
        <v>1.75</v>
      </c>
    </row>
    <row r="873" spans="1:10" ht="18" customHeight="1">
      <c r="A873" s="227">
        <v>42633</v>
      </c>
      <c r="B873" s="214" t="s">
        <v>421</v>
      </c>
      <c r="C873" s="224">
        <v>300009184067</v>
      </c>
      <c r="D873" s="216" t="s">
        <v>233</v>
      </c>
      <c r="E873" s="216">
        <v>48</v>
      </c>
      <c r="F873" s="216">
        <v>6286</v>
      </c>
      <c r="G873" s="216">
        <v>48</v>
      </c>
      <c r="H873" s="216">
        <v>13</v>
      </c>
      <c r="I873" s="216">
        <v>86992.1</v>
      </c>
      <c r="J873" s="216">
        <v>1.49</v>
      </c>
    </row>
    <row r="874" spans="1:10" ht="18" customHeight="1">
      <c r="A874" s="227">
        <v>42633</v>
      </c>
      <c r="B874" s="214" t="s">
        <v>421</v>
      </c>
      <c r="C874" s="224">
        <v>300009406201</v>
      </c>
      <c r="D874" s="216" t="s">
        <v>234</v>
      </c>
      <c r="E874" s="216">
        <v>45</v>
      </c>
      <c r="F874" s="216">
        <v>5879</v>
      </c>
      <c r="G874" s="216">
        <v>45</v>
      </c>
      <c r="H874" s="216">
        <v>13</v>
      </c>
      <c r="I874" s="216">
        <v>83097</v>
      </c>
      <c r="J874" s="216">
        <v>1.56</v>
      </c>
    </row>
    <row r="875" spans="1:10" ht="18" customHeight="1">
      <c r="A875" s="227">
        <v>42633</v>
      </c>
      <c r="B875" s="214" t="s">
        <v>421</v>
      </c>
      <c r="C875" s="224">
        <v>300009374212</v>
      </c>
      <c r="D875" s="216" t="s">
        <v>235</v>
      </c>
      <c r="E875" s="216">
        <v>14</v>
      </c>
      <c r="F875" s="216">
        <v>2386</v>
      </c>
      <c r="G875" s="216">
        <v>14</v>
      </c>
      <c r="H875" s="216">
        <v>2</v>
      </c>
      <c r="I875" s="216">
        <v>35406.5</v>
      </c>
      <c r="J875" s="216">
        <v>0.56000000000000005</v>
      </c>
    </row>
    <row r="876" spans="1:10" ht="18" customHeight="1">
      <c r="A876" s="227">
        <v>42633</v>
      </c>
      <c r="B876" s="214" t="s">
        <v>421</v>
      </c>
      <c r="C876" s="224">
        <v>300009406202</v>
      </c>
      <c r="D876" s="216" t="s">
        <v>232</v>
      </c>
      <c r="E876" s="216">
        <v>13</v>
      </c>
      <c r="F876" s="216">
        <v>1408</v>
      </c>
      <c r="G876" s="216">
        <v>13</v>
      </c>
      <c r="H876" s="216">
        <v>7</v>
      </c>
      <c r="I876" s="216">
        <v>22974.1</v>
      </c>
      <c r="J876" s="216">
        <v>3.05</v>
      </c>
    </row>
    <row r="877" spans="1:10" ht="18" customHeight="1">
      <c r="A877" s="227">
        <v>42633</v>
      </c>
      <c r="B877" s="214" t="s">
        <v>421</v>
      </c>
      <c r="C877" s="224">
        <v>300009374215</v>
      </c>
      <c r="D877" s="216" t="s">
        <v>236</v>
      </c>
      <c r="E877" s="216">
        <v>3</v>
      </c>
      <c r="F877" s="216" t="s">
        <v>242</v>
      </c>
      <c r="G877" s="216">
        <v>3</v>
      </c>
      <c r="H877" s="216">
        <v>1</v>
      </c>
      <c r="I877" s="216">
        <v>0</v>
      </c>
      <c r="J877" s="216">
        <v>1</v>
      </c>
    </row>
    <row r="878" spans="1:10" ht="18" customHeight="1">
      <c r="A878" s="227">
        <v>42634</v>
      </c>
      <c r="B878" s="214" t="s">
        <v>421</v>
      </c>
      <c r="C878" s="224">
        <v>300009184067</v>
      </c>
      <c r="D878" s="216" t="s">
        <v>233</v>
      </c>
      <c r="E878" s="216">
        <v>49</v>
      </c>
      <c r="F878" s="216">
        <v>6286</v>
      </c>
      <c r="G878" s="216">
        <v>49</v>
      </c>
      <c r="H878" s="216">
        <v>13</v>
      </c>
      <c r="I878" s="216">
        <v>86992.1</v>
      </c>
      <c r="J878" s="216">
        <v>1.49</v>
      </c>
    </row>
    <row r="879" spans="1:10" ht="18" customHeight="1">
      <c r="A879" s="227">
        <v>42634</v>
      </c>
      <c r="B879" s="214" t="s">
        <v>421</v>
      </c>
      <c r="C879" s="224">
        <v>300009406201</v>
      </c>
      <c r="D879" s="216" t="s">
        <v>234</v>
      </c>
      <c r="E879" s="216">
        <v>49</v>
      </c>
      <c r="F879" s="216">
        <v>5879</v>
      </c>
      <c r="G879" s="216">
        <v>49</v>
      </c>
      <c r="H879" s="216">
        <v>13</v>
      </c>
      <c r="I879" s="216">
        <v>83097</v>
      </c>
      <c r="J879" s="216">
        <v>1.56</v>
      </c>
    </row>
    <row r="880" spans="1:10" ht="18" customHeight="1">
      <c r="A880" s="227">
        <v>42634</v>
      </c>
      <c r="B880" s="214" t="s">
        <v>421</v>
      </c>
      <c r="C880" s="224">
        <v>300009374212</v>
      </c>
      <c r="D880" s="216" t="s">
        <v>235</v>
      </c>
      <c r="E880" s="216">
        <v>17</v>
      </c>
      <c r="F880" s="216">
        <v>2506</v>
      </c>
      <c r="G880" s="216">
        <v>17</v>
      </c>
      <c r="H880" s="216">
        <v>2</v>
      </c>
      <c r="I880" s="216">
        <v>37024.199999999997</v>
      </c>
      <c r="J880" s="216">
        <v>0.54</v>
      </c>
    </row>
    <row r="881" spans="1:10" ht="18" customHeight="1">
      <c r="A881" s="227">
        <v>42634</v>
      </c>
      <c r="B881" s="214" t="s">
        <v>421</v>
      </c>
      <c r="C881" s="224">
        <v>300009406202</v>
      </c>
      <c r="D881" s="216" t="s">
        <v>232</v>
      </c>
      <c r="E881" s="216">
        <v>17</v>
      </c>
      <c r="F881" s="216">
        <v>1534</v>
      </c>
      <c r="G881" s="216">
        <v>17</v>
      </c>
      <c r="H881" s="216">
        <v>10</v>
      </c>
      <c r="I881" s="216">
        <v>24924.5</v>
      </c>
      <c r="J881" s="216">
        <v>4.01</v>
      </c>
    </row>
    <row r="882" spans="1:10" ht="18" customHeight="1">
      <c r="A882" s="227">
        <v>42634</v>
      </c>
      <c r="B882" s="214" t="s">
        <v>421</v>
      </c>
      <c r="C882" s="224">
        <v>300009374215</v>
      </c>
      <c r="D882" s="216" t="s">
        <v>236</v>
      </c>
      <c r="E882" s="216">
        <v>3</v>
      </c>
      <c r="F882" s="216" t="s">
        <v>242</v>
      </c>
      <c r="G882" s="216">
        <v>3</v>
      </c>
      <c r="H882" s="216">
        <v>1</v>
      </c>
      <c r="I882" s="216">
        <v>0</v>
      </c>
      <c r="J882" s="216">
        <v>1</v>
      </c>
    </row>
    <row r="883" spans="1:10" ht="18" customHeight="1">
      <c r="A883" s="227">
        <v>42631</v>
      </c>
      <c r="B883" s="214" t="s">
        <v>422</v>
      </c>
      <c r="C883" s="224">
        <v>300009000071</v>
      </c>
      <c r="D883" s="216" t="s">
        <v>192</v>
      </c>
      <c r="E883" s="216">
        <v>27</v>
      </c>
      <c r="F883" s="216">
        <v>4724</v>
      </c>
      <c r="G883" s="216">
        <v>27</v>
      </c>
      <c r="H883" s="216">
        <v>11</v>
      </c>
      <c r="I883" s="216">
        <v>67610.259999999995</v>
      </c>
      <c r="J883" s="216">
        <v>1.63</v>
      </c>
    </row>
    <row r="884" spans="1:10" ht="18" customHeight="1">
      <c r="A884" s="227">
        <v>42631</v>
      </c>
      <c r="B884" s="214" t="s">
        <v>422</v>
      </c>
      <c r="C884" s="224">
        <v>300009235971</v>
      </c>
      <c r="D884" s="216" t="s">
        <v>241</v>
      </c>
      <c r="E884" s="216">
        <v>37</v>
      </c>
      <c r="F884" s="216">
        <v>3490</v>
      </c>
      <c r="G884" s="216">
        <v>37</v>
      </c>
      <c r="H884" s="216">
        <v>19</v>
      </c>
      <c r="I884" s="216">
        <v>57895.7</v>
      </c>
      <c r="J884" s="216">
        <v>3.28</v>
      </c>
    </row>
    <row r="885" spans="1:10" ht="18" customHeight="1">
      <c r="A885" s="227">
        <v>42631</v>
      </c>
      <c r="B885" s="214" t="s">
        <v>422</v>
      </c>
      <c r="C885" s="224">
        <v>300008875665</v>
      </c>
      <c r="D885" s="216" t="s">
        <v>189</v>
      </c>
      <c r="E885" s="216">
        <v>17</v>
      </c>
      <c r="F885" s="216">
        <v>2418</v>
      </c>
      <c r="G885" s="216">
        <v>17</v>
      </c>
      <c r="H885" s="216">
        <v>6</v>
      </c>
      <c r="I885" s="216">
        <v>41251.25</v>
      </c>
      <c r="J885" s="216">
        <v>1.45</v>
      </c>
    </row>
    <row r="886" spans="1:10" ht="18" customHeight="1">
      <c r="A886" s="227">
        <v>42631</v>
      </c>
      <c r="B886" s="214" t="s">
        <v>422</v>
      </c>
      <c r="C886" s="224">
        <v>300009235974</v>
      </c>
      <c r="D886" s="216" t="s">
        <v>187</v>
      </c>
      <c r="E886" s="216">
        <v>19</v>
      </c>
      <c r="F886" s="216">
        <v>2304</v>
      </c>
      <c r="G886" s="216">
        <v>19</v>
      </c>
      <c r="H886" s="216">
        <v>8</v>
      </c>
      <c r="I886" s="216">
        <v>40732.699999999997</v>
      </c>
      <c r="J886" s="216">
        <v>1.96</v>
      </c>
    </row>
    <row r="887" spans="1:10" ht="18" customHeight="1">
      <c r="A887" s="227">
        <v>42631</v>
      </c>
      <c r="B887" s="214" t="s">
        <v>422</v>
      </c>
      <c r="C887" s="224">
        <v>300008244937</v>
      </c>
      <c r="D887" s="216" t="s">
        <v>272</v>
      </c>
      <c r="E887" s="216">
        <v>12</v>
      </c>
      <c r="F887" s="216">
        <v>1707</v>
      </c>
      <c r="G887" s="216">
        <v>12</v>
      </c>
      <c r="H887" s="216">
        <v>1</v>
      </c>
      <c r="I887" s="216">
        <v>21479.33</v>
      </c>
      <c r="J887" s="216">
        <v>0.47</v>
      </c>
    </row>
    <row r="888" spans="1:10" ht="18" customHeight="1">
      <c r="A888" s="227">
        <v>42631</v>
      </c>
      <c r="B888" s="214" t="s">
        <v>422</v>
      </c>
      <c r="C888" s="224">
        <v>300008579657</v>
      </c>
      <c r="D888" s="216" t="s">
        <v>188</v>
      </c>
      <c r="E888" s="216">
        <v>7</v>
      </c>
      <c r="F888" s="216">
        <v>1339</v>
      </c>
      <c r="G888" s="216">
        <v>7</v>
      </c>
      <c r="H888" s="216">
        <v>0</v>
      </c>
      <c r="I888" s="216">
        <v>17257.37</v>
      </c>
      <c r="J888" s="216">
        <v>0</v>
      </c>
    </row>
    <row r="889" spans="1:10" ht="18" customHeight="1">
      <c r="A889" s="227">
        <v>42631</v>
      </c>
      <c r="B889" s="214" t="s">
        <v>422</v>
      </c>
      <c r="C889" s="224">
        <v>300009003496</v>
      </c>
      <c r="D889" s="216" t="s">
        <v>240</v>
      </c>
      <c r="E889" s="216">
        <v>1</v>
      </c>
      <c r="F889" s="216">
        <v>14</v>
      </c>
      <c r="G889" s="216">
        <v>1</v>
      </c>
      <c r="H889" s="216">
        <v>0</v>
      </c>
      <c r="I889" s="216">
        <v>150.53</v>
      </c>
      <c r="J889" s="216">
        <v>0</v>
      </c>
    </row>
    <row r="890" spans="1:10" ht="18" customHeight="1">
      <c r="A890" s="227">
        <v>42631</v>
      </c>
      <c r="B890" s="214" t="s">
        <v>422</v>
      </c>
      <c r="C890" s="224">
        <v>300008839381</v>
      </c>
      <c r="D890" s="216" t="s">
        <v>190</v>
      </c>
      <c r="E890" s="216">
        <v>2</v>
      </c>
      <c r="F890" s="216" t="s">
        <v>242</v>
      </c>
      <c r="G890" s="216">
        <v>2</v>
      </c>
      <c r="H890" s="216">
        <v>0</v>
      </c>
      <c r="I890" s="216">
        <v>0</v>
      </c>
      <c r="J890" s="216">
        <v>0</v>
      </c>
    </row>
    <row r="891" spans="1:10" ht="18" customHeight="1">
      <c r="A891" s="227">
        <v>42632</v>
      </c>
      <c r="B891" s="214" t="s">
        <v>422</v>
      </c>
      <c r="C891" s="224">
        <v>300009000071</v>
      </c>
      <c r="D891" s="216" t="s">
        <v>192</v>
      </c>
      <c r="E891" s="216">
        <v>34</v>
      </c>
      <c r="F891" s="216">
        <v>4724</v>
      </c>
      <c r="G891" s="216">
        <v>34</v>
      </c>
      <c r="H891" s="216">
        <v>16</v>
      </c>
      <c r="I891" s="216">
        <v>67610.259999999995</v>
      </c>
      <c r="J891" s="216">
        <v>2.37</v>
      </c>
    </row>
    <row r="892" spans="1:10" ht="18" customHeight="1">
      <c r="A892" s="227">
        <v>42632</v>
      </c>
      <c r="B892" s="214" t="s">
        <v>422</v>
      </c>
      <c r="C892" s="224">
        <v>300009235971</v>
      </c>
      <c r="D892" s="216" t="s">
        <v>241</v>
      </c>
      <c r="E892" s="216">
        <v>41</v>
      </c>
      <c r="F892" s="216">
        <v>3490</v>
      </c>
      <c r="G892" s="216">
        <v>41</v>
      </c>
      <c r="H892" s="216">
        <v>21</v>
      </c>
      <c r="I892" s="216">
        <v>57895.7</v>
      </c>
      <c r="J892" s="216">
        <v>3.63</v>
      </c>
    </row>
    <row r="893" spans="1:10" ht="18" customHeight="1">
      <c r="A893" s="227">
        <v>42632</v>
      </c>
      <c r="B893" s="214" t="s">
        <v>422</v>
      </c>
      <c r="C893" s="224">
        <v>300008875665</v>
      </c>
      <c r="D893" s="216" t="s">
        <v>189</v>
      </c>
      <c r="E893" s="216">
        <v>18</v>
      </c>
      <c r="F893" s="216">
        <v>2418</v>
      </c>
      <c r="G893" s="216">
        <v>18</v>
      </c>
      <c r="H893" s="216">
        <v>6</v>
      </c>
      <c r="I893" s="216">
        <v>41251.25</v>
      </c>
      <c r="J893" s="216">
        <v>1.45</v>
      </c>
    </row>
    <row r="894" spans="1:10" ht="18" customHeight="1">
      <c r="A894" s="227">
        <v>42632</v>
      </c>
      <c r="B894" s="214" t="s">
        <v>422</v>
      </c>
      <c r="C894" s="224">
        <v>300009235974</v>
      </c>
      <c r="D894" s="216" t="s">
        <v>187</v>
      </c>
      <c r="E894" s="216">
        <v>19</v>
      </c>
      <c r="F894" s="216">
        <v>2304</v>
      </c>
      <c r="G894" s="216">
        <v>19</v>
      </c>
      <c r="H894" s="216">
        <v>8</v>
      </c>
      <c r="I894" s="216">
        <v>40732.699999999997</v>
      </c>
      <c r="J894" s="216">
        <v>1.96</v>
      </c>
    </row>
    <row r="895" spans="1:10" ht="18" customHeight="1">
      <c r="A895" s="227">
        <v>42632</v>
      </c>
      <c r="B895" s="214" t="s">
        <v>422</v>
      </c>
      <c r="C895" s="224">
        <v>300008244937</v>
      </c>
      <c r="D895" s="216" t="s">
        <v>272</v>
      </c>
      <c r="E895" s="216">
        <v>13</v>
      </c>
      <c r="F895" s="216">
        <v>1707</v>
      </c>
      <c r="G895" s="216">
        <v>13</v>
      </c>
      <c r="H895" s="216">
        <v>1</v>
      </c>
      <c r="I895" s="216">
        <v>21479.33</v>
      </c>
      <c r="J895" s="216">
        <v>0.47</v>
      </c>
    </row>
    <row r="896" spans="1:10" ht="18" customHeight="1">
      <c r="A896" s="227">
        <v>42632</v>
      </c>
      <c r="B896" s="214" t="s">
        <v>422</v>
      </c>
      <c r="C896" s="224">
        <v>300008579657</v>
      </c>
      <c r="D896" s="216" t="s">
        <v>188</v>
      </c>
      <c r="E896" s="216">
        <v>8</v>
      </c>
      <c r="F896" s="216">
        <v>1339</v>
      </c>
      <c r="G896" s="216">
        <v>8</v>
      </c>
      <c r="H896" s="216">
        <v>1</v>
      </c>
      <c r="I896" s="216">
        <v>17257.37</v>
      </c>
      <c r="J896" s="216">
        <v>0.57999999999999996</v>
      </c>
    </row>
    <row r="897" spans="1:10" ht="18" customHeight="1">
      <c r="A897" s="227">
        <v>42632</v>
      </c>
      <c r="B897" s="214" t="s">
        <v>422</v>
      </c>
      <c r="C897" s="224">
        <v>300009003496</v>
      </c>
      <c r="D897" s="216" t="s">
        <v>240</v>
      </c>
      <c r="E897" s="216">
        <v>3</v>
      </c>
      <c r="F897" s="216">
        <v>14</v>
      </c>
      <c r="G897" s="216">
        <v>3</v>
      </c>
      <c r="H897" s="216">
        <v>0</v>
      </c>
      <c r="I897" s="216">
        <v>150.53</v>
      </c>
      <c r="J897" s="216">
        <v>0</v>
      </c>
    </row>
    <row r="898" spans="1:10" ht="18" customHeight="1">
      <c r="A898" s="227">
        <v>42632</v>
      </c>
      <c r="B898" s="214" t="s">
        <v>422</v>
      </c>
      <c r="C898" s="224">
        <v>300008839381</v>
      </c>
      <c r="D898" s="216" t="s">
        <v>190</v>
      </c>
      <c r="E898" s="216">
        <v>4</v>
      </c>
      <c r="F898" s="216" t="s">
        <v>242</v>
      </c>
      <c r="G898" s="216">
        <v>4</v>
      </c>
      <c r="H898" s="216">
        <v>0</v>
      </c>
      <c r="I898" s="216">
        <v>0</v>
      </c>
      <c r="J898" s="216">
        <v>0</v>
      </c>
    </row>
    <row r="899" spans="1:10" ht="18" customHeight="1">
      <c r="A899" s="227">
        <v>42633</v>
      </c>
      <c r="B899" s="214" t="s">
        <v>422</v>
      </c>
      <c r="C899" s="224">
        <v>300009000071</v>
      </c>
      <c r="D899" s="216" t="s">
        <v>192</v>
      </c>
      <c r="E899" s="216">
        <v>37</v>
      </c>
      <c r="F899" s="216">
        <v>4724</v>
      </c>
      <c r="G899" s="216">
        <v>37</v>
      </c>
      <c r="H899" s="216">
        <v>18</v>
      </c>
      <c r="I899" s="216">
        <v>67610.259999999995</v>
      </c>
      <c r="J899" s="216">
        <v>2.66</v>
      </c>
    </row>
    <row r="900" spans="1:10" ht="18" customHeight="1">
      <c r="A900" s="227">
        <v>42633</v>
      </c>
      <c r="B900" s="214" t="s">
        <v>422</v>
      </c>
      <c r="C900" s="224">
        <v>300009235971</v>
      </c>
      <c r="D900" s="216" t="s">
        <v>241</v>
      </c>
      <c r="E900" s="216">
        <v>44</v>
      </c>
      <c r="F900" s="216">
        <v>3490</v>
      </c>
      <c r="G900" s="216">
        <v>44</v>
      </c>
      <c r="H900" s="216">
        <v>21</v>
      </c>
      <c r="I900" s="216">
        <v>57895.7</v>
      </c>
      <c r="J900" s="216">
        <v>3.63</v>
      </c>
    </row>
    <row r="901" spans="1:10" ht="18" customHeight="1">
      <c r="A901" s="227">
        <v>42633</v>
      </c>
      <c r="B901" s="214" t="s">
        <v>422</v>
      </c>
      <c r="C901" s="224">
        <v>300008875665</v>
      </c>
      <c r="D901" s="216" t="s">
        <v>189</v>
      </c>
      <c r="E901" s="216">
        <v>18</v>
      </c>
      <c r="F901" s="216">
        <v>2418</v>
      </c>
      <c r="G901" s="216">
        <v>18</v>
      </c>
      <c r="H901" s="216">
        <v>6</v>
      </c>
      <c r="I901" s="216">
        <v>41251.25</v>
      </c>
      <c r="J901" s="216">
        <v>1.45</v>
      </c>
    </row>
    <row r="902" spans="1:10" ht="18" customHeight="1">
      <c r="A902" s="227">
        <v>42633</v>
      </c>
      <c r="B902" s="214" t="s">
        <v>422</v>
      </c>
      <c r="C902" s="224">
        <v>300009235974</v>
      </c>
      <c r="D902" s="216" t="s">
        <v>187</v>
      </c>
      <c r="E902" s="216">
        <v>19</v>
      </c>
      <c r="F902" s="216">
        <v>2304</v>
      </c>
      <c r="G902" s="216">
        <v>19</v>
      </c>
      <c r="H902" s="216">
        <v>8</v>
      </c>
      <c r="I902" s="216">
        <v>40732.699999999997</v>
      </c>
      <c r="J902" s="216">
        <v>1.96</v>
      </c>
    </row>
    <row r="903" spans="1:10" ht="18" customHeight="1">
      <c r="A903" s="227">
        <v>42633</v>
      </c>
      <c r="B903" s="214" t="s">
        <v>422</v>
      </c>
      <c r="C903" s="224">
        <v>300008244937</v>
      </c>
      <c r="D903" s="216" t="s">
        <v>272</v>
      </c>
      <c r="E903" s="216">
        <v>14</v>
      </c>
      <c r="F903" s="216">
        <v>1707</v>
      </c>
      <c r="G903" s="216">
        <v>14</v>
      </c>
      <c r="H903" s="216">
        <v>1</v>
      </c>
      <c r="I903" s="216">
        <v>21479.33</v>
      </c>
      <c r="J903" s="216">
        <v>0.47</v>
      </c>
    </row>
    <row r="904" spans="1:10" ht="18" customHeight="1">
      <c r="A904" s="227">
        <v>42633</v>
      </c>
      <c r="B904" s="214" t="s">
        <v>422</v>
      </c>
      <c r="C904" s="224">
        <v>300008579657</v>
      </c>
      <c r="D904" s="216" t="s">
        <v>188</v>
      </c>
      <c r="E904" s="216">
        <v>8</v>
      </c>
      <c r="F904" s="216">
        <v>1339</v>
      </c>
      <c r="G904" s="216">
        <v>8</v>
      </c>
      <c r="H904" s="216">
        <v>1</v>
      </c>
      <c r="I904" s="216">
        <v>17257.37</v>
      </c>
      <c r="J904" s="216">
        <v>0.57999999999999996</v>
      </c>
    </row>
    <row r="905" spans="1:10" ht="18" customHeight="1">
      <c r="A905" s="227">
        <v>42633</v>
      </c>
      <c r="B905" s="214" t="s">
        <v>422</v>
      </c>
      <c r="C905" s="224">
        <v>300009003496</v>
      </c>
      <c r="D905" s="216" t="s">
        <v>240</v>
      </c>
      <c r="E905" s="216">
        <v>3</v>
      </c>
      <c r="F905" s="216">
        <v>14</v>
      </c>
      <c r="G905" s="216">
        <v>3</v>
      </c>
      <c r="H905" s="216">
        <v>0</v>
      </c>
      <c r="I905" s="216">
        <v>150.53</v>
      </c>
      <c r="J905" s="216">
        <v>0</v>
      </c>
    </row>
    <row r="906" spans="1:10" ht="18" customHeight="1">
      <c r="A906" s="227">
        <v>42633</v>
      </c>
      <c r="B906" s="214" t="s">
        <v>422</v>
      </c>
      <c r="C906" s="224">
        <v>300008839381</v>
      </c>
      <c r="D906" s="216" t="s">
        <v>190</v>
      </c>
      <c r="E906" s="216">
        <v>4</v>
      </c>
      <c r="F906" s="216" t="s">
        <v>242</v>
      </c>
      <c r="G906" s="216">
        <v>4</v>
      </c>
      <c r="H906" s="216">
        <v>0</v>
      </c>
      <c r="I906" s="216">
        <v>0</v>
      </c>
      <c r="J906" s="216">
        <v>0</v>
      </c>
    </row>
    <row r="907" spans="1:10" ht="18" customHeight="1">
      <c r="A907" s="227">
        <v>42634</v>
      </c>
      <c r="B907" s="214" t="s">
        <v>422</v>
      </c>
      <c r="C907" s="224">
        <v>300009000071</v>
      </c>
      <c r="D907" s="216" t="s">
        <v>192</v>
      </c>
      <c r="E907" s="216">
        <v>43</v>
      </c>
      <c r="F907" s="216">
        <v>4724</v>
      </c>
      <c r="G907" s="216">
        <v>43</v>
      </c>
      <c r="H907" s="216">
        <v>20</v>
      </c>
      <c r="I907" s="216">
        <v>67610.259999999995</v>
      </c>
      <c r="J907" s="216">
        <v>2.96</v>
      </c>
    </row>
    <row r="908" spans="1:10" ht="18" customHeight="1">
      <c r="A908" s="227">
        <v>42634</v>
      </c>
      <c r="B908" s="214" t="s">
        <v>422</v>
      </c>
      <c r="C908" s="224">
        <v>300009235971</v>
      </c>
      <c r="D908" s="216" t="s">
        <v>241</v>
      </c>
      <c r="E908" s="216">
        <v>44</v>
      </c>
      <c r="F908" s="216">
        <v>3490</v>
      </c>
      <c r="G908" s="216">
        <v>44</v>
      </c>
      <c r="H908" s="216">
        <v>22</v>
      </c>
      <c r="I908" s="216">
        <v>57895.7</v>
      </c>
      <c r="J908" s="216">
        <v>3.8</v>
      </c>
    </row>
    <row r="909" spans="1:10" ht="18" customHeight="1">
      <c r="A909" s="227">
        <v>42634</v>
      </c>
      <c r="B909" s="214" t="s">
        <v>422</v>
      </c>
      <c r="C909" s="224">
        <v>300008875665</v>
      </c>
      <c r="D909" s="216" t="s">
        <v>189</v>
      </c>
      <c r="E909" s="216">
        <v>19</v>
      </c>
      <c r="F909" s="216">
        <v>2418</v>
      </c>
      <c r="G909" s="216">
        <v>19</v>
      </c>
      <c r="H909" s="216">
        <v>6</v>
      </c>
      <c r="I909" s="216">
        <v>41251.25</v>
      </c>
      <c r="J909" s="216">
        <v>1.45</v>
      </c>
    </row>
    <row r="910" spans="1:10" ht="18" customHeight="1">
      <c r="A910" s="227">
        <v>42634</v>
      </c>
      <c r="B910" s="214" t="s">
        <v>422</v>
      </c>
      <c r="C910" s="224">
        <v>300009235974</v>
      </c>
      <c r="D910" s="216" t="s">
        <v>187</v>
      </c>
      <c r="E910" s="216">
        <v>19</v>
      </c>
      <c r="F910" s="216">
        <v>2304</v>
      </c>
      <c r="G910" s="216">
        <v>19</v>
      </c>
      <c r="H910" s="216">
        <v>8</v>
      </c>
      <c r="I910" s="216">
        <v>40732.699999999997</v>
      </c>
      <c r="J910" s="216">
        <v>1.96</v>
      </c>
    </row>
    <row r="911" spans="1:10" ht="18" customHeight="1">
      <c r="A911" s="227">
        <v>42634</v>
      </c>
      <c r="B911" s="214" t="s">
        <v>422</v>
      </c>
      <c r="C911" s="224">
        <v>300008244937</v>
      </c>
      <c r="D911" s="216" t="s">
        <v>272</v>
      </c>
      <c r="E911" s="216">
        <v>15</v>
      </c>
      <c r="F911" s="216">
        <v>1707</v>
      </c>
      <c r="G911" s="216">
        <v>15</v>
      </c>
      <c r="H911" s="216">
        <v>2</v>
      </c>
      <c r="I911" s="216">
        <v>21479.33</v>
      </c>
      <c r="J911" s="216">
        <v>0.93</v>
      </c>
    </row>
    <row r="912" spans="1:10" ht="18" customHeight="1">
      <c r="A912" s="227">
        <v>42634</v>
      </c>
      <c r="B912" s="214" t="s">
        <v>422</v>
      </c>
      <c r="C912" s="224">
        <v>300008579657</v>
      </c>
      <c r="D912" s="216" t="s">
        <v>188</v>
      </c>
      <c r="E912" s="216">
        <v>13</v>
      </c>
      <c r="F912" s="216">
        <v>1339</v>
      </c>
      <c r="G912" s="216">
        <v>13</v>
      </c>
      <c r="H912" s="216">
        <v>2</v>
      </c>
      <c r="I912" s="216">
        <v>17257.37</v>
      </c>
      <c r="J912" s="216">
        <v>1.1599999999999999</v>
      </c>
    </row>
    <row r="913" spans="1:10" ht="18" customHeight="1">
      <c r="A913" s="227">
        <v>42634</v>
      </c>
      <c r="B913" s="214" t="s">
        <v>422</v>
      </c>
      <c r="C913" s="224">
        <v>300009003496</v>
      </c>
      <c r="D913" s="216" t="s">
        <v>240</v>
      </c>
      <c r="E913" s="216">
        <v>3</v>
      </c>
      <c r="F913" s="216">
        <v>14</v>
      </c>
      <c r="G913" s="216">
        <v>3</v>
      </c>
      <c r="H913" s="216">
        <v>0</v>
      </c>
      <c r="I913" s="216">
        <v>150.53</v>
      </c>
      <c r="J913" s="216">
        <v>0</v>
      </c>
    </row>
    <row r="914" spans="1:10" ht="18" customHeight="1">
      <c r="A914" s="227">
        <v>42634</v>
      </c>
      <c r="B914" s="214" t="s">
        <v>422</v>
      </c>
      <c r="C914" s="224">
        <v>300008839381</v>
      </c>
      <c r="D914" s="216" t="s">
        <v>190</v>
      </c>
      <c r="E914" s="216">
        <v>5</v>
      </c>
      <c r="F914" s="216" t="s">
        <v>242</v>
      </c>
      <c r="G914" s="216">
        <v>5</v>
      </c>
      <c r="H914" s="216">
        <v>1</v>
      </c>
      <c r="I914" s="216">
        <v>0</v>
      </c>
      <c r="J914" s="216">
        <v>1</v>
      </c>
    </row>
    <row r="915" spans="1:10" ht="18" customHeight="1">
      <c r="A915" s="227">
        <v>42631</v>
      </c>
      <c r="B915" s="214" t="s">
        <v>423</v>
      </c>
      <c r="C915" s="224">
        <v>300009290321</v>
      </c>
      <c r="D915" s="216" t="s">
        <v>194</v>
      </c>
      <c r="E915" s="216">
        <v>20</v>
      </c>
      <c r="F915" s="216">
        <v>1719</v>
      </c>
      <c r="G915" s="216">
        <v>20</v>
      </c>
      <c r="H915" s="216">
        <v>9</v>
      </c>
      <c r="I915" s="216">
        <v>34429.699999999997</v>
      </c>
      <c r="J915" s="216">
        <v>2.61</v>
      </c>
    </row>
    <row r="916" spans="1:10" ht="18" customHeight="1">
      <c r="A916" s="227">
        <v>42632</v>
      </c>
      <c r="B916" s="214" t="s">
        <v>423</v>
      </c>
      <c r="C916" s="224">
        <v>300009290321</v>
      </c>
      <c r="D916" s="216" t="s">
        <v>194</v>
      </c>
      <c r="E916" s="216">
        <v>21</v>
      </c>
      <c r="F916" s="216">
        <v>1538</v>
      </c>
      <c r="G916" s="216">
        <v>21</v>
      </c>
      <c r="H916" s="216">
        <v>9</v>
      </c>
      <c r="I916" s="216">
        <v>30940.6</v>
      </c>
      <c r="J916" s="216">
        <v>2.91</v>
      </c>
    </row>
    <row r="917" spans="1:10" ht="18" customHeight="1">
      <c r="A917" s="227">
        <v>42633</v>
      </c>
      <c r="B917" s="214" t="s">
        <v>423</v>
      </c>
      <c r="C917" s="224">
        <v>300009290321</v>
      </c>
      <c r="D917" s="216" t="s">
        <v>194</v>
      </c>
      <c r="E917" s="216">
        <v>21</v>
      </c>
      <c r="F917" s="216">
        <v>1378</v>
      </c>
      <c r="G917" s="216">
        <v>21</v>
      </c>
      <c r="H917" s="216">
        <v>9</v>
      </c>
      <c r="I917" s="216">
        <v>27997.9</v>
      </c>
      <c r="J917" s="216">
        <v>3.21</v>
      </c>
    </row>
    <row r="918" spans="1:10" ht="18" customHeight="1">
      <c r="A918" s="227">
        <v>42634</v>
      </c>
      <c r="B918" s="214" t="s">
        <v>423</v>
      </c>
      <c r="C918" s="224">
        <v>300009290321</v>
      </c>
      <c r="D918" s="216" t="s">
        <v>194</v>
      </c>
      <c r="E918" s="216">
        <v>20</v>
      </c>
      <c r="F918" s="216">
        <v>1159</v>
      </c>
      <c r="G918" s="216">
        <v>20</v>
      </c>
      <c r="H918" s="216">
        <v>9</v>
      </c>
      <c r="I918" s="216">
        <v>23896.1</v>
      </c>
      <c r="J918" s="216">
        <v>3.77</v>
      </c>
    </row>
    <row r="919" spans="1:10" s="47" customFormat="1" ht="18" customHeight="1">
      <c r="A919" s="227">
        <v>42634</v>
      </c>
      <c r="B919" s="214" t="s">
        <v>169</v>
      </c>
      <c r="C919" s="224">
        <v>300009290321</v>
      </c>
      <c r="D919" s="214" t="s">
        <v>194</v>
      </c>
      <c r="E919" s="216">
        <v>19</v>
      </c>
      <c r="F919" s="216">
        <v>925</v>
      </c>
      <c r="G919" s="216">
        <v>19</v>
      </c>
      <c r="H919" s="216">
        <v>9</v>
      </c>
      <c r="I919" s="216">
        <v>18930.7</v>
      </c>
      <c r="J919" s="216">
        <v>4.75</v>
      </c>
    </row>
    <row r="920" spans="1:10" ht="18" customHeight="1">
      <c r="A920" s="227">
        <v>42635</v>
      </c>
      <c r="B920" s="214" t="s">
        <v>424</v>
      </c>
      <c r="C920" s="224">
        <v>300009480238</v>
      </c>
      <c r="D920" s="214" t="s">
        <v>263</v>
      </c>
      <c r="E920" s="216">
        <v>9</v>
      </c>
      <c r="F920" s="216">
        <v>710</v>
      </c>
      <c r="G920" s="216">
        <v>9</v>
      </c>
      <c r="H920" s="216">
        <v>2</v>
      </c>
      <c r="I920" s="216">
        <v>10872.3</v>
      </c>
      <c r="J920" s="216">
        <v>1.84</v>
      </c>
    </row>
    <row r="921" spans="1:10" ht="18" customHeight="1">
      <c r="A921" s="227">
        <v>42635</v>
      </c>
      <c r="B921" s="214" t="s">
        <v>428</v>
      </c>
      <c r="C921" s="224">
        <v>300009000071</v>
      </c>
      <c r="D921" s="216" t="s">
        <v>425</v>
      </c>
      <c r="E921" s="216">
        <v>45</v>
      </c>
      <c r="F921" s="216">
        <v>4724</v>
      </c>
      <c r="G921" s="216">
        <v>45</v>
      </c>
      <c r="H921" s="216">
        <v>21</v>
      </c>
      <c r="I921" s="216">
        <v>67610.259999999995</v>
      </c>
      <c r="J921" s="216">
        <v>3.11</v>
      </c>
    </row>
    <row r="922" spans="1:10" ht="18" customHeight="1">
      <c r="A922" s="227">
        <v>42635</v>
      </c>
      <c r="B922" s="214" t="s">
        <v>428</v>
      </c>
      <c r="C922" s="224">
        <v>300009235971</v>
      </c>
      <c r="D922" s="214" t="s">
        <v>241</v>
      </c>
      <c r="E922" s="216">
        <v>45</v>
      </c>
      <c r="F922" s="216">
        <v>3490</v>
      </c>
      <c r="G922" s="216">
        <v>45</v>
      </c>
      <c r="H922" s="216">
        <v>22</v>
      </c>
      <c r="I922" s="216">
        <v>57895.7</v>
      </c>
      <c r="J922" s="216">
        <v>3.8</v>
      </c>
    </row>
    <row r="923" spans="1:10" ht="18" customHeight="1">
      <c r="A923" s="227">
        <v>42635</v>
      </c>
      <c r="B923" s="214" t="s">
        <v>428</v>
      </c>
      <c r="C923" s="224">
        <v>300008875665</v>
      </c>
      <c r="D923" s="214" t="s">
        <v>189</v>
      </c>
      <c r="E923" s="216">
        <v>19</v>
      </c>
      <c r="F923" s="216">
        <v>2418</v>
      </c>
      <c r="G923" s="216">
        <v>19</v>
      </c>
      <c r="H923" s="216">
        <v>6</v>
      </c>
      <c r="I923" s="216">
        <v>41251.25</v>
      </c>
      <c r="J923" s="216">
        <v>1.45</v>
      </c>
    </row>
    <row r="924" spans="1:10" ht="18" customHeight="1">
      <c r="A924" s="227">
        <v>42635</v>
      </c>
      <c r="B924" s="214" t="s">
        <v>428</v>
      </c>
      <c r="C924" s="224">
        <v>300009235974</v>
      </c>
      <c r="D924" s="214" t="s">
        <v>187</v>
      </c>
      <c r="E924" s="216">
        <v>19</v>
      </c>
      <c r="F924" s="216">
        <v>2304</v>
      </c>
      <c r="G924" s="216">
        <v>19</v>
      </c>
      <c r="H924" s="216">
        <v>8</v>
      </c>
      <c r="I924" s="216">
        <v>40732.699999999997</v>
      </c>
      <c r="J924" s="216">
        <v>1.96</v>
      </c>
    </row>
    <row r="925" spans="1:10" ht="18" customHeight="1">
      <c r="A925" s="227">
        <v>42635</v>
      </c>
      <c r="B925" s="214" t="s">
        <v>428</v>
      </c>
      <c r="C925" s="224">
        <v>300008244937</v>
      </c>
      <c r="D925" s="214" t="s">
        <v>272</v>
      </c>
      <c r="E925" s="216">
        <v>16</v>
      </c>
      <c r="F925" s="216">
        <v>1707</v>
      </c>
      <c r="G925" s="216">
        <v>16</v>
      </c>
      <c r="H925" s="216">
        <v>2</v>
      </c>
      <c r="I925" s="216">
        <v>21479.33</v>
      </c>
      <c r="J925" s="216">
        <v>0.93</v>
      </c>
    </row>
    <row r="926" spans="1:10" ht="18" customHeight="1">
      <c r="A926" s="227">
        <v>42635</v>
      </c>
      <c r="B926" s="214" t="s">
        <v>428</v>
      </c>
      <c r="C926" s="224">
        <v>300008579657</v>
      </c>
      <c r="D926" s="214" t="s">
        <v>426</v>
      </c>
      <c r="E926" s="216">
        <v>13</v>
      </c>
      <c r="F926" s="216">
        <v>1339</v>
      </c>
      <c r="G926" s="216">
        <v>13</v>
      </c>
      <c r="H926" s="216">
        <v>2</v>
      </c>
      <c r="I926" s="216">
        <v>17257.37</v>
      </c>
      <c r="J926" s="216">
        <v>1.1599999999999999</v>
      </c>
    </row>
    <row r="927" spans="1:10" ht="18" customHeight="1">
      <c r="A927" s="227">
        <v>42635</v>
      </c>
      <c r="B927" s="214" t="s">
        <v>428</v>
      </c>
      <c r="C927" s="224">
        <v>300009003496</v>
      </c>
      <c r="D927" s="214" t="s">
        <v>427</v>
      </c>
      <c r="E927" s="216">
        <v>3</v>
      </c>
      <c r="F927" s="216">
        <v>14</v>
      </c>
      <c r="G927" s="216">
        <v>3</v>
      </c>
      <c r="H927" s="216">
        <v>0</v>
      </c>
      <c r="I927" s="216">
        <v>150.53</v>
      </c>
      <c r="J927" s="216">
        <v>0</v>
      </c>
    </row>
    <row r="928" spans="1:10" ht="18" customHeight="1">
      <c r="A928" s="227">
        <v>42635</v>
      </c>
      <c r="B928" s="214" t="s">
        <v>428</v>
      </c>
      <c r="C928" s="224">
        <v>300008839381</v>
      </c>
      <c r="D928" s="214" t="s">
        <v>190</v>
      </c>
      <c r="E928" s="216">
        <v>5</v>
      </c>
      <c r="F928" s="216" t="s">
        <v>242</v>
      </c>
      <c r="G928" s="216">
        <v>5</v>
      </c>
      <c r="H928" s="216">
        <v>1</v>
      </c>
      <c r="I928" s="216">
        <v>0</v>
      </c>
      <c r="J928" s="216">
        <v>1</v>
      </c>
    </row>
    <row r="929" spans="1:10" ht="18" customHeight="1">
      <c r="A929" s="227">
        <v>42635</v>
      </c>
      <c r="B929" s="214" t="s">
        <v>431</v>
      </c>
      <c r="C929" s="224">
        <v>300009184067</v>
      </c>
      <c r="D929" s="214" t="s">
        <v>233</v>
      </c>
      <c r="E929" s="216">
        <v>50</v>
      </c>
      <c r="F929" s="216">
        <v>6286</v>
      </c>
      <c r="G929" s="216">
        <v>50</v>
      </c>
      <c r="H929" s="216">
        <v>13</v>
      </c>
      <c r="I929" s="216">
        <v>86992.1</v>
      </c>
      <c r="J929" s="216">
        <v>1.49</v>
      </c>
    </row>
    <row r="930" spans="1:10" ht="18" customHeight="1">
      <c r="A930" s="227">
        <v>42635</v>
      </c>
      <c r="B930" s="214" t="s">
        <v>431</v>
      </c>
      <c r="C930" s="224">
        <v>300009406201</v>
      </c>
      <c r="D930" s="214" t="s">
        <v>234</v>
      </c>
      <c r="E930" s="216">
        <v>51</v>
      </c>
      <c r="F930" s="216">
        <v>5879</v>
      </c>
      <c r="G930" s="216">
        <v>51</v>
      </c>
      <c r="H930" s="216">
        <v>14</v>
      </c>
      <c r="I930" s="216">
        <v>83097</v>
      </c>
      <c r="J930" s="216">
        <v>1.68</v>
      </c>
    </row>
    <row r="931" spans="1:10" ht="18" customHeight="1">
      <c r="A931" s="227">
        <v>42635</v>
      </c>
      <c r="B931" s="214" t="s">
        <v>431</v>
      </c>
      <c r="C931" s="224">
        <v>300009374212</v>
      </c>
      <c r="D931" s="214" t="s">
        <v>235</v>
      </c>
      <c r="E931" s="216">
        <v>17</v>
      </c>
      <c r="F931" s="216">
        <v>2602</v>
      </c>
      <c r="G931" s="216">
        <v>17</v>
      </c>
      <c r="H931" s="216">
        <v>2</v>
      </c>
      <c r="I931" s="216">
        <v>38488.5</v>
      </c>
      <c r="J931" s="216">
        <v>0.52</v>
      </c>
    </row>
    <row r="932" spans="1:10" ht="18" customHeight="1">
      <c r="A932" s="227">
        <v>42635</v>
      </c>
      <c r="B932" s="214" t="s">
        <v>431</v>
      </c>
      <c r="C932" s="224">
        <v>300009406202</v>
      </c>
      <c r="D932" s="214" t="s">
        <v>232</v>
      </c>
      <c r="E932" s="216">
        <v>19</v>
      </c>
      <c r="F932" s="216">
        <v>1629</v>
      </c>
      <c r="G932" s="216">
        <v>19</v>
      </c>
      <c r="H932" s="216">
        <v>10</v>
      </c>
      <c r="I932" s="216">
        <v>26265.8</v>
      </c>
      <c r="J932" s="216">
        <v>3.81</v>
      </c>
    </row>
    <row r="933" spans="1:10" ht="18" customHeight="1">
      <c r="A933" s="227">
        <v>42635</v>
      </c>
      <c r="B933" s="214" t="s">
        <v>431</v>
      </c>
      <c r="C933" s="224">
        <v>300009185572</v>
      </c>
      <c r="D933" s="214" t="s">
        <v>237</v>
      </c>
      <c r="E933" s="216">
        <v>1</v>
      </c>
      <c r="F933" s="216">
        <v>85</v>
      </c>
      <c r="G933" s="216">
        <v>1</v>
      </c>
      <c r="H933" s="216">
        <v>0</v>
      </c>
      <c r="I933" s="216">
        <v>1107.5</v>
      </c>
      <c r="J933" s="216">
        <v>0</v>
      </c>
    </row>
    <row r="934" spans="1:10" ht="18" customHeight="1">
      <c r="A934" s="227">
        <v>42635</v>
      </c>
      <c r="B934" s="214" t="s">
        <v>431</v>
      </c>
      <c r="C934" s="224">
        <v>300009374215</v>
      </c>
      <c r="D934" s="214" t="s">
        <v>236</v>
      </c>
      <c r="E934" s="216">
        <v>3</v>
      </c>
      <c r="F934" s="216" t="s">
        <v>242</v>
      </c>
      <c r="G934" s="216">
        <v>3</v>
      </c>
      <c r="H934" s="216">
        <v>1</v>
      </c>
      <c r="I934" s="216">
        <v>0</v>
      </c>
      <c r="J934" s="216">
        <v>1</v>
      </c>
    </row>
    <row r="935" spans="1:10" ht="18" customHeight="1">
      <c r="A935" s="227">
        <v>42635</v>
      </c>
      <c r="B935" s="214" t="s">
        <v>424</v>
      </c>
      <c r="C935" s="224">
        <v>300009480238</v>
      </c>
      <c r="D935" s="214" t="s">
        <v>263</v>
      </c>
      <c r="E935" s="216">
        <v>9</v>
      </c>
      <c r="F935" s="216">
        <v>710</v>
      </c>
      <c r="G935" s="216">
        <v>9</v>
      </c>
      <c r="H935" s="216">
        <v>2</v>
      </c>
      <c r="I935" s="216">
        <v>10872.3</v>
      </c>
      <c r="J935" s="216">
        <v>1.84</v>
      </c>
    </row>
    <row r="936" spans="1:10" ht="18" customHeight="1">
      <c r="A936" s="227">
        <v>42635</v>
      </c>
      <c r="B936" s="214" t="s">
        <v>432</v>
      </c>
      <c r="C936" s="224">
        <v>300009358277</v>
      </c>
      <c r="D936" s="214" t="s">
        <v>429</v>
      </c>
      <c r="E936" s="216">
        <v>234</v>
      </c>
      <c r="F936" s="216">
        <v>24574</v>
      </c>
      <c r="G936" s="216">
        <v>95.22</v>
      </c>
      <c r="H936" s="216">
        <v>121</v>
      </c>
      <c r="I936" s="216">
        <v>534906.5</v>
      </c>
      <c r="J936" s="216">
        <v>2.2599999999999998</v>
      </c>
    </row>
    <row r="937" spans="1:10" ht="18" customHeight="1">
      <c r="A937" s="227">
        <v>42635</v>
      </c>
      <c r="B937" s="214" t="s">
        <v>433</v>
      </c>
      <c r="C937" s="224">
        <v>300009192151</v>
      </c>
      <c r="D937" s="214" t="s">
        <v>430</v>
      </c>
      <c r="E937" s="216">
        <v>15</v>
      </c>
      <c r="F937" s="216">
        <v>1193</v>
      </c>
      <c r="G937" s="216">
        <v>15</v>
      </c>
      <c r="H937" s="216">
        <v>4</v>
      </c>
      <c r="I937" s="216">
        <v>19249.3</v>
      </c>
      <c r="J937" s="216">
        <v>2.08</v>
      </c>
    </row>
    <row r="938" spans="1:10" ht="18" customHeight="1">
      <c r="A938" s="227">
        <v>42636</v>
      </c>
      <c r="B938" s="214" t="s">
        <v>434</v>
      </c>
      <c r="C938" s="224">
        <v>300009000071</v>
      </c>
      <c r="D938" s="216" t="s">
        <v>425</v>
      </c>
      <c r="E938" s="216">
        <v>49</v>
      </c>
      <c r="F938" s="216">
        <v>4724</v>
      </c>
      <c r="G938" s="216">
        <v>49</v>
      </c>
      <c r="H938" s="216">
        <v>23</v>
      </c>
      <c r="I938" s="216">
        <v>67610.259999999995</v>
      </c>
      <c r="J938" s="216">
        <v>3.4</v>
      </c>
    </row>
    <row r="939" spans="1:10" ht="18" customHeight="1">
      <c r="A939" s="227">
        <v>42636</v>
      </c>
      <c r="B939" s="214" t="s">
        <v>434</v>
      </c>
      <c r="C939" s="224">
        <v>300009235971</v>
      </c>
      <c r="D939" s="214" t="s">
        <v>241</v>
      </c>
      <c r="E939" s="216">
        <v>47</v>
      </c>
      <c r="F939" s="216">
        <v>3490</v>
      </c>
      <c r="G939" s="216">
        <v>47</v>
      </c>
      <c r="H939" s="216">
        <v>22</v>
      </c>
      <c r="I939" s="216">
        <v>57895.7</v>
      </c>
      <c r="J939" s="216">
        <v>3.8</v>
      </c>
    </row>
    <row r="940" spans="1:10" ht="18" customHeight="1">
      <c r="A940" s="227">
        <v>42636</v>
      </c>
      <c r="B940" s="214" t="s">
        <v>434</v>
      </c>
      <c r="C940" s="224">
        <v>300008875665</v>
      </c>
      <c r="D940" s="214" t="s">
        <v>189</v>
      </c>
      <c r="E940" s="216">
        <v>20</v>
      </c>
      <c r="F940" s="216">
        <v>2418</v>
      </c>
      <c r="G940" s="216">
        <v>20</v>
      </c>
      <c r="H940" s="216">
        <v>7</v>
      </c>
      <c r="I940" s="216">
        <v>41251.25</v>
      </c>
      <c r="J940" s="216">
        <v>1.7</v>
      </c>
    </row>
    <row r="941" spans="1:10" ht="18" customHeight="1">
      <c r="A941" s="227">
        <v>42636</v>
      </c>
      <c r="B941" s="214" t="s">
        <v>434</v>
      </c>
      <c r="C941" s="224">
        <v>300009235974</v>
      </c>
      <c r="D941" s="214" t="s">
        <v>187</v>
      </c>
      <c r="E941" s="216">
        <v>19</v>
      </c>
      <c r="F941" s="216">
        <v>2304</v>
      </c>
      <c r="G941" s="216">
        <v>19</v>
      </c>
      <c r="H941" s="216">
        <v>8</v>
      </c>
      <c r="I941" s="216">
        <v>40732.699999999997</v>
      </c>
      <c r="J941" s="216">
        <v>1.96</v>
      </c>
    </row>
    <row r="942" spans="1:10" ht="18" customHeight="1">
      <c r="A942" s="227">
        <v>42636</v>
      </c>
      <c r="B942" s="214" t="s">
        <v>434</v>
      </c>
      <c r="C942" s="224">
        <v>300008244937</v>
      </c>
      <c r="D942" s="214" t="s">
        <v>272</v>
      </c>
      <c r="E942" s="216">
        <v>17</v>
      </c>
      <c r="F942" s="216">
        <v>1707</v>
      </c>
      <c r="G942" s="216">
        <v>17</v>
      </c>
      <c r="H942" s="216">
        <v>2</v>
      </c>
      <c r="I942" s="216">
        <v>21479.33</v>
      </c>
      <c r="J942" s="216">
        <v>0.93</v>
      </c>
    </row>
    <row r="943" spans="1:10" ht="18" customHeight="1">
      <c r="A943" s="227">
        <v>42636</v>
      </c>
      <c r="B943" s="214" t="s">
        <v>434</v>
      </c>
      <c r="C943" s="224">
        <v>300008579657</v>
      </c>
      <c r="D943" s="214" t="s">
        <v>426</v>
      </c>
      <c r="E943" s="216">
        <v>13</v>
      </c>
      <c r="F943" s="216">
        <v>1339</v>
      </c>
      <c r="G943" s="216">
        <v>13</v>
      </c>
      <c r="H943" s="216">
        <v>2</v>
      </c>
      <c r="I943" s="216">
        <v>17257.37</v>
      </c>
      <c r="J943" s="216">
        <v>1.1599999999999999</v>
      </c>
    </row>
    <row r="944" spans="1:10" ht="18" customHeight="1">
      <c r="A944" s="227">
        <v>42636</v>
      </c>
      <c r="B944" s="214" t="s">
        <v>434</v>
      </c>
      <c r="C944" s="224">
        <v>300009003496</v>
      </c>
      <c r="D944" s="214" t="s">
        <v>427</v>
      </c>
      <c r="E944" s="216">
        <v>4</v>
      </c>
      <c r="F944" s="216">
        <v>14</v>
      </c>
      <c r="G944" s="216">
        <v>4</v>
      </c>
      <c r="H944" s="216">
        <v>1</v>
      </c>
      <c r="I944" s="216">
        <v>150.53</v>
      </c>
      <c r="J944" s="216">
        <v>1</v>
      </c>
    </row>
    <row r="945" spans="1:10" ht="18" customHeight="1">
      <c r="A945" s="227">
        <v>42636</v>
      </c>
      <c r="B945" s="214" t="s">
        <v>434</v>
      </c>
      <c r="C945" s="224">
        <v>300008839381</v>
      </c>
      <c r="D945" s="214" t="s">
        <v>190</v>
      </c>
      <c r="E945" s="216">
        <v>5</v>
      </c>
      <c r="F945" s="216" t="s">
        <v>242</v>
      </c>
      <c r="G945" s="216">
        <v>5</v>
      </c>
      <c r="H945" s="216">
        <v>1</v>
      </c>
      <c r="I945" s="216">
        <v>0</v>
      </c>
      <c r="J945" s="216">
        <v>1</v>
      </c>
    </row>
    <row r="946" spans="1:10" ht="18" customHeight="1">
      <c r="A946" s="227">
        <v>42636</v>
      </c>
      <c r="B946" s="214" t="s">
        <v>435</v>
      </c>
      <c r="C946" s="224">
        <v>300009290321</v>
      </c>
      <c r="D946" s="214" t="s">
        <v>194</v>
      </c>
      <c r="E946" s="216">
        <v>19</v>
      </c>
      <c r="F946" s="216">
        <v>822</v>
      </c>
      <c r="G946" s="216">
        <v>19</v>
      </c>
      <c r="H946" s="216">
        <v>9</v>
      </c>
      <c r="I946" s="216">
        <v>16912.599999999999</v>
      </c>
      <c r="J946" s="216">
        <v>5.32</v>
      </c>
    </row>
    <row r="947" spans="1:10" ht="18" customHeight="1">
      <c r="A947" s="227">
        <v>42636</v>
      </c>
      <c r="B947" s="214" t="s">
        <v>436</v>
      </c>
      <c r="C947" s="224">
        <v>300009406201</v>
      </c>
      <c r="D947" s="214" t="s">
        <v>234</v>
      </c>
      <c r="E947" s="216">
        <v>52</v>
      </c>
      <c r="F947" s="216">
        <v>5879</v>
      </c>
      <c r="G947" s="216">
        <v>52</v>
      </c>
      <c r="H947" s="216">
        <v>14</v>
      </c>
      <c r="I947" s="216">
        <v>83097</v>
      </c>
      <c r="J947" s="216">
        <v>1.68</v>
      </c>
    </row>
    <row r="948" spans="1:10" ht="18" customHeight="1">
      <c r="A948" s="227">
        <v>42636</v>
      </c>
      <c r="B948" s="214" t="s">
        <v>436</v>
      </c>
      <c r="C948" s="224">
        <v>300009374212</v>
      </c>
      <c r="D948" s="214" t="s">
        <v>235</v>
      </c>
      <c r="E948" s="216">
        <v>20</v>
      </c>
      <c r="F948" s="216">
        <v>2735</v>
      </c>
      <c r="G948" s="216">
        <v>20</v>
      </c>
      <c r="H948" s="216">
        <v>3</v>
      </c>
      <c r="I948" s="216">
        <v>40389.1</v>
      </c>
      <c r="J948" s="216">
        <v>0.74</v>
      </c>
    </row>
    <row r="949" spans="1:10" ht="18" customHeight="1">
      <c r="A949" s="227">
        <v>42636</v>
      </c>
      <c r="B949" s="214" t="s">
        <v>436</v>
      </c>
      <c r="C949" s="224">
        <v>300009406202</v>
      </c>
      <c r="D949" s="214" t="s">
        <v>232</v>
      </c>
      <c r="E949" s="216">
        <v>22</v>
      </c>
      <c r="F949" s="216">
        <v>1766</v>
      </c>
      <c r="G949" s="216">
        <v>22</v>
      </c>
      <c r="H949" s="216">
        <v>12</v>
      </c>
      <c r="I949" s="216">
        <v>28316.6</v>
      </c>
      <c r="J949" s="216">
        <v>4.24</v>
      </c>
    </row>
    <row r="950" spans="1:10" ht="18" customHeight="1">
      <c r="A950" s="227">
        <v>42636</v>
      </c>
      <c r="B950" s="214" t="s">
        <v>436</v>
      </c>
      <c r="C950" s="224">
        <v>300009185572</v>
      </c>
      <c r="D950" s="214" t="s">
        <v>237</v>
      </c>
      <c r="E950" s="216">
        <v>2</v>
      </c>
      <c r="F950" s="216">
        <v>228</v>
      </c>
      <c r="G950" s="216">
        <v>2</v>
      </c>
      <c r="H950" s="216">
        <v>0</v>
      </c>
      <c r="I950" s="216">
        <v>3250.1</v>
      </c>
      <c r="J950" s="216">
        <v>0</v>
      </c>
    </row>
    <row r="951" spans="1:10" ht="18" customHeight="1">
      <c r="A951" s="227">
        <v>42636</v>
      </c>
      <c r="B951" s="214" t="s">
        <v>436</v>
      </c>
      <c r="C951" s="224">
        <v>300009374215</v>
      </c>
      <c r="D951" s="214" t="s">
        <v>236</v>
      </c>
      <c r="E951" s="216">
        <v>3</v>
      </c>
      <c r="F951" s="216" t="s">
        <v>242</v>
      </c>
      <c r="G951" s="216">
        <v>3</v>
      </c>
      <c r="H951" s="216">
        <v>1</v>
      </c>
      <c r="I951" s="216">
        <v>0</v>
      </c>
      <c r="J951" s="216">
        <v>1</v>
      </c>
    </row>
    <row r="952" spans="1:10" ht="18" customHeight="1">
      <c r="A952" s="227">
        <v>42636</v>
      </c>
      <c r="B952" s="214" t="s">
        <v>245</v>
      </c>
      <c r="C952" s="224">
        <v>300009480238</v>
      </c>
      <c r="D952" s="214" t="s">
        <v>263</v>
      </c>
      <c r="E952" s="216">
        <v>14</v>
      </c>
      <c r="F952" s="216">
        <v>1026</v>
      </c>
      <c r="G952" s="216">
        <v>14</v>
      </c>
      <c r="H952" s="216">
        <v>4</v>
      </c>
      <c r="I952" s="216">
        <v>15573.9</v>
      </c>
      <c r="J952" s="216">
        <v>2.57</v>
      </c>
    </row>
    <row r="953" spans="1:10" ht="18" customHeight="1">
      <c r="A953" s="227">
        <v>42636</v>
      </c>
      <c r="B953" s="214" t="s">
        <v>437</v>
      </c>
      <c r="C953" s="224">
        <v>300009358277</v>
      </c>
      <c r="D953" s="214" t="s">
        <v>429</v>
      </c>
      <c r="E953" s="216">
        <v>237</v>
      </c>
      <c r="F953" s="216">
        <v>25504</v>
      </c>
      <c r="G953" s="216">
        <v>92.93</v>
      </c>
      <c r="H953" s="216">
        <v>123</v>
      </c>
      <c r="I953" s="216">
        <v>567183.69999999995</v>
      </c>
      <c r="J953" s="216">
        <v>2.17</v>
      </c>
    </row>
    <row r="954" spans="1:10" ht="18" customHeight="1">
      <c r="A954" s="227">
        <v>42636</v>
      </c>
      <c r="B954" s="214" t="s">
        <v>438</v>
      </c>
      <c r="C954" s="224">
        <v>300009192151</v>
      </c>
      <c r="D954" s="214" t="s">
        <v>430</v>
      </c>
      <c r="E954" s="216">
        <v>16</v>
      </c>
      <c r="F954" s="216">
        <v>1286</v>
      </c>
      <c r="G954" s="216">
        <v>16</v>
      </c>
      <c r="H954" s="216">
        <v>5</v>
      </c>
      <c r="I954" s="216">
        <v>20645.099999999999</v>
      </c>
      <c r="J954" s="216">
        <v>2.42</v>
      </c>
    </row>
    <row r="955" spans="1:10" ht="18" customHeight="1">
      <c r="A955" s="227">
        <v>42637</v>
      </c>
      <c r="B955" s="214" t="s">
        <v>435</v>
      </c>
      <c r="C955" s="224">
        <v>300009290321</v>
      </c>
      <c r="D955" s="214" t="s">
        <v>194</v>
      </c>
      <c r="E955" s="216">
        <v>18</v>
      </c>
      <c r="F955" s="216">
        <v>822</v>
      </c>
      <c r="G955" s="216">
        <v>18</v>
      </c>
      <c r="H955" s="216">
        <v>8</v>
      </c>
      <c r="I955" s="216">
        <v>16912.599999999999</v>
      </c>
      <c r="J955" s="216">
        <v>4.7300000000000004</v>
      </c>
    </row>
    <row r="956" spans="1:10" ht="18" customHeight="1">
      <c r="A956" s="227">
        <v>42638</v>
      </c>
      <c r="B956" s="214" t="s">
        <v>435</v>
      </c>
      <c r="C956" s="224">
        <v>300009290321</v>
      </c>
      <c r="D956" s="214" t="s">
        <v>194</v>
      </c>
      <c r="E956" s="216">
        <v>17</v>
      </c>
      <c r="F956" s="216">
        <v>736</v>
      </c>
      <c r="G956" s="216">
        <v>17</v>
      </c>
      <c r="H956" s="216">
        <v>8</v>
      </c>
      <c r="I956" s="216">
        <v>15111.8</v>
      </c>
      <c r="J956" s="216">
        <v>5.29</v>
      </c>
    </row>
    <row r="957" spans="1:10" ht="18" customHeight="1">
      <c r="A957" s="227">
        <v>42637</v>
      </c>
      <c r="B957" s="214" t="s">
        <v>439</v>
      </c>
      <c r="C957" s="224">
        <v>300009000071</v>
      </c>
      <c r="D957" s="216" t="s">
        <v>425</v>
      </c>
      <c r="E957" s="216">
        <v>49</v>
      </c>
      <c r="F957" s="216">
        <v>4724</v>
      </c>
      <c r="G957" s="216">
        <v>49</v>
      </c>
      <c r="H957" s="216">
        <v>23</v>
      </c>
      <c r="I957" s="216">
        <v>67610.259999999995</v>
      </c>
      <c r="J957" s="216">
        <v>3.4</v>
      </c>
    </row>
    <row r="958" spans="1:10" ht="18" customHeight="1">
      <c r="A958" s="227">
        <v>42637</v>
      </c>
      <c r="B958" s="214" t="s">
        <v>439</v>
      </c>
      <c r="C958" s="224">
        <v>300009235971</v>
      </c>
      <c r="D958" s="214" t="s">
        <v>241</v>
      </c>
      <c r="E958" s="216">
        <v>48</v>
      </c>
      <c r="F958" s="216">
        <v>3490</v>
      </c>
      <c r="G958" s="216">
        <v>48</v>
      </c>
      <c r="H958" s="216">
        <v>22</v>
      </c>
      <c r="I958" s="216">
        <v>57895.7</v>
      </c>
      <c r="J958" s="216">
        <v>3.8</v>
      </c>
    </row>
    <row r="959" spans="1:10" ht="18" customHeight="1">
      <c r="A959" s="227">
        <v>42637</v>
      </c>
      <c r="B959" s="214" t="s">
        <v>439</v>
      </c>
      <c r="C959" s="224">
        <v>300008875665</v>
      </c>
      <c r="D959" s="214" t="s">
        <v>189</v>
      </c>
      <c r="E959" s="216">
        <v>20</v>
      </c>
      <c r="F959" s="216">
        <v>2418</v>
      </c>
      <c r="G959" s="216">
        <v>20</v>
      </c>
      <c r="H959" s="216">
        <v>7</v>
      </c>
      <c r="I959" s="216">
        <v>41251.25</v>
      </c>
      <c r="J959" s="216">
        <v>1.7</v>
      </c>
    </row>
    <row r="960" spans="1:10" ht="18" customHeight="1">
      <c r="A960" s="227">
        <v>42637</v>
      </c>
      <c r="B960" s="214" t="s">
        <v>439</v>
      </c>
      <c r="C960" s="224">
        <v>300009235974</v>
      </c>
      <c r="D960" s="214" t="s">
        <v>187</v>
      </c>
      <c r="E960" s="216">
        <v>19</v>
      </c>
      <c r="F960" s="216">
        <v>2304</v>
      </c>
      <c r="G960" s="216">
        <v>19</v>
      </c>
      <c r="H960" s="216">
        <v>8</v>
      </c>
      <c r="I960" s="216">
        <v>40732.699999999997</v>
      </c>
      <c r="J960" s="216">
        <v>1.96</v>
      </c>
    </row>
    <row r="961" spans="1:10" ht="18" customHeight="1">
      <c r="A961" s="227">
        <v>42637</v>
      </c>
      <c r="B961" s="214" t="s">
        <v>439</v>
      </c>
      <c r="C961" s="224">
        <v>300008244937</v>
      </c>
      <c r="D961" s="214" t="s">
        <v>272</v>
      </c>
      <c r="E961" s="216">
        <v>19</v>
      </c>
      <c r="F961" s="216">
        <v>1707</v>
      </c>
      <c r="G961" s="216">
        <v>19</v>
      </c>
      <c r="H961" s="216">
        <v>2</v>
      </c>
      <c r="I961" s="216">
        <v>21479.33</v>
      </c>
      <c r="J961" s="216">
        <v>0.93</v>
      </c>
    </row>
    <row r="962" spans="1:10" ht="18" customHeight="1">
      <c r="A962" s="227">
        <v>42637</v>
      </c>
      <c r="B962" s="214" t="s">
        <v>439</v>
      </c>
      <c r="C962" s="224">
        <v>300008579657</v>
      </c>
      <c r="D962" s="214" t="s">
        <v>426</v>
      </c>
      <c r="E962" s="216">
        <v>15</v>
      </c>
      <c r="F962" s="216">
        <v>1339</v>
      </c>
      <c r="G962" s="216">
        <v>15</v>
      </c>
      <c r="H962" s="216">
        <v>2</v>
      </c>
      <c r="I962" s="216">
        <v>17257.37</v>
      </c>
      <c r="J962" s="216">
        <v>1.1599999999999999</v>
      </c>
    </row>
    <row r="963" spans="1:10" ht="18" customHeight="1">
      <c r="A963" s="227">
        <v>42637</v>
      </c>
      <c r="B963" s="214" t="s">
        <v>439</v>
      </c>
      <c r="C963" s="224">
        <v>300009003496</v>
      </c>
      <c r="D963" s="214" t="s">
        <v>427</v>
      </c>
      <c r="E963" s="216">
        <v>5</v>
      </c>
      <c r="F963" s="216">
        <v>14</v>
      </c>
      <c r="G963" s="216">
        <v>5</v>
      </c>
      <c r="H963" s="216">
        <v>1</v>
      </c>
      <c r="I963" s="216">
        <v>150.53</v>
      </c>
      <c r="J963" s="216">
        <v>1</v>
      </c>
    </row>
    <row r="964" spans="1:10" ht="18" customHeight="1">
      <c r="A964" s="227">
        <v>42637</v>
      </c>
      <c r="B964" s="214" t="s">
        <v>439</v>
      </c>
      <c r="C964" s="224">
        <v>300008839381</v>
      </c>
      <c r="D964" s="214" t="s">
        <v>190</v>
      </c>
      <c r="E964" s="216">
        <v>6</v>
      </c>
      <c r="F964" s="216" t="s">
        <v>242</v>
      </c>
      <c r="G964" s="216">
        <v>6</v>
      </c>
      <c r="H964" s="216">
        <v>1</v>
      </c>
      <c r="I964" s="216">
        <v>0</v>
      </c>
      <c r="J964" s="216">
        <v>1</v>
      </c>
    </row>
    <row r="965" spans="1:10" ht="18" customHeight="1">
      <c r="A965" s="227">
        <v>42638</v>
      </c>
      <c r="B965" s="214" t="s">
        <v>439</v>
      </c>
      <c r="C965" s="224">
        <v>300009000071</v>
      </c>
      <c r="D965" s="216" t="s">
        <v>425</v>
      </c>
      <c r="E965" s="216">
        <v>50</v>
      </c>
      <c r="F965" s="216">
        <v>4724</v>
      </c>
      <c r="G965" s="216">
        <v>50</v>
      </c>
      <c r="H965" s="216">
        <v>24</v>
      </c>
      <c r="I965" s="216">
        <v>67610.259999999995</v>
      </c>
      <c r="J965" s="216">
        <v>3.55</v>
      </c>
    </row>
    <row r="966" spans="1:10" ht="18" customHeight="1">
      <c r="A966" s="227">
        <v>42638</v>
      </c>
      <c r="B966" s="214" t="s">
        <v>439</v>
      </c>
      <c r="C966" s="224">
        <v>300009235971</v>
      </c>
      <c r="D966" s="214" t="s">
        <v>241</v>
      </c>
      <c r="E966" s="216">
        <v>50</v>
      </c>
      <c r="F966" s="216">
        <v>3490</v>
      </c>
      <c r="G966" s="216">
        <v>50</v>
      </c>
      <c r="H966" s="216">
        <v>23</v>
      </c>
      <c r="I966" s="216">
        <v>57895.7</v>
      </c>
      <c r="J966" s="216">
        <v>3.97</v>
      </c>
    </row>
    <row r="967" spans="1:10" ht="18" customHeight="1">
      <c r="A967" s="227">
        <v>42638</v>
      </c>
      <c r="B967" s="214" t="s">
        <v>439</v>
      </c>
      <c r="C967" s="224">
        <v>300008875665</v>
      </c>
      <c r="D967" s="214" t="s">
        <v>189</v>
      </c>
      <c r="E967" s="216">
        <v>20</v>
      </c>
      <c r="F967" s="216">
        <v>2418</v>
      </c>
      <c r="G967" s="216">
        <v>20</v>
      </c>
      <c r="H967" s="216">
        <v>7</v>
      </c>
      <c r="I967" s="216">
        <v>41251.25</v>
      </c>
      <c r="J967" s="216">
        <v>1.7</v>
      </c>
    </row>
    <row r="968" spans="1:10" ht="18" customHeight="1">
      <c r="A968" s="227">
        <v>42638</v>
      </c>
      <c r="B968" s="214" t="s">
        <v>439</v>
      </c>
      <c r="C968" s="224">
        <v>300009235974</v>
      </c>
      <c r="D968" s="214" t="s">
        <v>187</v>
      </c>
      <c r="E968" s="216">
        <v>19</v>
      </c>
      <c r="F968" s="216">
        <v>2304</v>
      </c>
      <c r="G968" s="216">
        <v>19</v>
      </c>
      <c r="H968" s="216">
        <v>8</v>
      </c>
      <c r="I968" s="216">
        <v>40732.699999999997</v>
      </c>
      <c r="J968" s="216">
        <v>1.96</v>
      </c>
    </row>
    <row r="969" spans="1:10" ht="18" customHeight="1">
      <c r="A969" s="227">
        <v>42638</v>
      </c>
      <c r="B969" s="214" t="s">
        <v>439</v>
      </c>
      <c r="C969" s="224">
        <v>300008244937</v>
      </c>
      <c r="D969" s="214" t="s">
        <v>272</v>
      </c>
      <c r="E969" s="216">
        <v>22</v>
      </c>
      <c r="F969" s="216">
        <v>1707</v>
      </c>
      <c r="G969" s="216">
        <v>22</v>
      </c>
      <c r="H969" s="216">
        <v>5</v>
      </c>
      <c r="I969" s="216">
        <v>21479.33</v>
      </c>
      <c r="J969" s="216">
        <v>2.33</v>
      </c>
    </row>
    <row r="970" spans="1:10" ht="18" customHeight="1">
      <c r="A970" s="227">
        <v>42638</v>
      </c>
      <c r="B970" s="214" t="s">
        <v>439</v>
      </c>
      <c r="C970" s="224">
        <v>300008579657</v>
      </c>
      <c r="D970" s="214" t="s">
        <v>426</v>
      </c>
      <c r="E970" s="216">
        <v>15</v>
      </c>
      <c r="F970" s="216">
        <v>1339</v>
      </c>
      <c r="G970" s="216">
        <v>15</v>
      </c>
      <c r="H970" s="216">
        <v>2</v>
      </c>
      <c r="I970" s="216">
        <v>17257.37</v>
      </c>
      <c r="J970" s="216">
        <v>1.1599999999999999</v>
      </c>
    </row>
    <row r="971" spans="1:10" ht="18" customHeight="1">
      <c r="A971" s="227">
        <v>42638</v>
      </c>
      <c r="B971" s="214" t="s">
        <v>439</v>
      </c>
      <c r="C971" s="224">
        <v>300009003496</v>
      </c>
      <c r="D971" s="214" t="s">
        <v>427</v>
      </c>
      <c r="E971" s="216">
        <v>6</v>
      </c>
      <c r="F971" s="216">
        <v>14</v>
      </c>
      <c r="G971" s="216">
        <v>6</v>
      </c>
      <c r="H971" s="216">
        <v>1</v>
      </c>
      <c r="I971" s="216">
        <v>150.53</v>
      </c>
      <c r="J971" s="216">
        <v>1</v>
      </c>
    </row>
    <row r="972" spans="1:10" ht="18" customHeight="1">
      <c r="A972" s="227">
        <v>42638</v>
      </c>
      <c r="B972" s="214" t="s">
        <v>439</v>
      </c>
      <c r="C972" s="224">
        <v>300008839381</v>
      </c>
      <c r="D972" s="214" t="s">
        <v>190</v>
      </c>
      <c r="E972" s="216">
        <v>6</v>
      </c>
      <c r="F972" s="216" t="s">
        <v>242</v>
      </c>
      <c r="G972" s="216">
        <v>6</v>
      </c>
      <c r="H972" s="216">
        <v>1</v>
      </c>
      <c r="I972" s="216">
        <v>0</v>
      </c>
      <c r="J972" s="216">
        <v>1</v>
      </c>
    </row>
    <row r="973" spans="1:10" ht="18" customHeight="1">
      <c r="A973" s="227">
        <v>42637</v>
      </c>
      <c r="B973" s="214" t="s">
        <v>440</v>
      </c>
      <c r="C973" s="224">
        <v>300009406201</v>
      </c>
      <c r="D973" s="214" t="s">
        <v>234</v>
      </c>
      <c r="E973" s="216">
        <v>54</v>
      </c>
      <c r="F973" s="216">
        <v>5879</v>
      </c>
      <c r="G973" s="216">
        <v>54</v>
      </c>
      <c r="H973" s="216">
        <v>15</v>
      </c>
      <c r="I973" s="216">
        <v>83097</v>
      </c>
      <c r="J973" s="216">
        <v>1.81</v>
      </c>
    </row>
    <row r="974" spans="1:10" ht="18" customHeight="1">
      <c r="A974" s="227">
        <v>42637</v>
      </c>
      <c r="B974" s="214" t="s">
        <v>440</v>
      </c>
      <c r="C974" s="224">
        <v>300009374212</v>
      </c>
      <c r="D974" s="214" t="s">
        <v>235</v>
      </c>
      <c r="E974" s="216">
        <v>23</v>
      </c>
      <c r="F974" s="216">
        <v>2879</v>
      </c>
      <c r="G974" s="216">
        <v>23</v>
      </c>
      <c r="H974" s="216">
        <v>5</v>
      </c>
      <c r="I974" s="216">
        <v>42392.6</v>
      </c>
      <c r="J974" s="216">
        <v>1.18</v>
      </c>
    </row>
    <row r="975" spans="1:10" ht="18" customHeight="1">
      <c r="A975" s="227">
        <v>42637</v>
      </c>
      <c r="B975" s="214" t="s">
        <v>440</v>
      </c>
      <c r="C975" s="224">
        <v>300009406202</v>
      </c>
      <c r="D975" s="214" t="s">
        <v>232</v>
      </c>
      <c r="E975" s="216">
        <v>24</v>
      </c>
      <c r="F975" s="216">
        <v>1923</v>
      </c>
      <c r="G975" s="216">
        <v>24</v>
      </c>
      <c r="H975" s="216">
        <v>12</v>
      </c>
      <c r="I975" s="216">
        <v>30519.599999999999</v>
      </c>
      <c r="J975" s="216">
        <v>3.93</v>
      </c>
    </row>
    <row r="976" spans="1:10" ht="18" customHeight="1">
      <c r="A976" s="227">
        <v>42637</v>
      </c>
      <c r="B976" s="214" t="s">
        <v>440</v>
      </c>
      <c r="C976" s="224">
        <v>300009185572</v>
      </c>
      <c r="D976" s="214" t="s">
        <v>237</v>
      </c>
      <c r="E976" s="216">
        <v>4</v>
      </c>
      <c r="F976" s="216">
        <v>358</v>
      </c>
      <c r="G976" s="216">
        <v>4</v>
      </c>
      <c r="H976" s="216">
        <v>0</v>
      </c>
      <c r="I976" s="216">
        <v>4869.3</v>
      </c>
      <c r="J976" s="216">
        <v>0</v>
      </c>
    </row>
    <row r="977" spans="1:10" ht="18" customHeight="1">
      <c r="A977" s="227">
        <v>42637</v>
      </c>
      <c r="B977" s="214" t="s">
        <v>440</v>
      </c>
      <c r="C977" s="224">
        <v>300009184067</v>
      </c>
      <c r="D977" s="214" t="s">
        <v>233</v>
      </c>
      <c r="E977" s="216">
        <v>1</v>
      </c>
      <c r="F977" s="216" t="s">
        <v>242</v>
      </c>
      <c r="G977" s="216">
        <v>1</v>
      </c>
      <c r="H977" s="216">
        <v>0</v>
      </c>
      <c r="I977" s="216">
        <v>0</v>
      </c>
      <c r="J977" s="216">
        <v>0</v>
      </c>
    </row>
    <row r="978" spans="1:10" ht="18" customHeight="1">
      <c r="A978" s="227">
        <v>42637</v>
      </c>
      <c r="B978" s="214" t="s">
        <v>440</v>
      </c>
      <c r="C978" s="224">
        <v>300009374215</v>
      </c>
      <c r="D978" s="214" t="s">
        <v>236</v>
      </c>
      <c r="E978" s="216">
        <v>3</v>
      </c>
      <c r="F978" s="216" t="s">
        <v>242</v>
      </c>
      <c r="G978" s="216">
        <v>3</v>
      </c>
      <c r="H978" s="216">
        <v>1</v>
      </c>
      <c r="I978" s="216">
        <v>0</v>
      </c>
      <c r="J978" s="216">
        <v>1</v>
      </c>
    </row>
    <row r="979" spans="1:10" ht="18" customHeight="1">
      <c r="A979" s="227">
        <v>42638</v>
      </c>
      <c r="B979" s="214" t="s">
        <v>440</v>
      </c>
      <c r="C979" s="224">
        <v>300009406201</v>
      </c>
      <c r="D979" s="214" t="s">
        <v>234</v>
      </c>
      <c r="E979" s="216">
        <v>54</v>
      </c>
      <c r="F979" s="216">
        <v>5879</v>
      </c>
      <c r="G979" s="216">
        <v>54</v>
      </c>
      <c r="H979" s="216">
        <v>15</v>
      </c>
      <c r="I979" s="216">
        <v>83097</v>
      </c>
      <c r="J979" s="216">
        <v>1.81</v>
      </c>
    </row>
    <row r="980" spans="1:10" ht="18" customHeight="1">
      <c r="A980" s="227">
        <v>42638</v>
      </c>
      <c r="B980" s="214" t="s">
        <v>440</v>
      </c>
      <c r="C980" s="224">
        <v>300009374212</v>
      </c>
      <c r="D980" s="214" t="s">
        <v>235</v>
      </c>
      <c r="E980" s="216">
        <v>25</v>
      </c>
      <c r="F980" s="216">
        <v>3011</v>
      </c>
      <c r="G980" s="216">
        <v>25</v>
      </c>
      <c r="H980" s="216">
        <v>5</v>
      </c>
      <c r="I980" s="216">
        <v>44130.7</v>
      </c>
      <c r="J980" s="216">
        <v>1.1299999999999999</v>
      </c>
    </row>
    <row r="981" spans="1:10" ht="18" customHeight="1">
      <c r="A981" s="227">
        <v>42638</v>
      </c>
      <c r="B981" s="214" t="s">
        <v>440</v>
      </c>
      <c r="C981" s="224">
        <v>300009406202</v>
      </c>
      <c r="D981" s="214" t="s">
        <v>232</v>
      </c>
      <c r="E981" s="216">
        <v>26</v>
      </c>
      <c r="F981" s="216">
        <v>2042</v>
      </c>
      <c r="G981" s="216">
        <v>26</v>
      </c>
      <c r="H981" s="216">
        <v>14</v>
      </c>
      <c r="I981" s="216">
        <v>32244.1</v>
      </c>
      <c r="J981" s="216">
        <v>4.34</v>
      </c>
    </row>
    <row r="982" spans="1:10" ht="18" customHeight="1">
      <c r="A982" s="227">
        <v>42638</v>
      </c>
      <c r="B982" s="214" t="s">
        <v>440</v>
      </c>
      <c r="C982" s="224">
        <v>300009185572</v>
      </c>
      <c r="D982" s="214" t="s">
        <v>237</v>
      </c>
      <c r="E982" s="216">
        <v>4</v>
      </c>
      <c r="F982" s="216">
        <v>511</v>
      </c>
      <c r="G982" s="216">
        <v>4</v>
      </c>
      <c r="H982" s="216">
        <v>0</v>
      </c>
      <c r="I982" s="216">
        <v>6693.3</v>
      </c>
      <c r="J982" s="216">
        <v>0</v>
      </c>
    </row>
    <row r="983" spans="1:10" ht="18" customHeight="1">
      <c r="A983" s="227">
        <v>42638</v>
      </c>
      <c r="B983" s="214" t="s">
        <v>440</v>
      </c>
      <c r="C983" s="224">
        <v>300009184067</v>
      </c>
      <c r="D983" s="214" t="s">
        <v>233</v>
      </c>
      <c r="E983" s="216">
        <v>1</v>
      </c>
      <c r="F983" s="216" t="s">
        <v>242</v>
      </c>
      <c r="G983" s="216">
        <v>1</v>
      </c>
      <c r="H983" s="216">
        <v>0</v>
      </c>
      <c r="I983" s="216">
        <v>0</v>
      </c>
      <c r="J983" s="216">
        <v>0</v>
      </c>
    </row>
    <row r="984" spans="1:10" ht="18" customHeight="1">
      <c r="A984" s="227">
        <v>42638</v>
      </c>
      <c r="B984" s="214" t="s">
        <v>440</v>
      </c>
      <c r="C984" s="224">
        <v>300009374215</v>
      </c>
      <c r="D984" s="214" t="s">
        <v>236</v>
      </c>
      <c r="E984" s="216">
        <v>3</v>
      </c>
      <c r="F984" s="216" t="s">
        <v>242</v>
      </c>
      <c r="G984" s="216">
        <v>3</v>
      </c>
      <c r="H984" s="216">
        <v>1</v>
      </c>
      <c r="I984" s="216">
        <v>0</v>
      </c>
      <c r="J984" s="216">
        <v>1</v>
      </c>
    </row>
    <row r="985" spans="1:10" ht="18" customHeight="1">
      <c r="A985" s="227">
        <v>42637</v>
      </c>
      <c r="B985" s="214" t="s">
        <v>441</v>
      </c>
      <c r="C985" s="224">
        <v>300009480238</v>
      </c>
      <c r="D985" s="214" t="s">
        <v>263</v>
      </c>
      <c r="E985" s="216">
        <v>17</v>
      </c>
      <c r="F985" s="216">
        <v>1285</v>
      </c>
      <c r="G985" s="216">
        <v>17</v>
      </c>
      <c r="H985" s="216">
        <v>5</v>
      </c>
      <c r="I985" s="216">
        <v>19478.099999999999</v>
      </c>
      <c r="J985" s="216">
        <v>2.57</v>
      </c>
    </row>
    <row r="986" spans="1:10" ht="18" customHeight="1">
      <c r="A986" s="227">
        <v>42638</v>
      </c>
      <c r="B986" s="214" t="s">
        <v>441</v>
      </c>
      <c r="C986" s="224">
        <v>300009480238</v>
      </c>
      <c r="D986" s="214" t="s">
        <v>263</v>
      </c>
      <c r="E986" s="216">
        <v>19</v>
      </c>
      <c r="F986" s="216">
        <v>1380</v>
      </c>
      <c r="G986" s="216">
        <v>19</v>
      </c>
      <c r="H986" s="216">
        <v>5</v>
      </c>
      <c r="I986" s="216">
        <v>20843.900000000001</v>
      </c>
      <c r="J986" s="216">
        <v>2.4</v>
      </c>
    </row>
    <row r="987" spans="1:10" ht="18" customHeight="1">
      <c r="A987" s="227">
        <v>42637</v>
      </c>
      <c r="B987" s="214" t="s">
        <v>442</v>
      </c>
      <c r="C987" s="224">
        <v>300009358277</v>
      </c>
      <c r="D987" s="214" t="s">
        <v>429</v>
      </c>
      <c r="E987" s="216">
        <v>243</v>
      </c>
      <c r="F987" s="216">
        <v>26965</v>
      </c>
      <c r="G987" s="216">
        <v>90.12</v>
      </c>
      <c r="H987" s="216">
        <v>129</v>
      </c>
      <c r="I987" s="216">
        <v>615270</v>
      </c>
      <c r="J987" s="216">
        <v>2.1</v>
      </c>
    </row>
    <row r="988" spans="1:10" ht="18" customHeight="1">
      <c r="A988" s="227">
        <v>42638</v>
      </c>
      <c r="B988" s="214" t="s">
        <v>442</v>
      </c>
      <c r="C988" s="224">
        <v>300009358277</v>
      </c>
      <c r="D988" s="214" t="s">
        <v>429</v>
      </c>
      <c r="E988" s="216">
        <v>252</v>
      </c>
      <c r="F988" s="216">
        <v>28117</v>
      </c>
      <c r="G988" s="216">
        <v>89.63</v>
      </c>
      <c r="H988" s="216">
        <v>134</v>
      </c>
      <c r="I988" s="216">
        <v>656680.4</v>
      </c>
      <c r="J988" s="216">
        <v>2.04</v>
      </c>
    </row>
    <row r="989" spans="1:10" ht="18" customHeight="1">
      <c r="A989" s="227">
        <v>42637</v>
      </c>
      <c r="B989" s="214" t="s">
        <v>443</v>
      </c>
      <c r="C989" s="224">
        <v>300009192151</v>
      </c>
      <c r="D989" s="214" t="s">
        <v>430</v>
      </c>
      <c r="E989" s="216">
        <v>19</v>
      </c>
      <c r="F989" s="216">
        <v>1478</v>
      </c>
      <c r="G989" s="216">
        <v>19</v>
      </c>
      <c r="H989" s="216">
        <v>6</v>
      </c>
      <c r="I989" s="216">
        <v>25644.400000000001</v>
      </c>
      <c r="J989" s="216">
        <v>2.34</v>
      </c>
    </row>
    <row r="990" spans="1:10" ht="18" customHeight="1">
      <c r="A990" s="227">
        <v>42638</v>
      </c>
      <c r="B990" s="214" t="s">
        <v>443</v>
      </c>
      <c r="C990" s="224">
        <v>300009192151</v>
      </c>
      <c r="D990" s="214" t="s">
        <v>430</v>
      </c>
      <c r="E990" s="216">
        <v>19</v>
      </c>
      <c r="F990" s="216">
        <v>1610</v>
      </c>
      <c r="G990" s="216">
        <v>19</v>
      </c>
      <c r="H990" s="216">
        <v>6</v>
      </c>
      <c r="I990" s="216">
        <v>30644.2</v>
      </c>
      <c r="J990" s="216">
        <v>1.96</v>
      </c>
    </row>
    <row r="991" spans="1:10" ht="18" customHeight="1">
      <c r="A991" s="227">
        <v>42639</v>
      </c>
      <c r="B991" s="214" t="s">
        <v>301</v>
      </c>
      <c r="C991" s="224">
        <v>300009374212</v>
      </c>
      <c r="D991" s="214" t="s">
        <v>235</v>
      </c>
      <c r="E991" s="216">
        <v>25</v>
      </c>
      <c r="F991" s="216">
        <v>3102</v>
      </c>
      <c r="G991" s="216">
        <v>25</v>
      </c>
      <c r="H991" s="216">
        <v>5</v>
      </c>
      <c r="I991" s="216">
        <v>45739.6</v>
      </c>
      <c r="J991" s="216">
        <v>1.0900000000000001</v>
      </c>
    </row>
    <row r="992" spans="1:10" ht="18" customHeight="1">
      <c r="A992" s="227">
        <v>42639</v>
      </c>
      <c r="B992" s="214" t="s">
        <v>301</v>
      </c>
      <c r="C992" s="224">
        <v>300009406202</v>
      </c>
      <c r="D992" s="214" t="s">
        <v>232</v>
      </c>
      <c r="E992" s="216">
        <v>28</v>
      </c>
      <c r="F992" s="216">
        <v>2123</v>
      </c>
      <c r="G992" s="216">
        <v>28</v>
      </c>
      <c r="H992" s="216">
        <v>14</v>
      </c>
      <c r="I992" s="216">
        <v>33463.9</v>
      </c>
      <c r="J992" s="216">
        <v>4.18</v>
      </c>
    </row>
    <row r="993" spans="1:10" ht="18" customHeight="1">
      <c r="A993" s="227">
        <v>42639</v>
      </c>
      <c r="B993" s="214" t="s">
        <v>301</v>
      </c>
      <c r="C993" s="224">
        <v>300009185572</v>
      </c>
      <c r="D993" s="214" t="s">
        <v>237</v>
      </c>
      <c r="E993" s="216">
        <v>5</v>
      </c>
      <c r="F993" s="216">
        <v>582</v>
      </c>
      <c r="G993" s="216">
        <v>5</v>
      </c>
      <c r="H993" s="216">
        <v>0</v>
      </c>
      <c r="I993" s="216">
        <v>7643.1</v>
      </c>
      <c r="J993" s="216">
        <v>0</v>
      </c>
    </row>
    <row r="994" spans="1:10" ht="18" customHeight="1">
      <c r="A994" s="227">
        <v>42639</v>
      </c>
      <c r="B994" s="214" t="s">
        <v>301</v>
      </c>
      <c r="C994" s="224">
        <v>300009184067</v>
      </c>
      <c r="D994" s="214" t="s">
        <v>233</v>
      </c>
      <c r="E994" s="216">
        <v>2</v>
      </c>
      <c r="F994" s="216" t="s">
        <v>242</v>
      </c>
      <c r="G994" s="216">
        <v>2</v>
      </c>
      <c r="H994" s="216">
        <v>0</v>
      </c>
      <c r="I994" s="216">
        <v>0</v>
      </c>
      <c r="J994" s="216">
        <v>0</v>
      </c>
    </row>
    <row r="995" spans="1:10" ht="18" customHeight="1">
      <c r="A995" s="227">
        <v>42639</v>
      </c>
      <c r="B995" s="214" t="s">
        <v>301</v>
      </c>
      <c r="C995" s="224">
        <v>300009374215</v>
      </c>
      <c r="D995" s="214" t="s">
        <v>236</v>
      </c>
      <c r="E995" s="216">
        <v>3</v>
      </c>
      <c r="F995" s="216" t="s">
        <v>242</v>
      </c>
      <c r="G995" s="216">
        <v>3</v>
      </c>
      <c r="H995" s="216">
        <v>1</v>
      </c>
      <c r="I995" s="216">
        <v>0</v>
      </c>
      <c r="J995" s="216">
        <v>1</v>
      </c>
    </row>
    <row r="996" spans="1:10" ht="18" customHeight="1">
      <c r="A996" s="227">
        <v>42639</v>
      </c>
      <c r="B996" s="214" t="s">
        <v>444</v>
      </c>
      <c r="C996" s="224">
        <v>300009480238</v>
      </c>
      <c r="D996" s="214" t="s">
        <v>263</v>
      </c>
      <c r="E996" s="216">
        <v>21</v>
      </c>
      <c r="F996" s="216">
        <v>1468</v>
      </c>
      <c r="G996" s="216">
        <v>21</v>
      </c>
      <c r="H996" s="216">
        <v>6</v>
      </c>
      <c r="I996" s="216">
        <v>22190.799999999999</v>
      </c>
      <c r="J996" s="216">
        <v>2.7</v>
      </c>
    </row>
    <row r="997" spans="1:10" ht="18" customHeight="1">
      <c r="A997" s="227">
        <v>42639</v>
      </c>
      <c r="B997" s="214" t="s">
        <v>445</v>
      </c>
      <c r="C997" s="224">
        <v>300009358277</v>
      </c>
      <c r="D997" s="214" t="s">
        <v>429</v>
      </c>
      <c r="E997" s="216">
        <v>263</v>
      </c>
      <c r="F997" s="216">
        <v>28696</v>
      </c>
      <c r="G997" s="216">
        <v>91.65</v>
      </c>
      <c r="H997" s="216">
        <v>144</v>
      </c>
      <c r="I997" s="216">
        <v>684495.9</v>
      </c>
      <c r="J997" s="216">
        <v>2.1</v>
      </c>
    </row>
    <row r="998" spans="1:10" ht="18" customHeight="1">
      <c r="A998" s="227">
        <v>42639</v>
      </c>
      <c r="B998" s="214" t="s">
        <v>446</v>
      </c>
      <c r="C998" s="224">
        <v>300009192151</v>
      </c>
      <c r="D998" s="214" t="s">
        <v>430</v>
      </c>
      <c r="E998" s="216">
        <v>20</v>
      </c>
      <c r="F998" s="216">
        <v>1768</v>
      </c>
      <c r="G998" s="216">
        <v>20</v>
      </c>
      <c r="H998" s="216">
        <v>6</v>
      </c>
      <c r="I998" s="216">
        <v>35643.9</v>
      </c>
      <c r="J998" s="216">
        <v>1.68</v>
      </c>
    </row>
    <row r="999" spans="1:10" ht="18" customHeight="1">
      <c r="A999" s="227">
        <v>42639</v>
      </c>
      <c r="B999" s="214" t="s">
        <v>447</v>
      </c>
      <c r="C999" s="224">
        <v>300009000071</v>
      </c>
      <c r="D999" s="216" t="s">
        <v>425</v>
      </c>
      <c r="E999" s="216">
        <v>50</v>
      </c>
      <c r="F999" s="216">
        <v>4724</v>
      </c>
      <c r="G999" s="216">
        <v>50</v>
      </c>
      <c r="H999" s="216">
        <v>24</v>
      </c>
      <c r="I999" s="216">
        <v>67610.259999999995</v>
      </c>
      <c r="J999" s="216">
        <v>3.55</v>
      </c>
    </row>
    <row r="1000" spans="1:10" ht="18" customHeight="1">
      <c r="A1000" s="227">
        <v>42639</v>
      </c>
      <c r="B1000" s="214" t="s">
        <v>447</v>
      </c>
      <c r="C1000" s="224">
        <v>300009235971</v>
      </c>
      <c r="D1000" s="214" t="s">
        <v>241</v>
      </c>
      <c r="E1000" s="216">
        <v>50</v>
      </c>
      <c r="F1000" s="216">
        <v>3490</v>
      </c>
      <c r="G1000" s="216">
        <v>50</v>
      </c>
      <c r="H1000" s="216">
        <v>23</v>
      </c>
      <c r="I1000" s="216">
        <v>57895.7</v>
      </c>
      <c r="J1000" s="216">
        <v>3.97</v>
      </c>
    </row>
    <row r="1001" spans="1:10" ht="18" customHeight="1">
      <c r="A1001" s="227">
        <v>42639</v>
      </c>
      <c r="B1001" s="214" t="s">
        <v>447</v>
      </c>
      <c r="C1001" s="224">
        <v>300008875665</v>
      </c>
      <c r="D1001" s="214" t="s">
        <v>189</v>
      </c>
      <c r="E1001" s="216">
        <v>20</v>
      </c>
      <c r="F1001" s="216">
        <v>2418</v>
      </c>
      <c r="G1001" s="216">
        <v>20</v>
      </c>
      <c r="H1001" s="216">
        <v>7</v>
      </c>
      <c r="I1001" s="216">
        <v>41251.25</v>
      </c>
      <c r="J1001" s="216">
        <v>1.7</v>
      </c>
    </row>
    <row r="1002" spans="1:10" ht="18" customHeight="1">
      <c r="A1002" s="227">
        <v>42639</v>
      </c>
      <c r="B1002" s="214" t="s">
        <v>447</v>
      </c>
      <c r="C1002" s="224">
        <v>300009235974</v>
      </c>
      <c r="D1002" s="214" t="s">
        <v>187</v>
      </c>
      <c r="E1002" s="216">
        <v>19</v>
      </c>
      <c r="F1002" s="216">
        <v>2304</v>
      </c>
      <c r="G1002" s="216">
        <v>19</v>
      </c>
      <c r="H1002" s="216">
        <v>8</v>
      </c>
      <c r="I1002" s="216">
        <v>40732.699999999997</v>
      </c>
      <c r="J1002" s="216">
        <v>1.96</v>
      </c>
    </row>
    <row r="1003" spans="1:10" ht="18" customHeight="1">
      <c r="A1003" s="227">
        <v>42639</v>
      </c>
      <c r="B1003" s="214" t="s">
        <v>447</v>
      </c>
      <c r="C1003" s="224">
        <v>300008244937</v>
      </c>
      <c r="D1003" s="214" t="s">
        <v>272</v>
      </c>
      <c r="E1003" s="216">
        <v>22</v>
      </c>
      <c r="F1003" s="216">
        <v>1707</v>
      </c>
      <c r="G1003" s="216">
        <v>22</v>
      </c>
      <c r="H1003" s="216">
        <v>5</v>
      </c>
      <c r="I1003" s="216">
        <v>21479.33</v>
      </c>
      <c r="J1003" s="216">
        <v>2.33</v>
      </c>
    </row>
    <row r="1004" spans="1:10" ht="18" customHeight="1">
      <c r="A1004" s="227">
        <v>42639</v>
      </c>
      <c r="B1004" s="214" t="s">
        <v>447</v>
      </c>
      <c r="C1004" s="224">
        <v>300008579657</v>
      </c>
      <c r="D1004" s="214" t="s">
        <v>426</v>
      </c>
      <c r="E1004" s="216">
        <v>15</v>
      </c>
      <c r="F1004" s="216">
        <v>1339</v>
      </c>
      <c r="G1004" s="216">
        <v>15</v>
      </c>
      <c r="H1004" s="216">
        <v>2</v>
      </c>
      <c r="I1004" s="216">
        <v>17257.37</v>
      </c>
      <c r="J1004" s="216">
        <v>1.1599999999999999</v>
      </c>
    </row>
    <row r="1005" spans="1:10" ht="18" customHeight="1">
      <c r="A1005" s="227">
        <v>42639</v>
      </c>
      <c r="B1005" s="214" t="s">
        <v>447</v>
      </c>
      <c r="C1005" s="224">
        <v>300009003496</v>
      </c>
      <c r="D1005" s="214" t="s">
        <v>427</v>
      </c>
      <c r="E1005" s="216">
        <v>7</v>
      </c>
      <c r="F1005" s="216">
        <v>14</v>
      </c>
      <c r="G1005" s="216">
        <v>7</v>
      </c>
      <c r="H1005" s="216">
        <v>2</v>
      </c>
      <c r="I1005" s="216">
        <v>150.53</v>
      </c>
      <c r="J1005" s="216">
        <v>2</v>
      </c>
    </row>
    <row r="1006" spans="1:10" ht="18" customHeight="1">
      <c r="A1006" s="227">
        <v>42639</v>
      </c>
      <c r="B1006" s="214" t="s">
        <v>447</v>
      </c>
      <c r="C1006" s="224">
        <v>300008839381</v>
      </c>
      <c r="D1006" s="214" t="s">
        <v>190</v>
      </c>
      <c r="E1006" s="216">
        <v>7</v>
      </c>
      <c r="F1006" s="216" t="s">
        <v>242</v>
      </c>
      <c r="G1006" s="216">
        <v>7</v>
      </c>
      <c r="H1006" s="216">
        <v>1</v>
      </c>
      <c r="I1006" s="216">
        <v>0</v>
      </c>
      <c r="J1006" s="216">
        <v>1</v>
      </c>
    </row>
    <row r="1007" spans="1:10" ht="18" customHeight="1">
      <c r="A1007" s="227">
        <v>42639</v>
      </c>
      <c r="B1007" s="214" t="s">
        <v>448</v>
      </c>
      <c r="C1007" s="224">
        <v>300009290321</v>
      </c>
      <c r="D1007" s="214" t="s">
        <v>194</v>
      </c>
      <c r="E1007" s="216">
        <v>17</v>
      </c>
      <c r="F1007" s="216">
        <v>556</v>
      </c>
      <c r="G1007" s="216">
        <v>17</v>
      </c>
      <c r="H1007" s="216">
        <v>8</v>
      </c>
      <c r="I1007" s="216">
        <v>10952.4</v>
      </c>
      <c r="J1007" s="216">
        <v>7.3</v>
      </c>
    </row>
    <row r="1008" spans="1:10" ht="18" customHeight="1">
      <c r="A1008" s="227">
        <v>42640</v>
      </c>
      <c r="B1008" s="214" t="s">
        <v>449</v>
      </c>
      <c r="C1008" s="224">
        <v>300009000071</v>
      </c>
      <c r="D1008" s="216" t="s">
        <v>425</v>
      </c>
      <c r="E1008" s="216">
        <v>51</v>
      </c>
      <c r="F1008" s="216">
        <v>4724</v>
      </c>
      <c r="G1008" s="216">
        <v>51</v>
      </c>
      <c r="H1008" s="216">
        <v>24</v>
      </c>
      <c r="I1008" s="216">
        <v>67610.259999999995</v>
      </c>
      <c r="J1008" s="216">
        <v>3.55</v>
      </c>
    </row>
    <row r="1009" spans="1:10" ht="18" customHeight="1">
      <c r="A1009" s="227">
        <v>42640</v>
      </c>
      <c r="B1009" s="214" t="s">
        <v>449</v>
      </c>
      <c r="C1009" s="224">
        <v>300009235971</v>
      </c>
      <c r="D1009" s="214" t="s">
        <v>241</v>
      </c>
      <c r="E1009" s="216">
        <v>51</v>
      </c>
      <c r="F1009" s="216">
        <v>3490</v>
      </c>
      <c r="G1009" s="216">
        <v>51</v>
      </c>
      <c r="H1009" s="216">
        <v>23</v>
      </c>
      <c r="I1009" s="216">
        <v>57895.7</v>
      </c>
      <c r="J1009" s="216">
        <v>3.97</v>
      </c>
    </row>
    <row r="1010" spans="1:10" ht="18" customHeight="1">
      <c r="A1010" s="227">
        <v>42640</v>
      </c>
      <c r="B1010" s="214" t="s">
        <v>449</v>
      </c>
      <c r="C1010" s="224">
        <v>300008875665</v>
      </c>
      <c r="D1010" s="214" t="s">
        <v>189</v>
      </c>
      <c r="E1010" s="216">
        <v>20</v>
      </c>
      <c r="F1010" s="216">
        <v>2418</v>
      </c>
      <c r="G1010" s="216">
        <v>20</v>
      </c>
      <c r="H1010" s="216">
        <v>7</v>
      </c>
      <c r="I1010" s="216">
        <v>41251.25</v>
      </c>
      <c r="J1010" s="216">
        <v>1.7</v>
      </c>
    </row>
    <row r="1011" spans="1:10" ht="18" customHeight="1">
      <c r="A1011" s="227">
        <v>42640</v>
      </c>
      <c r="B1011" s="214" t="s">
        <v>449</v>
      </c>
      <c r="C1011" s="224">
        <v>300009235974</v>
      </c>
      <c r="D1011" s="214" t="s">
        <v>187</v>
      </c>
      <c r="E1011" s="216">
        <v>19</v>
      </c>
      <c r="F1011" s="216">
        <v>2304</v>
      </c>
      <c r="G1011" s="216">
        <v>19</v>
      </c>
      <c r="H1011" s="216">
        <v>8</v>
      </c>
      <c r="I1011" s="216">
        <v>40732.699999999997</v>
      </c>
      <c r="J1011" s="216">
        <v>1.96</v>
      </c>
    </row>
    <row r="1012" spans="1:10" ht="18" customHeight="1">
      <c r="A1012" s="227">
        <v>42640</v>
      </c>
      <c r="B1012" s="214" t="s">
        <v>449</v>
      </c>
      <c r="C1012" s="224">
        <v>300008244937</v>
      </c>
      <c r="D1012" s="214" t="s">
        <v>272</v>
      </c>
      <c r="E1012" s="216">
        <v>22</v>
      </c>
      <c r="F1012" s="216">
        <v>1707</v>
      </c>
      <c r="G1012" s="216">
        <v>22</v>
      </c>
      <c r="H1012" s="216">
        <v>5</v>
      </c>
      <c r="I1012" s="216">
        <v>21479.33</v>
      </c>
      <c r="J1012" s="216">
        <v>2.33</v>
      </c>
    </row>
    <row r="1013" spans="1:10" ht="18" customHeight="1">
      <c r="A1013" s="227">
        <v>42640</v>
      </c>
      <c r="B1013" s="214" t="s">
        <v>449</v>
      </c>
      <c r="C1013" s="224">
        <v>300008579657</v>
      </c>
      <c r="D1013" s="214" t="s">
        <v>426</v>
      </c>
      <c r="E1013" s="216">
        <v>15</v>
      </c>
      <c r="F1013" s="216">
        <v>1339</v>
      </c>
      <c r="G1013" s="216">
        <v>15</v>
      </c>
      <c r="H1013" s="216">
        <v>2</v>
      </c>
      <c r="I1013" s="216">
        <v>17257.37</v>
      </c>
      <c r="J1013" s="216">
        <v>1.1599999999999999</v>
      </c>
    </row>
    <row r="1014" spans="1:10" ht="18" customHeight="1">
      <c r="A1014" s="227">
        <v>42640</v>
      </c>
      <c r="B1014" s="214" t="s">
        <v>449</v>
      </c>
      <c r="C1014" s="224">
        <v>300009003496</v>
      </c>
      <c r="D1014" s="214" t="s">
        <v>427</v>
      </c>
      <c r="E1014" s="216">
        <v>7</v>
      </c>
      <c r="F1014" s="216">
        <v>14</v>
      </c>
      <c r="G1014" s="216">
        <v>7</v>
      </c>
      <c r="H1014" s="216">
        <v>2</v>
      </c>
      <c r="I1014" s="216">
        <v>150.53</v>
      </c>
      <c r="J1014" s="216">
        <v>2</v>
      </c>
    </row>
    <row r="1015" spans="1:10" ht="18" customHeight="1">
      <c r="A1015" s="227">
        <v>42640</v>
      </c>
      <c r="B1015" s="214" t="s">
        <v>449</v>
      </c>
      <c r="C1015" s="224">
        <v>300008839381</v>
      </c>
      <c r="D1015" s="214" t="s">
        <v>190</v>
      </c>
      <c r="E1015" s="216">
        <v>8</v>
      </c>
      <c r="F1015" s="216" t="s">
        <v>242</v>
      </c>
      <c r="G1015" s="216">
        <v>8</v>
      </c>
      <c r="H1015" s="216">
        <v>1</v>
      </c>
      <c r="I1015" s="216">
        <v>0</v>
      </c>
      <c r="J1015" s="216">
        <v>1</v>
      </c>
    </row>
    <row r="1016" spans="1:10" ht="18" customHeight="1">
      <c r="A1016" s="227">
        <v>42640</v>
      </c>
      <c r="B1016" s="214" t="s">
        <v>169</v>
      </c>
      <c r="C1016" s="224">
        <v>300009290321</v>
      </c>
      <c r="D1016" s="214" t="s">
        <v>194</v>
      </c>
      <c r="E1016" s="216">
        <v>16</v>
      </c>
      <c r="F1016" s="216">
        <v>380</v>
      </c>
      <c r="G1016" s="216">
        <v>16</v>
      </c>
      <c r="H1016" s="216">
        <v>7</v>
      </c>
      <c r="I1016" s="216">
        <v>7540.7</v>
      </c>
      <c r="J1016" s="216">
        <v>7</v>
      </c>
    </row>
    <row r="1017" spans="1:10" ht="18" customHeight="1">
      <c r="A1017" s="227">
        <v>42640</v>
      </c>
      <c r="B1017" s="214" t="s">
        <v>450</v>
      </c>
      <c r="C1017" s="224">
        <v>300009358277</v>
      </c>
      <c r="D1017" s="214" t="s">
        <v>429</v>
      </c>
      <c r="E1017" s="216">
        <v>276</v>
      </c>
      <c r="F1017" s="216">
        <v>29582</v>
      </c>
      <c r="G1017" s="216">
        <v>93.3</v>
      </c>
      <c r="H1017" s="216">
        <v>155</v>
      </c>
      <c r="I1017" s="216">
        <v>714404.2</v>
      </c>
      <c r="J1017" s="216">
        <v>2.17</v>
      </c>
    </row>
    <row r="1018" spans="1:10" ht="18" customHeight="1">
      <c r="A1018" s="227">
        <v>42640</v>
      </c>
      <c r="B1018" s="214" t="s">
        <v>451</v>
      </c>
      <c r="C1018" s="224">
        <v>300009480238</v>
      </c>
      <c r="D1018" s="214" t="s">
        <v>263</v>
      </c>
      <c r="E1018" s="216">
        <v>21</v>
      </c>
      <c r="F1018" s="216">
        <v>1549</v>
      </c>
      <c r="G1018" s="216">
        <v>21</v>
      </c>
      <c r="H1018" s="216">
        <v>6</v>
      </c>
      <c r="I1018" s="216">
        <v>23324.799999999999</v>
      </c>
      <c r="J1018" s="216">
        <v>2.57</v>
      </c>
    </row>
    <row r="1019" spans="1:10" ht="18" customHeight="1">
      <c r="A1019" s="227">
        <v>42640</v>
      </c>
      <c r="B1019" s="214" t="s">
        <v>452</v>
      </c>
      <c r="C1019" s="224">
        <v>300009192151</v>
      </c>
      <c r="D1019" s="214" t="s">
        <v>430</v>
      </c>
      <c r="E1019" s="216">
        <v>20</v>
      </c>
      <c r="F1019" s="216">
        <v>1934</v>
      </c>
      <c r="G1019" s="216">
        <v>20</v>
      </c>
      <c r="H1019" s="216">
        <v>6</v>
      </c>
      <c r="I1019" s="216">
        <v>40643.9</v>
      </c>
      <c r="J1019" s="216">
        <v>1.48</v>
      </c>
    </row>
    <row r="1020" spans="1:10" ht="18" customHeight="1">
      <c r="A1020" s="227">
        <v>42640</v>
      </c>
      <c r="B1020" s="214" t="s">
        <v>453</v>
      </c>
      <c r="C1020" s="224">
        <v>300009374212</v>
      </c>
      <c r="D1020" s="214" t="s">
        <v>235</v>
      </c>
      <c r="E1020" s="216">
        <v>25</v>
      </c>
      <c r="F1020" s="216">
        <v>3184</v>
      </c>
      <c r="G1020" s="216">
        <v>25</v>
      </c>
      <c r="H1020" s="216">
        <v>5</v>
      </c>
      <c r="I1020" s="216">
        <v>46922.8</v>
      </c>
      <c r="J1020" s="216">
        <v>1.07</v>
      </c>
    </row>
    <row r="1021" spans="1:10" ht="18" customHeight="1">
      <c r="A1021" s="227">
        <v>42640</v>
      </c>
      <c r="B1021" s="214" t="s">
        <v>453</v>
      </c>
      <c r="C1021" s="224">
        <v>300009406202</v>
      </c>
      <c r="D1021" s="214" t="s">
        <v>232</v>
      </c>
      <c r="E1021" s="216">
        <v>28</v>
      </c>
      <c r="F1021" s="216">
        <v>2191</v>
      </c>
      <c r="G1021" s="216">
        <v>28</v>
      </c>
      <c r="H1021" s="216">
        <v>14</v>
      </c>
      <c r="I1021" s="216">
        <v>34432.300000000003</v>
      </c>
      <c r="J1021" s="216">
        <v>4.07</v>
      </c>
    </row>
    <row r="1022" spans="1:10" ht="18" customHeight="1">
      <c r="A1022" s="227">
        <v>42640</v>
      </c>
      <c r="B1022" s="214" t="s">
        <v>453</v>
      </c>
      <c r="C1022" s="224">
        <v>300009185572</v>
      </c>
      <c r="D1022" s="214" t="s">
        <v>237</v>
      </c>
      <c r="E1022" s="216">
        <v>5</v>
      </c>
      <c r="F1022" s="216">
        <v>662</v>
      </c>
      <c r="G1022" s="216">
        <v>5</v>
      </c>
      <c r="H1022" s="216">
        <v>0</v>
      </c>
      <c r="I1022" s="216">
        <v>8625.7999999999993</v>
      </c>
      <c r="J1022" s="216">
        <v>0</v>
      </c>
    </row>
    <row r="1023" spans="1:10" ht="18" customHeight="1">
      <c r="A1023" s="227">
        <v>42640</v>
      </c>
      <c r="B1023" s="214" t="s">
        <v>453</v>
      </c>
      <c r="C1023" s="224">
        <v>300009184067</v>
      </c>
      <c r="D1023" s="214" t="s">
        <v>233</v>
      </c>
      <c r="E1023" s="216">
        <v>2</v>
      </c>
      <c r="F1023" s="216" t="s">
        <v>242</v>
      </c>
      <c r="G1023" s="216">
        <v>2</v>
      </c>
      <c r="H1023" s="216">
        <v>0</v>
      </c>
      <c r="I1023" s="216">
        <v>0</v>
      </c>
      <c r="J1023" s="216">
        <v>0</v>
      </c>
    </row>
    <row r="1024" spans="1:10" ht="18" customHeight="1">
      <c r="A1024" s="227">
        <v>42640</v>
      </c>
      <c r="B1024" s="214" t="s">
        <v>453</v>
      </c>
      <c r="C1024" s="224">
        <v>300009374215</v>
      </c>
      <c r="D1024" s="214" t="s">
        <v>236</v>
      </c>
      <c r="E1024" s="216">
        <v>3</v>
      </c>
      <c r="F1024" s="216" t="s">
        <v>242</v>
      </c>
      <c r="G1024" s="216">
        <v>3</v>
      </c>
      <c r="H1024" s="216">
        <v>1</v>
      </c>
      <c r="I1024" s="216">
        <v>0</v>
      </c>
      <c r="J1024" s="216">
        <v>1</v>
      </c>
    </row>
    <row r="1025" spans="1:10" ht="18" customHeight="1">
      <c r="A1025" s="227">
        <v>42641</v>
      </c>
      <c r="B1025" s="214" t="s">
        <v>169</v>
      </c>
      <c r="C1025" s="224">
        <v>300009290321</v>
      </c>
      <c r="D1025" s="214" t="s">
        <v>194</v>
      </c>
      <c r="E1025" s="216">
        <v>13</v>
      </c>
      <c r="F1025" s="216">
        <v>258</v>
      </c>
      <c r="G1025" s="216">
        <v>13</v>
      </c>
      <c r="H1025" s="216">
        <v>4</v>
      </c>
      <c r="I1025" s="216">
        <v>4814.3999999999996</v>
      </c>
      <c r="J1025" s="216">
        <v>4</v>
      </c>
    </row>
    <row r="1026" spans="1:10" ht="18" customHeight="1">
      <c r="A1026" s="227">
        <v>42641</v>
      </c>
      <c r="B1026" s="214" t="s">
        <v>330</v>
      </c>
      <c r="C1026" s="224">
        <v>300009000071</v>
      </c>
      <c r="D1026" s="216" t="s">
        <v>425</v>
      </c>
      <c r="E1026" s="216">
        <v>52</v>
      </c>
      <c r="F1026" s="216">
        <v>4724</v>
      </c>
      <c r="G1026" s="216">
        <v>52</v>
      </c>
      <c r="H1026" s="216">
        <v>24</v>
      </c>
      <c r="I1026" s="216">
        <v>67610.259999999995</v>
      </c>
      <c r="J1026" s="216">
        <v>3.55</v>
      </c>
    </row>
    <row r="1027" spans="1:10" ht="18" customHeight="1">
      <c r="A1027" s="227">
        <v>42641</v>
      </c>
      <c r="B1027" s="214" t="s">
        <v>330</v>
      </c>
      <c r="C1027" s="224">
        <v>300009235971</v>
      </c>
      <c r="D1027" s="214" t="s">
        <v>241</v>
      </c>
      <c r="E1027" s="216">
        <v>51</v>
      </c>
      <c r="F1027" s="216">
        <v>3490</v>
      </c>
      <c r="G1027" s="216">
        <v>51</v>
      </c>
      <c r="H1027" s="216">
        <v>23</v>
      </c>
      <c r="I1027" s="216">
        <v>57895.7</v>
      </c>
      <c r="J1027" s="216">
        <v>3.97</v>
      </c>
    </row>
    <row r="1028" spans="1:10" ht="18" customHeight="1">
      <c r="A1028" s="227">
        <v>42641</v>
      </c>
      <c r="B1028" s="214" t="s">
        <v>330</v>
      </c>
      <c r="C1028" s="224">
        <v>300008875665</v>
      </c>
      <c r="D1028" s="214" t="s">
        <v>189</v>
      </c>
      <c r="E1028" s="216">
        <v>20</v>
      </c>
      <c r="F1028" s="216">
        <v>2418</v>
      </c>
      <c r="G1028" s="216">
        <v>20</v>
      </c>
      <c r="H1028" s="216">
        <v>7</v>
      </c>
      <c r="I1028" s="216">
        <v>41251.25</v>
      </c>
      <c r="J1028" s="216">
        <v>1.7</v>
      </c>
    </row>
    <row r="1029" spans="1:10" ht="18" customHeight="1">
      <c r="A1029" s="227">
        <v>42641</v>
      </c>
      <c r="B1029" s="214" t="s">
        <v>330</v>
      </c>
      <c r="C1029" s="224">
        <v>300009235974</v>
      </c>
      <c r="D1029" s="214" t="s">
        <v>187</v>
      </c>
      <c r="E1029" s="216">
        <v>19</v>
      </c>
      <c r="F1029" s="216">
        <v>2304</v>
      </c>
      <c r="G1029" s="216">
        <v>19</v>
      </c>
      <c r="H1029" s="216">
        <v>8</v>
      </c>
      <c r="I1029" s="216">
        <v>40732.699999999997</v>
      </c>
      <c r="J1029" s="216">
        <v>1.96</v>
      </c>
    </row>
    <row r="1030" spans="1:10" ht="18" customHeight="1">
      <c r="A1030" s="227">
        <v>42641</v>
      </c>
      <c r="B1030" s="214" t="s">
        <v>330</v>
      </c>
      <c r="C1030" s="224">
        <v>300008244937</v>
      </c>
      <c r="D1030" s="214" t="s">
        <v>272</v>
      </c>
      <c r="E1030" s="216">
        <v>23</v>
      </c>
      <c r="F1030" s="216">
        <v>1707</v>
      </c>
      <c r="G1030" s="216">
        <v>23</v>
      </c>
      <c r="H1030" s="216">
        <v>5</v>
      </c>
      <c r="I1030" s="216">
        <v>21479.33</v>
      </c>
      <c r="J1030" s="216">
        <v>2.33</v>
      </c>
    </row>
    <row r="1031" spans="1:10" ht="18" customHeight="1">
      <c r="A1031" s="227">
        <v>42641</v>
      </c>
      <c r="B1031" s="214" t="s">
        <v>330</v>
      </c>
      <c r="C1031" s="224">
        <v>300008579657</v>
      </c>
      <c r="D1031" s="214" t="s">
        <v>426</v>
      </c>
      <c r="E1031" s="216">
        <v>16</v>
      </c>
      <c r="F1031" s="216">
        <v>1339</v>
      </c>
      <c r="G1031" s="216">
        <v>16</v>
      </c>
      <c r="H1031" s="216">
        <v>2</v>
      </c>
      <c r="I1031" s="216">
        <v>17257.37</v>
      </c>
      <c r="J1031" s="216">
        <v>1.1599999999999999</v>
      </c>
    </row>
    <row r="1032" spans="1:10" ht="18" customHeight="1">
      <c r="A1032" s="227">
        <v>42641</v>
      </c>
      <c r="B1032" s="214" t="s">
        <v>330</v>
      </c>
      <c r="C1032" s="224">
        <v>300009003496</v>
      </c>
      <c r="D1032" s="214" t="s">
        <v>427</v>
      </c>
      <c r="E1032" s="216">
        <v>8</v>
      </c>
      <c r="F1032" s="216">
        <v>14</v>
      </c>
      <c r="G1032" s="216">
        <v>8</v>
      </c>
      <c r="H1032" s="216">
        <v>2</v>
      </c>
      <c r="I1032" s="216">
        <v>150.53</v>
      </c>
      <c r="J1032" s="216">
        <v>2</v>
      </c>
    </row>
    <row r="1033" spans="1:10" ht="18" customHeight="1">
      <c r="A1033" s="227">
        <v>42641</v>
      </c>
      <c r="B1033" s="214" t="s">
        <v>330</v>
      </c>
      <c r="C1033" s="224">
        <v>300008839381</v>
      </c>
      <c r="D1033" s="214" t="s">
        <v>190</v>
      </c>
      <c r="E1033" s="216">
        <v>9</v>
      </c>
      <c r="F1033" s="216" t="s">
        <v>242</v>
      </c>
      <c r="G1033" s="216">
        <v>9</v>
      </c>
      <c r="H1033" s="216">
        <v>1</v>
      </c>
      <c r="I1033" s="216">
        <v>0</v>
      </c>
      <c r="J1033" s="216">
        <v>1</v>
      </c>
    </row>
    <row r="1034" spans="1:10" ht="18" customHeight="1">
      <c r="A1034" s="227">
        <v>42641</v>
      </c>
      <c r="B1034" s="214" t="s">
        <v>454</v>
      </c>
      <c r="C1034" s="224">
        <v>300009374212</v>
      </c>
      <c r="D1034" s="214" t="s">
        <v>235</v>
      </c>
      <c r="E1034" s="216">
        <v>25</v>
      </c>
      <c r="F1034" s="216">
        <v>3252</v>
      </c>
      <c r="G1034" s="216">
        <v>25</v>
      </c>
      <c r="H1034" s="216">
        <v>5</v>
      </c>
      <c r="I1034" s="216">
        <v>47910.400000000001</v>
      </c>
      <c r="J1034" s="216">
        <v>1.04</v>
      </c>
    </row>
    <row r="1035" spans="1:10" ht="18" customHeight="1">
      <c r="A1035" s="227">
        <v>42641</v>
      </c>
      <c r="B1035" s="214" t="s">
        <v>454</v>
      </c>
      <c r="C1035" s="224">
        <v>300009406202</v>
      </c>
      <c r="D1035" s="214" t="s">
        <v>232</v>
      </c>
      <c r="E1035" s="216">
        <v>31</v>
      </c>
      <c r="F1035" s="216">
        <v>2257</v>
      </c>
      <c r="G1035" s="216">
        <v>31</v>
      </c>
      <c r="H1035" s="216">
        <v>15</v>
      </c>
      <c r="I1035" s="216">
        <v>35311</v>
      </c>
      <c r="J1035" s="216">
        <v>4.25</v>
      </c>
    </row>
    <row r="1036" spans="1:10" ht="18" customHeight="1">
      <c r="A1036" s="227">
        <v>42641</v>
      </c>
      <c r="B1036" s="214" t="s">
        <v>454</v>
      </c>
      <c r="C1036" s="224">
        <v>300009185572</v>
      </c>
      <c r="D1036" s="214" t="s">
        <v>237</v>
      </c>
      <c r="E1036" s="216">
        <v>5</v>
      </c>
      <c r="F1036" s="216">
        <v>726</v>
      </c>
      <c r="G1036" s="216">
        <v>5</v>
      </c>
      <c r="H1036" s="216">
        <v>0</v>
      </c>
      <c r="I1036" s="216">
        <v>9452.1</v>
      </c>
      <c r="J1036" s="216">
        <v>0</v>
      </c>
    </row>
    <row r="1037" spans="1:10" ht="18" customHeight="1">
      <c r="A1037" s="227">
        <v>42641</v>
      </c>
      <c r="B1037" s="214" t="s">
        <v>454</v>
      </c>
      <c r="C1037" s="224">
        <v>300009406201</v>
      </c>
      <c r="D1037" s="214" t="s">
        <v>234</v>
      </c>
      <c r="E1037" s="216">
        <v>1</v>
      </c>
      <c r="F1037" s="216">
        <v>156</v>
      </c>
      <c r="G1037" s="216">
        <v>1</v>
      </c>
      <c r="H1037" s="216">
        <v>1</v>
      </c>
      <c r="I1037" s="216">
        <v>1986.6</v>
      </c>
      <c r="J1037" s="216">
        <v>1</v>
      </c>
    </row>
    <row r="1038" spans="1:10" ht="18" customHeight="1">
      <c r="A1038" s="227">
        <v>42641</v>
      </c>
      <c r="B1038" s="214" t="s">
        <v>454</v>
      </c>
      <c r="C1038" s="224">
        <v>300009184067</v>
      </c>
      <c r="D1038" s="214" t="s">
        <v>233</v>
      </c>
      <c r="E1038" s="216">
        <v>3</v>
      </c>
      <c r="F1038" s="216" t="s">
        <v>242</v>
      </c>
      <c r="G1038" s="216">
        <v>3</v>
      </c>
      <c r="H1038" s="216">
        <v>0</v>
      </c>
      <c r="I1038" s="216">
        <v>0</v>
      </c>
      <c r="J1038" s="216">
        <v>0</v>
      </c>
    </row>
    <row r="1039" spans="1:10" ht="18" customHeight="1">
      <c r="A1039" s="227">
        <v>42641</v>
      </c>
      <c r="B1039" s="214" t="s">
        <v>454</v>
      </c>
      <c r="C1039" s="224">
        <v>300009374215</v>
      </c>
      <c r="D1039" s="214" t="s">
        <v>236</v>
      </c>
      <c r="E1039" s="216">
        <v>4</v>
      </c>
      <c r="F1039" s="216" t="s">
        <v>242</v>
      </c>
      <c r="G1039" s="216">
        <v>4</v>
      </c>
      <c r="H1039" s="216">
        <v>1</v>
      </c>
      <c r="I1039" s="216">
        <v>0</v>
      </c>
      <c r="J1039" s="216">
        <v>1</v>
      </c>
    </row>
    <row r="1040" spans="1:10" ht="18" customHeight="1">
      <c r="A1040" s="227">
        <v>42641</v>
      </c>
      <c r="B1040" s="214" t="s">
        <v>455</v>
      </c>
      <c r="C1040" s="224">
        <v>300009480238</v>
      </c>
      <c r="D1040" s="214" t="s">
        <v>263</v>
      </c>
      <c r="E1040" s="216">
        <v>23</v>
      </c>
      <c r="F1040" s="216">
        <v>1610</v>
      </c>
      <c r="G1040" s="216">
        <v>23</v>
      </c>
      <c r="H1040" s="216">
        <v>6</v>
      </c>
      <c r="I1040" s="216">
        <v>24177.200000000001</v>
      </c>
      <c r="J1040" s="216">
        <v>2.48</v>
      </c>
    </row>
    <row r="1041" spans="1:10" ht="18" customHeight="1">
      <c r="A1041" s="227">
        <v>42641</v>
      </c>
      <c r="B1041" s="214" t="s">
        <v>456</v>
      </c>
      <c r="C1041" s="224">
        <v>300009358277</v>
      </c>
      <c r="D1041" s="214" t="s">
        <v>429</v>
      </c>
      <c r="E1041" s="216">
        <v>288</v>
      </c>
      <c r="F1041" s="216">
        <v>30357</v>
      </c>
      <c r="G1041" s="216">
        <v>94.87</v>
      </c>
      <c r="H1041" s="216">
        <v>162</v>
      </c>
      <c r="I1041" s="216">
        <v>743901.4</v>
      </c>
      <c r="J1041" s="216">
        <v>2.1800000000000002</v>
      </c>
    </row>
    <row r="1042" spans="1:10" ht="18" customHeight="1">
      <c r="A1042" s="227">
        <v>42641</v>
      </c>
      <c r="B1042" s="214" t="s">
        <v>457</v>
      </c>
      <c r="C1042" s="224">
        <v>300009192151</v>
      </c>
      <c r="D1042" s="214" t="s">
        <v>430</v>
      </c>
      <c r="E1042" s="216">
        <v>20</v>
      </c>
      <c r="F1042" s="216">
        <v>2071</v>
      </c>
      <c r="G1042" s="216">
        <v>20</v>
      </c>
      <c r="H1042" s="216">
        <v>6</v>
      </c>
      <c r="I1042" s="216">
        <v>44991.1</v>
      </c>
      <c r="J1042" s="216">
        <v>1.33</v>
      </c>
    </row>
    <row r="1043" spans="1:10" ht="18" customHeight="1">
      <c r="A1043" s="227">
        <v>42642</v>
      </c>
      <c r="B1043" s="214" t="s">
        <v>456</v>
      </c>
      <c r="C1043" s="224">
        <v>300009358277</v>
      </c>
      <c r="D1043" s="214" t="s">
        <v>429</v>
      </c>
      <c r="E1043" s="216">
        <v>291</v>
      </c>
      <c r="F1043" s="216">
        <v>31125</v>
      </c>
      <c r="G1043" s="216">
        <v>93.49</v>
      </c>
      <c r="H1043" s="216">
        <v>166</v>
      </c>
      <c r="I1043" s="216">
        <v>771821.3</v>
      </c>
      <c r="J1043" s="216">
        <v>2.15</v>
      </c>
    </row>
    <row r="1044" spans="1:10" ht="18" customHeight="1">
      <c r="A1044" s="227">
        <v>42642</v>
      </c>
      <c r="B1044" s="214" t="s">
        <v>455</v>
      </c>
      <c r="C1044" s="224">
        <v>300009480238</v>
      </c>
      <c r="D1044" s="214" t="s">
        <v>263</v>
      </c>
      <c r="E1044" s="216">
        <v>23</v>
      </c>
      <c r="F1044" s="216">
        <v>1665</v>
      </c>
      <c r="G1044" s="216">
        <v>23</v>
      </c>
      <c r="H1044" s="216">
        <v>6</v>
      </c>
      <c r="I1044" s="216">
        <v>25089.5</v>
      </c>
      <c r="J1044" s="216">
        <v>2.39</v>
      </c>
    </row>
    <row r="1045" spans="1:10" ht="18" customHeight="1">
      <c r="A1045" s="227">
        <v>42642</v>
      </c>
      <c r="B1045" s="214" t="s">
        <v>163</v>
      </c>
      <c r="C1045" s="224">
        <v>300009000071</v>
      </c>
      <c r="D1045" s="216" t="s">
        <v>425</v>
      </c>
      <c r="E1045" s="216">
        <v>53</v>
      </c>
      <c r="F1045" s="216">
        <v>4724</v>
      </c>
      <c r="G1045" s="216">
        <v>53</v>
      </c>
      <c r="H1045" s="216">
        <v>25</v>
      </c>
      <c r="I1045" s="216">
        <v>67610.259999999995</v>
      </c>
      <c r="J1045" s="216">
        <v>3.7</v>
      </c>
    </row>
    <row r="1046" spans="1:10" ht="18" customHeight="1">
      <c r="A1046" s="227">
        <v>42642</v>
      </c>
      <c r="B1046" s="214" t="s">
        <v>163</v>
      </c>
      <c r="C1046" s="224">
        <v>300009235971</v>
      </c>
      <c r="D1046" s="214" t="s">
        <v>241</v>
      </c>
      <c r="E1046" s="216">
        <v>51</v>
      </c>
      <c r="F1046" s="216">
        <v>3490</v>
      </c>
      <c r="G1046" s="216">
        <v>51</v>
      </c>
      <c r="H1046" s="216">
        <v>23</v>
      </c>
      <c r="I1046" s="216">
        <v>57895.7</v>
      </c>
      <c r="J1046" s="216">
        <v>3.97</v>
      </c>
    </row>
    <row r="1047" spans="1:10" ht="18" customHeight="1">
      <c r="A1047" s="227">
        <v>42642</v>
      </c>
      <c r="B1047" s="214" t="s">
        <v>163</v>
      </c>
      <c r="C1047" s="224">
        <v>300008875665</v>
      </c>
      <c r="D1047" s="214" t="s">
        <v>189</v>
      </c>
      <c r="E1047" s="216">
        <v>21</v>
      </c>
      <c r="F1047" s="216">
        <v>2418</v>
      </c>
      <c r="G1047" s="216">
        <v>21</v>
      </c>
      <c r="H1047" s="216">
        <v>8</v>
      </c>
      <c r="I1047" s="216">
        <v>41251.25</v>
      </c>
      <c r="J1047" s="216">
        <v>1.94</v>
      </c>
    </row>
    <row r="1048" spans="1:10" ht="18" customHeight="1">
      <c r="A1048" s="227">
        <v>42642</v>
      </c>
      <c r="B1048" s="214" t="s">
        <v>163</v>
      </c>
      <c r="C1048" s="224">
        <v>300009235974</v>
      </c>
      <c r="D1048" s="214" t="s">
        <v>187</v>
      </c>
      <c r="E1048" s="216">
        <v>18</v>
      </c>
      <c r="F1048" s="216">
        <v>2245</v>
      </c>
      <c r="G1048" s="216">
        <v>18</v>
      </c>
      <c r="H1048" s="216">
        <v>7</v>
      </c>
      <c r="I1048" s="216">
        <v>39519.9</v>
      </c>
      <c r="J1048" s="216">
        <v>1.77</v>
      </c>
    </row>
    <row r="1049" spans="1:10" ht="18" customHeight="1">
      <c r="A1049" s="227">
        <v>42642</v>
      </c>
      <c r="B1049" s="214" t="s">
        <v>163</v>
      </c>
      <c r="C1049" s="224">
        <v>300008244937</v>
      </c>
      <c r="D1049" s="214" t="s">
        <v>272</v>
      </c>
      <c r="E1049" s="216">
        <v>23</v>
      </c>
      <c r="F1049" s="216">
        <v>1707</v>
      </c>
      <c r="G1049" s="216">
        <v>23</v>
      </c>
      <c r="H1049" s="216">
        <v>5</v>
      </c>
      <c r="I1049" s="216">
        <v>21479.33</v>
      </c>
      <c r="J1049" s="216">
        <v>2.33</v>
      </c>
    </row>
    <row r="1050" spans="1:10" ht="18" customHeight="1">
      <c r="A1050" s="227">
        <v>42642</v>
      </c>
      <c r="B1050" s="214" t="s">
        <v>163</v>
      </c>
      <c r="C1050" s="224">
        <v>300008579657</v>
      </c>
      <c r="D1050" s="214" t="s">
        <v>426</v>
      </c>
      <c r="E1050" s="216">
        <v>16</v>
      </c>
      <c r="F1050" s="216">
        <v>1339</v>
      </c>
      <c r="G1050" s="216">
        <v>16</v>
      </c>
      <c r="H1050" s="216">
        <v>2</v>
      </c>
      <c r="I1050" s="216">
        <v>17257.37</v>
      </c>
      <c r="J1050" s="216">
        <v>1.1599999999999999</v>
      </c>
    </row>
    <row r="1051" spans="1:10" ht="18" customHeight="1">
      <c r="A1051" s="227">
        <v>42642</v>
      </c>
      <c r="B1051" s="214" t="s">
        <v>163</v>
      </c>
      <c r="C1051" s="224">
        <v>300009003496</v>
      </c>
      <c r="D1051" s="214" t="s">
        <v>427</v>
      </c>
      <c r="E1051" s="216">
        <v>8</v>
      </c>
      <c r="F1051" s="216">
        <v>14</v>
      </c>
      <c r="G1051" s="216">
        <v>8</v>
      </c>
      <c r="H1051" s="216">
        <v>2</v>
      </c>
      <c r="I1051" s="216">
        <v>150.53</v>
      </c>
      <c r="J1051" s="216">
        <v>2</v>
      </c>
    </row>
    <row r="1052" spans="1:10" ht="18" customHeight="1">
      <c r="A1052" s="227">
        <v>42642</v>
      </c>
      <c r="B1052" s="214" t="s">
        <v>163</v>
      </c>
      <c r="C1052" s="224">
        <v>300008839381</v>
      </c>
      <c r="D1052" s="214" t="s">
        <v>190</v>
      </c>
      <c r="E1052" s="216">
        <v>9</v>
      </c>
      <c r="F1052" s="216" t="s">
        <v>242</v>
      </c>
      <c r="G1052" s="216">
        <v>9</v>
      </c>
      <c r="H1052" s="216">
        <v>1</v>
      </c>
      <c r="I1052" s="216">
        <v>0</v>
      </c>
      <c r="J1052" s="216">
        <v>1</v>
      </c>
    </row>
    <row r="1053" spans="1:10" ht="18" customHeight="1">
      <c r="A1053" s="227">
        <v>42642</v>
      </c>
      <c r="B1053" s="214" t="s">
        <v>457</v>
      </c>
      <c r="C1053" s="224">
        <v>300009192151</v>
      </c>
      <c r="D1053" s="214" t="s">
        <v>430</v>
      </c>
      <c r="E1053" s="216">
        <v>21</v>
      </c>
      <c r="F1053" s="216">
        <v>2217</v>
      </c>
      <c r="G1053" s="216">
        <v>21</v>
      </c>
      <c r="H1053" s="216">
        <v>6</v>
      </c>
      <c r="I1053" s="216">
        <v>49788.5</v>
      </c>
      <c r="J1053" s="216">
        <v>1.21</v>
      </c>
    </row>
    <row r="1054" spans="1:10" ht="18" customHeight="1">
      <c r="A1054" s="227">
        <v>42642</v>
      </c>
      <c r="B1054" s="214" t="s">
        <v>454</v>
      </c>
      <c r="C1054" s="224">
        <v>300009374212</v>
      </c>
      <c r="D1054" s="214" t="s">
        <v>235</v>
      </c>
      <c r="E1054" s="216">
        <v>25</v>
      </c>
      <c r="F1054" s="216">
        <v>3371</v>
      </c>
      <c r="G1054" s="216">
        <v>25</v>
      </c>
      <c r="H1054" s="216">
        <v>5</v>
      </c>
      <c r="I1054" s="216">
        <v>49576.5</v>
      </c>
      <c r="J1054" s="216">
        <v>1.01</v>
      </c>
    </row>
    <row r="1055" spans="1:10" ht="18" customHeight="1">
      <c r="A1055" s="227">
        <v>42642</v>
      </c>
      <c r="B1055" s="214" t="s">
        <v>454</v>
      </c>
      <c r="C1055" s="224">
        <v>300009406202</v>
      </c>
      <c r="D1055" s="214" t="s">
        <v>232</v>
      </c>
      <c r="E1055" s="216">
        <v>31</v>
      </c>
      <c r="F1055" s="216">
        <v>2264</v>
      </c>
      <c r="G1055" s="216">
        <v>31</v>
      </c>
      <c r="H1055" s="216">
        <v>15</v>
      </c>
      <c r="I1055" s="216">
        <v>35400.199999999997</v>
      </c>
      <c r="J1055" s="216">
        <v>4.24</v>
      </c>
    </row>
    <row r="1056" spans="1:10" ht="18" customHeight="1">
      <c r="A1056" s="227">
        <v>42642</v>
      </c>
      <c r="B1056" s="214" t="s">
        <v>454</v>
      </c>
      <c r="C1056" s="224">
        <v>300009185572</v>
      </c>
      <c r="D1056" s="214" t="s">
        <v>237</v>
      </c>
      <c r="E1056" s="216">
        <v>5</v>
      </c>
      <c r="F1056" s="216">
        <v>874</v>
      </c>
      <c r="G1056" s="216">
        <v>5</v>
      </c>
      <c r="H1056" s="216">
        <v>0</v>
      </c>
      <c r="I1056" s="216">
        <v>11627.5</v>
      </c>
      <c r="J1056" s="216">
        <v>0</v>
      </c>
    </row>
    <row r="1057" spans="1:10" ht="18" customHeight="1">
      <c r="A1057" s="227">
        <v>42642</v>
      </c>
      <c r="B1057" s="214" t="s">
        <v>454</v>
      </c>
      <c r="C1057" s="224">
        <v>300009406201</v>
      </c>
      <c r="D1057" s="214" t="s">
        <v>234</v>
      </c>
      <c r="E1057" s="216">
        <v>2</v>
      </c>
      <c r="F1057" s="216">
        <v>229</v>
      </c>
      <c r="G1057" s="216">
        <v>2</v>
      </c>
      <c r="H1057" s="216">
        <v>1</v>
      </c>
      <c r="I1057" s="216">
        <v>3089.1</v>
      </c>
      <c r="J1057" s="216">
        <v>1</v>
      </c>
    </row>
    <row r="1058" spans="1:10" ht="18" customHeight="1">
      <c r="A1058" s="227">
        <v>42642</v>
      </c>
      <c r="B1058" s="214" t="s">
        <v>454</v>
      </c>
      <c r="C1058" s="224">
        <v>300009184067</v>
      </c>
      <c r="D1058" s="214" t="s">
        <v>233</v>
      </c>
      <c r="E1058" s="216">
        <v>3</v>
      </c>
      <c r="F1058" s="216" t="s">
        <v>242</v>
      </c>
      <c r="G1058" s="216">
        <v>3</v>
      </c>
      <c r="H1058" s="216">
        <v>0</v>
      </c>
      <c r="I1058" s="216">
        <v>0</v>
      </c>
      <c r="J1058" s="216">
        <v>0</v>
      </c>
    </row>
    <row r="1059" spans="1:10" ht="18" customHeight="1">
      <c r="A1059" s="227">
        <v>42642</v>
      </c>
      <c r="B1059" s="214" t="s">
        <v>454</v>
      </c>
      <c r="C1059" s="224">
        <v>300009374215</v>
      </c>
      <c r="D1059" s="214" t="s">
        <v>236</v>
      </c>
      <c r="E1059" s="216">
        <v>4</v>
      </c>
      <c r="F1059" s="216" t="s">
        <v>242</v>
      </c>
      <c r="G1059" s="216">
        <v>4</v>
      </c>
      <c r="H1059" s="216">
        <v>1</v>
      </c>
      <c r="I1059" s="216">
        <v>0</v>
      </c>
      <c r="J1059" s="216">
        <v>1</v>
      </c>
    </row>
    <row r="1060" spans="1:10" ht="18" customHeight="1">
      <c r="A1060" s="227">
        <v>42642</v>
      </c>
      <c r="B1060" s="214" t="s">
        <v>169</v>
      </c>
      <c r="C1060" s="224">
        <v>300009290321</v>
      </c>
      <c r="D1060" s="214" t="s">
        <v>194</v>
      </c>
      <c r="E1060" s="216">
        <v>12</v>
      </c>
      <c r="F1060" s="216">
        <v>145</v>
      </c>
      <c r="G1060" s="216">
        <v>12</v>
      </c>
      <c r="H1060" s="216">
        <v>3</v>
      </c>
      <c r="I1060" s="216">
        <v>2581.5</v>
      </c>
      <c r="J1060" s="216">
        <v>3</v>
      </c>
    </row>
    <row r="1061" spans="1:10" ht="18" customHeight="1">
      <c r="A1061" s="227">
        <v>42643</v>
      </c>
      <c r="B1061" s="263" t="s">
        <v>473</v>
      </c>
      <c r="C1061" s="224">
        <v>300009358277</v>
      </c>
      <c r="D1061" s="214" t="s">
        <v>429</v>
      </c>
      <c r="E1061" s="216">
        <v>300</v>
      </c>
      <c r="F1061" s="216">
        <v>31860</v>
      </c>
      <c r="G1061" s="216">
        <v>94.16</v>
      </c>
      <c r="H1061" s="216">
        <v>172</v>
      </c>
      <c r="I1061" s="216">
        <v>798875</v>
      </c>
      <c r="J1061" s="216">
        <v>2.15</v>
      </c>
    </row>
    <row r="1062" spans="1:10" ht="18" customHeight="1">
      <c r="A1062" s="227">
        <v>42644</v>
      </c>
      <c r="B1062" s="227" t="s">
        <v>459</v>
      </c>
      <c r="C1062" s="224">
        <v>300009358277</v>
      </c>
      <c r="D1062" s="214" t="s">
        <v>429</v>
      </c>
      <c r="E1062" s="216">
        <v>301</v>
      </c>
      <c r="F1062" s="216">
        <v>33195</v>
      </c>
      <c r="G1062" s="216">
        <v>90.68</v>
      </c>
      <c r="H1062" s="216">
        <v>175</v>
      </c>
      <c r="I1062" s="216">
        <v>841366.8</v>
      </c>
      <c r="J1062" s="216">
        <v>2.08</v>
      </c>
    </row>
    <row r="1063" spans="1:10" ht="18" customHeight="1">
      <c r="A1063" s="227">
        <v>42645</v>
      </c>
      <c r="B1063" s="227" t="s">
        <v>459</v>
      </c>
      <c r="C1063" s="224">
        <v>300009358277</v>
      </c>
      <c r="D1063" s="214" t="s">
        <v>429</v>
      </c>
      <c r="E1063" s="216">
        <v>307</v>
      </c>
      <c r="F1063" s="216">
        <v>34172</v>
      </c>
      <c r="G1063" s="216">
        <v>89.84</v>
      </c>
      <c r="H1063" s="216">
        <v>180</v>
      </c>
      <c r="I1063" s="216">
        <v>874636.80000000005</v>
      </c>
      <c r="J1063" s="216">
        <v>2.06</v>
      </c>
    </row>
    <row r="1064" spans="1:10" ht="18" customHeight="1">
      <c r="A1064" s="227">
        <v>42646</v>
      </c>
      <c r="B1064" s="227" t="s">
        <v>459</v>
      </c>
      <c r="C1064" s="224">
        <v>300009358277</v>
      </c>
      <c r="D1064" s="214" t="s">
        <v>429</v>
      </c>
      <c r="E1064" s="216">
        <v>313</v>
      </c>
      <c r="F1064" s="216">
        <v>34842</v>
      </c>
      <c r="G1064" s="216">
        <v>89.83</v>
      </c>
      <c r="H1064" s="216">
        <v>187</v>
      </c>
      <c r="I1064" s="216">
        <v>899663</v>
      </c>
      <c r="J1064" s="216">
        <v>2.08</v>
      </c>
    </row>
    <row r="1065" spans="1:10" ht="18" customHeight="1">
      <c r="A1065" s="227">
        <v>42647</v>
      </c>
      <c r="B1065" s="227" t="s">
        <v>459</v>
      </c>
      <c r="C1065" s="224">
        <v>300009358277</v>
      </c>
      <c r="D1065" s="214" t="s">
        <v>429</v>
      </c>
      <c r="E1065" s="216">
        <v>318</v>
      </c>
      <c r="F1065" s="216">
        <v>35537</v>
      </c>
      <c r="G1065" s="216">
        <v>89.48</v>
      </c>
      <c r="H1065" s="216">
        <v>193</v>
      </c>
      <c r="I1065" s="216">
        <v>923336.9</v>
      </c>
      <c r="J1065" s="216">
        <v>2.09</v>
      </c>
    </row>
    <row r="1066" spans="1:10" ht="18" customHeight="1">
      <c r="A1066" s="227">
        <v>42648</v>
      </c>
      <c r="B1066" s="227" t="s">
        <v>459</v>
      </c>
      <c r="C1066" s="224">
        <v>300009358277</v>
      </c>
      <c r="D1066" s="214" t="s">
        <v>429</v>
      </c>
      <c r="E1066" s="216">
        <v>328</v>
      </c>
      <c r="F1066" s="216">
        <v>36289</v>
      </c>
      <c r="G1066" s="216">
        <v>90.39</v>
      </c>
      <c r="H1066" s="216">
        <v>200</v>
      </c>
      <c r="I1066" s="216">
        <v>948718.1</v>
      </c>
      <c r="J1066" s="216">
        <v>2.11</v>
      </c>
    </row>
    <row r="1067" spans="1:10" ht="18" customHeight="1">
      <c r="A1067" s="227">
        <v>42649</v>
      </c>
      <c r="B1067" s="227" t="s">
        <v>459</v>
      </c>
      <c r="C1067" s="224">
        <v>300009358277</v>
      </c>
      <c r="D1067" s="214" t="s">
        <v>429</v>
      </c>
      <c r="E1067" s="216">
        <v>336</v>
      </c>
      <c r="F1067" s="216">
        <v>36703</v>
      </c>
      <c r="G1067" s="216">
        <v>91.55</v>
      </c>
      <c r="H1067" s="216">
        <v>207</v>
      </c>
      <c r="I1067" s="216">
        <v>968785.5</v>
      </c>
      <c r="J1067" s="216">
        <v>2.14</v>
      </c>
    </row>
    <row r="1068" spans="1:10" ht="18" customHeight="1">
      <c r="A1068" s="227">
        <v>42650</v>
      </c>
      <c r="B1068" s="227" t="s">
        <v>459</v>
      </c>
      <c r="C1068" s="224">
        <v>300009358277</v>
      </c>
      <c r="D1068" s="214" t="s">
        <v>429</v>
      </c>
      <c r="E1068" s="216">
        <v>339</v>
      </c>
      <c r="F1068" s="216">
        <v>36964</v>
      </c>
      <c r="G1068" s="216">
        <v>91.71</v>
      </c>
      <c r="H1068" s="216">
        <v>209</v>
      </c>
      <c r="I1068" s="216">
        <v>983198.4</v>
      </c>
      <c r="J1068" s="216">
        <v>2.13</v>
      </c>
    </row>
    <row r="1069" spans="1:10" ht="18" customHeight="1">
      <c r="A1069" s="227">
        <v>42643</v>
      </c>
      <c r="B1069" s="214" t="s">
        <v>264</v>
      </c>
      <c r="C1069" s="224">
        <v>300009480238</v>
      </c>
      <c r="D1069" s="214" t="s">
        <v>263</v>
      </c>
      <c r="E1069" s="216">
        <v>24</v>
      </c>
      <c r="F1069" s="216">
        <v>1723</v>
      </c>
      <c r="G1069" s="216">
        <v>24</v>
      </c>
      <c r="H1069" s="216">
        <v>7</v>
      </c>
      <c r="I1069" s="216">
        <v>25824.799999999999</v>
      </c>
      <c r="J1069" s="216">
        <v>2.71</v>
      </c>
    </row>
    <row r="1070" spans="1:10" ht="18" customHeight="1">
      <c r="A1070" s="227">
        <v>42644</v>
      </c>
      <c r="B1070" s="214" t="s">
        <v>264</v>
      </c>
      <c r="C1070" s="224">
        <v>300009480238</v>
      </c>
      <c r="D1070" s="214" t="s">
        <v>263</v>
      </c>
      <c r="E1070" s="216">
        <v>24</v>
      </c>
      <c r="F1070" s="216">
        <v>1984</v>
      </c>
      <c r="G1070" s="216">
        <v>24</v>
      </c>
      <c r="H1070" s="216">
        <v>7</v>
      </c>
      <c r="I1070" s="216">
        <v>29084.400000000001</v>
      </c>
      <c r="J1070" s="216">
        <v>2.41</v>
      </c>
    </row>
    <row r="1071" spans="1:10" ht="18" customHeight="1">
      <c r="A1071" s="227">
        <v>42645</v>
      </c>
      <c r="B1071" s="227" t="s">
        <v>474</v>
      </c>
      <c r="C1071" s="224">
        <v>300009480238</v>
      </c>
      <c r="D1071" s="214" t="s">
        <v>263</v>
      </c>
      <c r="E1071" s="216">
        <v>25</v>
      </c>
      <c r="F1071" s="216">
        <v>2274</v>
      </c>
      <c r="G1071" s="216">
        <v>25</v>
      </c>
      <c r="H1071" s="216">
        <v>7</v>
      </c>
      <c r="I1071" s="216">
        <v>34104.400000000001</v>
      </c>
      <c r="J1071" s="216">
        <v>2.0499999999999998</v>
      </c>
    </row>
    <row r="1072" spans="1:10" ht="18" customHeight="1">
      <c r="A1072" s="227">
        <v>42646</v>
      </c>
      <c r="B1072" s="227" t="s">
        <v>474</v>
      </c>
      <c r="C1072" s="224">
        <v>300009480238</v>
      </c>
      <c r="D1072" s="214" t="s">
        <v>263</v>
      </c>
      <c r="E1072" s="216">
        <v>29</v>
      </c>
      <c r="F1072" s="216">
        <v>2575</v>
      </c>
      <c r="G1072" s="216">
        <v>29</v>
      </c>
      <c r="H1072" s="216">
        <v>9</v>
      </c>
      <c r="I1072" s="216">
        <v>39104.1</v>
      </c>
      <c r="J1072" s="216">
        <v>2.2999999999999998</v>
      </c>
    </row>
    <row r="1073" spans="1:10" ht="18" customHeight="1">
      <c r="A1073" s="227">
        <v>42647</v>
      </c>
      <c r="B1073" s="227" t="s">
        <v>474</v>
      </c>
      <c r="C1073" s="224">
        <v>300009480238</v>
      </c>
      <c r="D1073" s="214" t="s">
        <v>263</v>
      </c>
      <c r="E1073" s="216">
        <v>31</v>
      </c>
      <c r="F1073" s="216">
        <v>2831</v>
      </c>
      <c r="G1073" s="216">
        <v>31</v>
      </c>
      <c r="H1073" s="216">
        <v>11</v>
      </c>
      <c r="I1073" s="216">
        <v>44073.9</v>
      </c>
      <c r="J1073" s="216">
        <v>2.5</v>
      </c>
    </row>
    <row r="1074" spans="1:10" ht="18" customHeight="1">
      <c r="A1074" s="227">
        <v>42648</v>
      </c>
      <c r="B1074" s="227" t="s">
        <v>474</v>
      </c>
      <c r="C1074" s="224">
        <v>300009480238</v>
      </c>
      <c r="D1074" s="214" t="s">
        <v>263</v>
      </c>
      <c r="E1074" s="216">
        <v>35</v>
      </c>
      <c r="F1074" s="216">
        <v>2876</v>
      </c>
      <c r="G1074" s="216">
        <v>35</v>
      </c>
      <c r="H1074" s="216">
        <v>14</v>
      </c>
      <c r="I1074" s="216">
        <v>45202.8</v>
      </c>
      <c r="J1074" s="216">
        <v>3.1</v>
      </c>
    </row>
    <row r="1075" spans="1:10" ht="18" customHeight="1">
      <c r="A1075" s="227">
        <v>42649</v>
      </c>
      <c r="B1075" s="227" t="s">
        <v>474</v>
      </c>
      <c r="C1075" s="224">
        <v>300009480238</v>
      </c>
      <c r="D1075" s="214" t="s">
        <v>263</v>
      </c>
      <c r="E1075" s="216">
        <v>42</v>
      </c>
      <c r="F1075" s="216">
        <v>2876</v>
      </c>
      <c r="G1075" s="216">
        <v>42</v>
      </c>
      <c r="H1075" s="216">
        <v>20</v>
      </c>
      <c r="I1075" s="216">
        <v>45202.8</v>
      </c>
      <c r="J1075" s="216">
        <v>4.42</v>
      </c>
    </row>
    <row r="1076" spans="1:10" ht="18" customHeight="1">
      <c r="A1076" s="227">
        <v>42650</v>
      </c>
      <c r="B1076" s="227" t="s">
        <v>474</v>
      </c>
      <c r="C1076" s="224">
        <v>300009480238</v>
      </c>
      <c r="D1076" s="214" t="s">
        <v>263</v>
      </c>
      <c r="E1076" s="216">
        <v>44</v>
      </c>
      <c r="F1076" s="216">
        <v>2876</v>
      </c>
      <c r="G1076" s="216">
        <v>44</v>
      </c>
      <c r="H1076" s="216">
        <v>20</v>
      </c>
      <c r="I1076" s="216">
        <v>45202.8</v>
      </c>
      <c r="J1076" s="216">
        <v>4.42</v>
      </c>
    </row>
    <row r="1077" spans="1:10" ht="18" customHeight="1">
      <c r="A1077" s="227">
        <v>42643</v>
      </c>
      <c r="B1077" s="214" t="s">
        <v>163</v>
      </c>
      <c r="C1077" s="224">
        <v>300009000071</v>
      </c>
      <c r="D1077" s="216" t="s">
        <v>425</v>
      </c>
      <c r="E1077" s="216">
        <v>53</v>
      </c>
      <c r="F1077" s="216">
        <v>4724</v>
      </c>
      <c r="G1077" s="216">
        <v>53</v>
      </c>
      <c r="H1077" s="216">
        <v>25</v>
      </c>
      <c r="I1077" s="216">
        <v>67610.259999999995</v>
      </c>
      <c r="J1077" s="216">
        <v>3.7</v>
      </c>
    </row>
    <row r="1078" spans="1:10" ht="18" customHeight="1">
      <c r="A1078" s="227">
        <v>42643</v>
      </c>
      <c r="B1078" s="216" t="s">
        <v>193</v>
      </c>
      <c r="C1078" s="224">
        <v>300009235971</v>
      </c>
      <c r="D1078" s="214" t="s">
        <v>241</v>
      </c>
      <c r="E1078" s="216">
        <v>53</v>
      </c>
      <c r="F1078" s="216">
        <v>3490</v>
      </c>
      <c r="G1078" s="216">
        <v>53</v>
      </c>
      <c r="H1078" s="216">
        <v>24</v>
      </c>
      <c r="I1078" s="216">
        <v>57895.7</v>
      </c>
      <c r="J1078" s="216">
        <v>4.1500000000000004</v>
      </c>
    </row>
    <row r="1079" spans="1:10" ht="18" customHeight="1">
      <c r="A1079" s="227">
        <v>42643</v>
      </c>
      <c r="B1079" s="216" t="s">
        <v>193</v>
      </c>
      <c r="C1079" s="224">
        <v>300008875665</v>
      </c>
      <c r="D1079" s="214" t="s">
        <v>189</v>
      </c>
      <c r="E1079" s="216">
        <v>20</v>
      </c>
      <c r="F1079" s="216">
        <v>2369</v>
      </c>
      <c r="G1079" s="216">
        <v>20</v>
      </c>
      <c r="H1079" s="216">
        <v>7</v>
      </c>
      <c r="I1079" s="216">
        <v>40116.65</v>
      </c>
      <c r="J1079" s="216">
        <v>1.74</v>
      </c>
    </row>
    <row r="1080" spans="1:10" ht="18" customHeight="1">
      <c r="A1080" s="227">
        <v>42643</v>
      </c>
      <c r="B1080" s="216" t="s">
        <v>193</v>
      </c>
      <c r="C1080" s="224">
        <v>300009235974</v>
      </c>
      <c r="D1080" s="214" t="s">
        <v>187</v>
      </c>
      <c r="E1080" s="216">
        <v>18</v>
      </c>
      <c r="F1080" s="216">
        <v>2180</v>
      </c>
      <c r="G1080" s="216">
        <v>18</v>
      </c>
      <c r="H1080" s="216">
        <v>7</v>
      </c>
      <c r="I1080" s="216">
        <v>38153</v>
      </c>
      <c r="J1080" s="216">
        <v>1.83</v>
      </c>
    </row>
    <row r="1081" spans="1:10" ht="18" customHeight="1">
      <c r="A1081" s="227">
        <v>42643</v>
      </c>
      <c r="B1081" s="216" t="s">
        <v>193</v>
      </c>
      <c r="C1081" s="224">
        <v>300008244937</v>
      </c>
      <c r="D1081" s="214" t="s">
        <v>272</v>
      </c>
      <c r="E1081" s="216">
        <v>24</v>
      </c>
      <c r="F1081" s="216">
        <v>1707</v>
      </c>
      <c r="G1081" s="216">
        <v>24</v>
      </c>
      <c r="H1081" s="216">
        <v>5</v>
      </c>
      <c r="I1081" s="216">
        <v>21479.33</v>
      </c>
      <c r="J1081" s="216">
        <v>2.33</v>
      </c>
    </row>
    <row r="1082" spans="1:10" ht="18" customHeight="1">
      <c r="A1082" s="227">
        <v>42643</v>
      </c>
      <c r="B1082" s="216" t="s">
        <v>193</v>
      </c>
      <c r="C1082" s="224">
        <v>300008579657</v>
      </c>
      <c r="D1082" s="214" t="s">
        <v>426</v>
      </c>
      <c r="E1082" s="216">
        <v>16</v>
      </c>
      <c r="F1082" s="216">
        <v>1339</v>
      </c>
      <c r="G1082" s="216">
        <v>16</v>
      </c>
      <c r="H1082" s="216">
        <v>2</v>
      </c>
      <c r="I1082" s="216">
        <v>17257.37</v>
      </c>
      <c r="J1082" s="216">
        <v>1.1599999999999999</v>
      </c>
    </row>
    <row r="1083" spans="1:10" ht="18" customHeight="1">
      <c r="A1083" s="227">
        <v>42643</v>
      </c>
      <c r="B1083" s="216" t="s">
        <v>193</v>
      </c>
      <c r="C1083" s="224">
        <v>300009003496</v>
      </c>
      <c r="D1083" s="214" t="s">
        <v>427</v>
      </c>
      <c r="E1083" s="216">
        <v>8</v>
      </c>
      <c r="F1083" s="216">
        <v>14</v>
      </c>
      <c r="G1083" s="216">
        <v>8</v>
      </c>
      <c r="H1083" s="216">
        <v>2</v>
      </c>
      <c r="I1083" s="216">
        <v>150.53</v>
      </c>
      <c r="J1083" s="216">
        <v>2</v>
      </c>
    </row>
    <row r="1084" spans="1:10" ht="18" customHeight="1">
      <c r="A1084" s="227">
        <v>42643</v>
      </c>
      <c r="B1084" s="216" t="s">
        <v>193</v>
      </c>
      <c r="C1084" s="224">
        <v>300008839381</v>
      </c>
      <c r="D1084" s="214" t="s">
        <v>190</v>
      </c>
      <c r="E1084" s="216">
        <v>9</v>
      </c>
      <c r="F1084" s="216" t="s">
        <v>242</v>
      </c>
      <c r="G1084" s="216">
        <v>9</v>
      </c>
      <c r="H1084" s="216">
        <v>1</v>
      </c>
      <c r="I1084" s="216">
        <v>0</v>
      </c>
      <c r="J1084" s="216">
        <v>1</v>
      </c>
    </row>
    <row r="1085" spans="1:10" ht="18" customHeight="1">
      <c r="A1085" s="227">
        <v>42644</v>
      </c>
      <c r="B1085" s="216" t="s">
        <v>193</v>
      </c>
      <c r="C1085" s="224">
        <v>300009000071</v>
      </c>
      <c r="D1085" s="216" t="s">
        <v>425</v>
      </c>
      <c r="E1085" s="216">
        <v>51</v>
      </c>
      <c r="F1085" s="216">
        <v>4443</v>
      </c>
      <c r="G1085" s="216">
        <v>51</v>
      </c>
      <c r="H1085" s="216">
        <v>25</v>
      </c>
      <c r="I1085" s="216">
        <v>64156.65</v>
      </c>
      <c r="J1085" s="216">
        <v>3.9</v>
      </c>
    </row>
    <row r="1086" spans="1:10" ht="18" customHeight="1">
      <c r="A1086" s="227">
        <v>42644</v>
      </c>
      <c r="B1086" s="216" t="s">
        <v>193</v>
      </c>
      <c r="C1086" s="224">
        <v>300009235971</v>
      </c>
      <c r="D1086" s="214" t="s">
        <v>241</v>
      </c>
      <c r="E1086" s="216">
        <v>54</v>
      </c>
      <c r="F1086" s="216">
        <v>3490</v>
      </c>
      <c r="G1086" s="216">
        <v>54</v>
      </c>
      <c r="H1086" s="216">
        <v>24</v>
      </c>
      <c r="I1086" s="216">
        <v>57895.7</v>
      </c>
      <c r="J1086" s="216">
        <v>4.1500000000000004</v>
      </c>
    </row>
    <row r="1087" spans="1:10" ht="18" customHeight="1">
      <c r="A1087" s="227">
        <v>42644</v>
      </c>
      <c r="B1087" s="216" t="s">
        <v>193</v>
      </c>
      <c r="C1087" s="224">
        <v>300008875665</v>
      </c>
      <c r="D1087" s="214" t="s">
        <v>189</v>
      </c>
      <c r="E1087" s="216">
        <v>20</v>
      </c>
      <c r="F1087" s="216">
        <v>2276</v>
      </c>
      <c r="G1087" s="216">
        <v>20</v>
      </c>
      <c r="H1087" s="216">
        <v>7</v>
      </c>
      <c r="I1087" s="216">
        <v>38130.22</v>
      </c>
      <c r="J1087" s="216">
        <v>1.84</v>
      </c>
    </row>
    <row r="1088" spans="1:10" ht="18" customHeight="1">
      <c r="A1088" s="227">
        <v>42644</v>
      </c>
      <c r="B1088" s="216" t="s">
        <v>193</v>
      </c>
      <c r="C1088" s="224">
        <v>300009235974</v>
      </c>
      <c r="D1088" s="214" t="s">
        <v>187</v>
      </c>
      <c r="E1088" s="216">
        <v>18</v>
      </c>
      <c r="F1088" s="216">
        <v>2069</v>
      </c>
      <c r="G1088" s="216">
        <v>18</v>
      </c>
      <c r="H1088" s="216">
        <v>6</v>
      </c>
      <c r="I1088" s="216">
        <v>35499.1</v>
      </c>
      <c r="J1088" s="216">
        <v>1.69</v>
      </c>
    </row>
    <row r="1089" spans="1:10" ht="18" customHeight="1">
      <c r="A1089" s="227">
        <v>42644</v>
      </c>
      <c r="B1089" s="216" t="s">
        <v>193</v>
      </c>
      <c r="C1089" s="224">
        <v>300008244937</v>
      </c>
      <c r="D1089" s="214" t="s">
        <v>272</v>
      </c>
      <c r="E1089" s="216">
        <v>24</v>
      </c>
      <c r="F1089" s="216">
        <v>1707</v>
      </c>
      <c r="G1089" s="216">
        <v>24</v>
      </c>
      <c r="H1089" s="216">
        <v>5</v>
      </c>
      <c r="I1089" s="216">
        <v>21479.33</v>
      </c>
      <c r="J1089" s="216">
        <v>2.33</v>
      </c>
    </row>
    <row r="1090" spans="1:10" ht="18" customHeight="1">
      <c r="A1090" s="227">
        <v>42644</v>
      </c>
      <c r="B1090" s="216" t="s">
        <v>193</v>
      </c>
      <c r="C1090" s="224">
        <v>300008579657</v>
      </c>
      <c r="D1090" s="214" t="s">
        <v>426</v>
      </c>
      <c r="E1090" s="216">
        <v>16</v>
      </c>
      <c r="F1090" s="216">
        <v>1339</v>
      </c>
      <c r="G1090" s="216">
        <v>16</v>
      </c>
      <c r="H1090" s="216">
        <v>2</v>
      </c>
      <c r="I1090" s="216">
        <v>17257.37</v>
      </c>
      <c r="J1090" s="216">
        <v>1.1599999999999999</v>
      </c>
    </row>
    <row r="1091" spans="1:10" ht="18" customHeight="1">
      <c r="A1091" s="227">
        <v>42644</v>
      </c>
      <c r="B1091" s="216" t="s">
        <v>193</v>
      </c>
      <c r="C1091" s="224">
        <v>300009003496</v>
      </c>
      <c r="D1091" s="214" t="s">
        <v>427</v>
      </c>
      <c r="E1091" s="216">
        <v>8</v>
      </c>
      <c r="F1091" s="216">
        <v>14</v>
      </c>
      <c r="G1091" s="216">
        <v>8</v>
      </c>
      <c r="H1091" s="216">
        <v>2</v>
      </c>
      <c r="I1091" s="216">
        <v>150.53</v>
      </c>
      <c r="J1091" s="216">
        <v>2</v>
      </c>
    </row>
    <row r="1092" spans="1:10" ht="18" customHeight="1">
      <c r="A1092" s="227">
        <v>42644</v>
      </c>
      <c r="B1092" s="216" t="s">
        <v>193</v>
      </c>
      <c r="C1092" s="224">
        <v>300008839381</v>
      </c>
      <c r="D1092" s="214" t="s">
        <v>190</v>
      </c>
      <c r="E1092" s="216">
        <v>9</v>
      </c>
      <c r="F1092" s="216" t="s">
        <v>242</v>
      </c>
      <c r="G1092" s="216">
        <v>9</v>
      </c>
      <c r="H1092" s="216">
        <v>1</v>
      </c>
      <c r="I1092" s="216">
        <v>0</v>
      </c>
      <c r="J1092" s="216">
        <v>1</v>
      </c>
    </row>
    <row r="1093" spans="1:10" ht="18" customHeight="1">
      <c r="A1093" s="227">
        <v>42645</v>
      </c>
      <c r="B1093" s="216" t="s">
        <v>193</v>
      </c>
      <c r="C1093" s="224">
        <v>300009000071</v>
      </c>
      <c r="D1093" s="216" t="s">
        <v>425</v>
      </c>
      <c r="E1093" s="216">
        <v>48</v>
      </c>
      <c r="F1093" s="216">
        <v>4398</v>
      </c>
      <c r="G1093" s="216">
        <v>48</v>
      </c>
      <c r="H1093" s="216">
        <v>23</v>
      </c>
      <c r="I1093" s="216">
        <v>63707.519999999997</v>
      </c>
      <c r="J1093" s="216">
        <v>3.61</v>
      </c>
    </row>
    <row r="1094" spans="1:10" ht="18" customHeight="1">
      <c r="A1094" s="227">
        <v>42645</v>
      </c>
      <c r="B1094" s="216" t="s">
        <v>193</v>
      </c>
      <c r="C1094" s="224">
        <v>300009235971</v>
      </c>
      <c r="D1094" s="214" t="s">
        <v>241</v>
      </c>
      <c r="E1094" s="216">
        <v>54</v>
      </c>
      <c r="F1094" s="216">
        <v>3490</v>
      </c>
      <c r="G1094" s="216">
        <v>54</v>
      </c>
      <c r="H1094" s="216">
        <v>24</v>
      </c>
      <c r="I1094" s="216">
        <v>57895.7</v>
      </c>
      <c r="J1094" s="216">
        <v>4.1500000000000004</v>
      </c>
    </row>
    <row r="1095" spans="1:10" ht="18" customHeight="1">
      <c r="A1095" s="227">
        <v>42645</v>
      </c>
      <c r="B1095" s="216" t="s">
        <v>193</v>
      </c>
      <c r="C1095" s="224">
        <v>300008875665</v>
      </c>
      <c r="D1095" s="214" t="s">
        <v>189</v>
      </c>
      <c r="E1095" s="216">
        <v>20</v>
      </c>
      <c r="F1095" s="216">
        <v>2189</v>
      </c>
      <c r="G1095" s="216">
        <v>20</v>
      </c>
      <c r="H1095" s="216">
        <v>7</v>
      </c>
      <c r="I1095" s="216">
        <v>36156.82</v>
      </c>
      <c r="J1095" s="216">
        <v>1.94</v>
      </c>
    </row>
    <row r="1096" spans="1:10" ht="18" customHeight="1">
      <c r="A1096" s="227">
        <v>42645</v>
      </c>
      <c r="B1096" s="216" t="s">
        <v>193</v>
      </c>
      <c r="C1096" s="224">
        <v>300009235974</v>
      </c>
      <c r="D1096" s="214" t="s">
        <v>187</v>
      </c>
      <c r="E1096" s="216">
        <v>17</v>
      </c>
      <c r="F1096" s="216">
        <v>1967</v>
      </c>
      <c r="G1096" s="216">
        <v>17</v>
      </c>
      <c r="H1096" s="216">
        <v>6</v>
      </c>
      <c r="I1096" s="216">
        <v>33270.1</v>
      </c>
      <c r="J1096" s="216">
        <v>1.8</v>
      </c>
    </row>
    <row r="1097" spans="1:10" ht="18" customHeight="1">
      <c r="A1097" s="227">
        <v>42645</v>
      </c>
      <c r="B1097" s="216" t="s">
        <v>193</v>
      </c>
      <c r="C1097" s="224">
        <v>300008244937</v>
      </c>
      <c r="D1097" s="214" t="s">
        <v>272</v>
      </c>
      <c r="E1097" s="216">
        <v>24</v>
      </c>
      <c r="F1097" s="216">
        <v>1707</v>
      </c>
      <c r="G1097" s="216">
        <v>24</v>
      </c>
      <c r="H1097" s="216">
        <v>5</v>
      </c>
      <c r="I1097" s="216">
        <v>21479.33</v>
      </c>
      <c r="J1097" s="216">
        <v>2.33</v>
      </c>
    </row>
    <row r="1098" spans="1:10" ht="18" customHeight="1">
      <c r="A1098" s="227">
        <v>42645</v>
      </c>
      <c r="B1098" s="216" t="s">
        <v>193</v>
      </c>
      <c r="C1098" s="224">
        <v>300008579657</v>
      </c>
      <c r="D1098" s="214" t="s">
        <v>426</v>
      </c>
      <c r="E1098" s="216">
        <v>16</v>
      </c>
      <c r="F1098" s="216">
        <v>1339</v>
      </c>
      <c r="G1098" s="216">
        <v>16</v>
      </c>
      <c r="H1098" s="216">
        <v>2</v>
      </c>
      <c r="I1098" s="216">
        <v>17257.37</v>
      </c>
      <c r="J1098" s="216">
        <v>1.1599999999999999</v>
      </c>
    </row>
    <row r="1099" spans="1:10" ht="18" customHeight="1">
      <c r="A1099" s="227">
        <v>42645</v>
      </c>
      <c r="B1099" s="216" t="s">
        <v>193</v>
      </c>
      <c r="C1099" s="224">
        <v>300009003496</v>
      </c>
      <c r="D1099" s="214" t="s">
        <v>427</v>
      </c>
      <c r="E1099" s="216">
        <v>8</v>
      </c>
      <c r="F1099" s="216">
        <v>14</v>
      </c>
      <c r="G1099" s="216">
        <v>8</v>
      </c>
      <c r="H1099" s="216">
        <v>2</v>
      </c>
      <c r="I1099" s="216">
        <v>150.53</v>
      </c>
      <c r="J1099" s="216">
        <v>2</v>
      </c>
    </row>
    <row r="1100" spans="1:10" ht="18" customHeight="1">
      <c r="A1100" s="227">
        <v>42645</v>
      </c>
      <c r="B1100" s="216" t="s">
        <v>193</v>
      </c>
      <c r="C1100" s="224">
        <v>300008839381</v>
      </c>
      <c r="D1100" s="214" t="s">
        <v>190</v>
      </c>
      <c r="E1100" s="216">
        <v>9</v>
      </c>
      <c r="F1100" s="216" t="s">
        <v>242</v>
      </c>
      <c r="G1100" s="216">
        <v>9</v>
      </c>
      <c r="H1100" s="216">
        <v>1</v>
      </c>
      <c r="I1100" s="216">
        <v>0</v>
      </c>
      <c r="J1100" s="216">
        <v>1</v>
      </c>
    </row>
    <row r="1101" spans="1:10" ht="18" customHeight="1">
      <c r="A1101" s="227">
        <v>42646</v>
      </c>
      <c r="B1101" s="216" t="s">
        <v>193</v>
      </c>
      <c r="C1101" s="224">
        <v>300009000071</v>
      </c>
      <c r="D1101" s="216" t="s">
        <v>425</v>
      </c>
      <c r="E1101" s="216">
        <v>48</v>
      </c>
      <c r="F1101" s="216">
        <v>4398</v>
      </c>
      <c r="G1101" s="216">
        <v>48</v>
      </c>
      <c r="H1101" s="216">
        <v>23</v>
      </c>
      <c r="I1101" s="216">
        <v>63707.519999999997</v>
      </c>
      <c r="J1101" s="216">
        <v>3.61</v>
      </c>
    </row>
    <row r="1102" spans="1:10" ht="18" customHeight="1">
      <c r="A1102" s="227">
        <v>42646</v>
      </c>
      <c r="B1102" s="216" t="s">
        <v>193</v>
      </c>
      <c r="C1102" s="224">
        <v>300009235971</v>
      </c>
      <c r="D1102" s="214" t="s">
        <v>241</v>
      </c>
      <c r="E1102" s="216">
        <v>54</v>
      </c>
      <c r="F1102" s="216">
        <v>3490</v>
      </c>
      <c r="G1102" s="216">
        <v>54</v>
      </c>
      <c r="H1102" s="216">
        <v>24</v>
      </c>
      <c r="I1102" s="216">
        <v>57895.7</v>
      </c>
      <c r="J1102" s="216">
        <v>4.1500000000000004</v>
      </c>
    </row>
    <row r="1103" spans="1:10" ht="18" customHeight="1">
      <c r="A1103" s="227">
        <v>42646</v>
      </c>
      <c r="B1103" s="216" t="s">
        <v>193</v>
      </c>
      <c r="C1103" s="224">
        <v>300008875665</v>
      </c>
      <c r="D1103" s="214" t="s">
        <v>189</v>
      </c>
      <c r="E1103" s="216">
        <v>19</v>
      </c>
      <c r="F1103" s="216">
        <v>2089</v>
      </c>
      <c r="G1103" s="216">
        <v>19</v>
      </c>
      <c r="H1103" s="216">
        <v>7</v>
      </c>
      <c r="I1103" s="216">
        <v>33649.1</v>
      </c>
      <c r="J1103" s="216">
        <v>2.08</v>
      </c>
    </row>
    <row r="1104" spans="1:10" ht="18" customHeight="1">
      <c r="A1104" s="227">
        <v>42646</v>
      </c>
      <c r="B1104" s="216" t="s">
        <v>193</v>
      </c>
      <c r="C1104" s="224">
        <v>300009235974</v>
      </c>
      <c r="D1104" s="214" t="s">
        <v>187</v>
      </c>
      <c r="E1104" s="216">
        <v>15</v>
      </c>
      <c r="F1104" s="216">
        <v>1856</v>
      </c>
      <c r="G1104" s="216">
        <v>15</v>
      </c>
      <c r="H1104" s="216">
        <v>6</v>
      </c>
      <c r="I1104" s="216">
        <v>30915</v>
      </c>
      <c r="J1104" s="216">
        <v>1.94</v>
      </c>
    </row>
    <row r="1105" spans="1:10" ht="18" customHeight="1">
      <c r="A1105" s="227">
        <v>42646</v>
      </c>
      <c r="B1105" s="216" t="s">
        <v>193</v>
      </c>
      <c r="C1105" s="224">
        <v>300008244937</v>
      </c>
      <c r="D1105" s="214" t="s">
        <v>272</v>
      </c>
      <c r="E1105" s="216">
        <v>24</v>
      </c>
      <c r="F1105" s="216">
        <v>1707</v>
      </c>
      <c r="G1105" s="216">
        <v>24</v>
      </c>
      <c r="H1105" s="216">
        <v>5</v>
      </c>
      <c r="I1105" s="216">
        <v>21479.33</v>
      </c>
      <c r="J1105" s="216">
        <v>2.33</v>
      </c>
    </row>
    <row r="1106" spans="1:10" ht="18" customHeight="1">
      <c r="A1106" s="227">
        <v>42646</v>
      </c>
      <c r="B1106" s="216" t="s">
        <v>193</v>
      </c>
      <c r="C1106" s="224">
        <v>300008579657</v>
      </c>
      <c r="D1106" s="214" t="s">
        <v>426</v>
      </c>
      <c r="E1106" s="216">
        <v>16</v>
      </c>
      <c r="F1106" s="216">
        <v>1339</v>
      </c>
      <c r="G1106" s="216">
        <v>16</v>
      </c>
      <c r="H1106" s="216">
        <v>2</v>
      </c>
      <c r="I1106" s="216">
        <v>17257.37</v>
      </c>
      <c r="J1106" s="216">
        <v>1.1599999999999999</v>
      </c>
    </row>
    <row r="1107" spans="1:10" ht="18" customHeight="1">
      <c r="A1107" s="227">
        <v>42646</v>
      </c>
      <c r="B1107" s="216" t="s">
        <v>193</v>
      </c>
      <c r="C1107" s="224">
        <v>300009003496</v>
      </c>
      <c r="D1107" s="214" t="s">
        <v>427</v>
      </c>
      <c r="E1107" s="216">
        <v>8</v>
      </c>
      <c r="F1107" s="216">
        <v>14</v>
      </c>
      <c r="G1107" s="216">
        <v>8</v>
      </c>
      <c r="H1107" s="216">
        <v>2</v>
      </c>
      <c r="I1107" s="216">
        <v>150.53</v>
      </c>
      <c r="J1107" s="216">
        <v>2</v>
      </c>
    </row>
    <row r="1108" spans="1:10" ht="18" customHeight="1">
      <c r="A1108" s="227">
        <v>42646</v>
      </c>
      <c r="B1108" s="216" t="s">
        <v>193</v>
      </c>
      <c r="C1108" s="224">
        <v>300008839381</v>
      </c>
      <c r="D1108" s="214" t="s">
        <v>190</v>
      </c>
      <c r="E1108" s="216">
        <v>9</v>
      </c>
      <c r="F1108" s="216" t="s">
        <v>242</v>
      </c>
      <c r="G1108" s="216">
        <v>9</v>
      </c>
      <c r="H1108" s="216">
        <v>1</v>
      </c>
      <c r="I1108" s="216">
        <v>0</v>
      </c>
      <c r="J1108" s="216">
        <v>1</v>
      </c>
    </row>
    <row r="1109" spans="1:10" ht="18" customHeight="1">
      <c r="A1109" s="227">
        <v>42647</v>
      </c>
      <c r="B1109" s="216" t="s">
        <v>193</v>
      </c>
      <c r="C1109" s="224">
        <v>300009000071</v>
      </c>
      <c r="D1109" s="216" t="s">
        <v>425</v>
      </c>
      <c r="E1109" s="216">
        <v>48</v>
      </c>
      <c r="F1109" s="216">
        <v>4398</v>
      </c>
      <c r="G1109" s="216">
        <v>48</v>
      </c>
      <c r="H1109" s="216">
        <v>23</v>
      </c>
      <c r="I1109" s="216">
        <v>63707.519999999997</v>
      </c>
      <c r="J1109" s="216">
        <v>3.61</v>
      </c>
    </row>
    <row r="1110" spans="1:10" ht="18" customHeight="1">
      <c r="A1110" s="227">
        <v>42647</v>
      </c>
      <c r="B1110" s="216" t="s">
        <v>193</v>
      </c>
      <c r="C1110" s="224">
        <v>300009235971</v>
      </c>
      <c r="D1110" s="214" t="s">
        <v>241</v>
      </c>
      <c r="E1110" s="216">
        <v>54</v>
      </c>
      <c r="F1110" s="216">
        <v>3490</v>
      </c>
      <c r="G1110" s="216">
        <v>54</v>
      </c>
      <c r="H1110" s="216">
        <v>24</v>
      </c>
      <c r="I1110" s="216">
        <v>57895.7</v>
      </c>
      <c r="J1110" s="216">
        <v>4.1500000000000004</v>
      </c>
    </row>
    <row r="1111" spans="1:10" ht="18" customHeight="1">
      <c r="A1111" s="227">
        <v>42647</v>
      </c>
      <c r="B1111" s="216" t="s">
        <v>193</v>
      </c>
      <c r="C1111" s="224">
        <v>300008875665</v>
      </c>
      <c r="D1111" s="214" t="s">
        <v>189</v>
      </c>
      <c r="E1111" s="216">
        <v>18</v>
      </c>
      <c r="F1111" s="216">
        <v>2010</v>
      </c>
      <c r="G1111" s="216">
        <v>18</v>
      </c>
      <c r="H1111" s="216">
        <v>6</v>
      </c>
      <c r="I1111" s="216">
        <v>31654.19</v>
      </c>
      <c r="J1111" s="216">
        <v>1.9</v>
      </c>
    </row>
    <row r="1112" spans="1:10" ht="18" customHeight="1">
      <c r="A1112" s="227">
        <v>42647</v>
      </c>
      <c r="B1112" s="216" t="s">
        <v>193</v>
      </c>
      <c r="C1112" s="224">
        <v>300009235974</v>
      </c>
      <c r="D1112" s="214" t="s">
        <v>187</v>
      </c>
      <c r="E1112" s="216">
        <v>13</v>
      </c>
      <c r="F1112" s="216">
        <v>1762</v>
      </c>
      <c r="G1112" s="216">
        <v>13</v>
      </c>
      <c r="H1112" s="216">
        <v>5</v>
      </c>
      <c r="I1112" s="216">
        <v>28794.1</v>
      </c>
      <c r="J1112" s="216">
        <v>1.74</v>
      </c>
    </row>
    <row r="1113" spans="1:10" ht="18" customHeight="1">
      <c r="A1113" s="227">
        <v>42647</v>
      </c>
      <c r="B1113" s="216" t="s">
        <v>193</v>
      </c>
      <c r="C1113" s="224">
        <v>300008244937</v>
      </c>
      <c r="D1113" s="214" t="s">
        <v>272</v>
      </c>
      <c r="E1113" s="216">
        <v>24</v>
      </c>
      <c r="F1113" s="216">
        <v>1707</v>
      </c>
      <c r="G1113" s="216">
        <v>24</v>
      </c>
      <c r="H1113" s="216">
        <v>5</v>
      </c>
      <c r="I1113" s="216">
        <v>21479.33</v>
      </c>
      <c r="J1113" s="216">
        <v>2.33</v>
      </c>
    </row>
    <row r="1114" spans="1:10" ht="18" customHeight="1">
      <c r="A1114" s="227">
        <v>42647</v>
      </c>
      <c r="B1114" s="216" t="s">
        <v>193</v>
      </c>
      <c r="C1114" s="224">
        <v>300008579657</v>
      </c>
      <c r="D1114" s="214" t="s">
        <v>426</v>
      </c>
      <c r="E1114" s="216">
        <v>17</v>
      </c>
      <c r="F1114" s="216">
        <v>1339</v>
      </c>
      <c r="G1114" s="216">
        <v>17</v>
      </c>
      <c r="H1114" s="216">
        <v>3</v>
      </c>
      <c r="I1114" s="216">
        <v>17257.37</v>
      </c>
      <c r="J1114" s="216">
        <v>1.74</v>
      </c>
    </row>
    <row r="1115" spans="1:10" ht="18" customHeight="1">
      <c r="A1115" s="227">
        <v>42647</v>
      </c>
      <c r="B1115" s="216" t="s">
        <v>193</v>
      </c>
      <c r="C1115" s="224">
        <v>300009003496</v>
      </c>
      <c r="D1115" s="214" t="s">
        <v>427</v>
      </c>
      <c r="E1115" s="216">
        <v>8</v>
      </c>
      <c r="F1115" s="216">
        <v>14</v>
      </c>
      <c r="G1115" s="216">
        <v>8</v>
      </c>
      <c r="H1115" s="216">
        <v>2</v>
      </c>
      <c r="I1115" s="216">
        <v>150.53</v>
      </c>
      <c r="J1115" s="216">
        <v>2</v>
      </c>
    </row>
    <row r="1116" spans="1:10" ht="18" customHeight="1">
      <c r="A1116" s="227">
        <v>42647</v>
      </c>
      <c r="B1116" s="216" t="s">
        <v>193</v>
      </c>
      <c r="C1116" s="224">
        <v>300008839381</v>
      </c>
      <c r="D1116" s="214" t="s">
        <v>190</v>
      </c>
      <c r="E1116" s="216">
        <v>9</v>
      </c>
      <c r="F1116" s="216" t="s">
        <v>242</v>
      </c>
      <c r="G1116" s="216">
        <v>9</v>
      </c>
      <c r="H1116" s="216">
        <v>1</v>
      </c>
      <c r="I1116" s="216">
        <v>0</v>
      </c>
      <c r="J1116" s="216">
        <v>1</v>
      </c>
    </row>
    <row r="1117" spans="1:10" ht="18" customHeight="1">
      <c r="A1117" s="227">
        <v>42648</v>
      </c>
      <c r="B1117" s="216" t="s">
        <v>193</v>
      </c>
      <c r="C1117" s="224">
        <v>300009000071</v>
      </c>
      <c r="D1117" s="216" t="s">
        <v>425</v>
      </c>
      <c r="E1117" s="216">
        <v>48</v>
      </c>
      <c r="F1117" s="216">
        <v>4398</v>
      </c>
      <c r="G1117" s="216">
        <v>48</v>
      </c>
      <c r="H1117" s="216">
        <v>23</v>
      </c>
      <c r="I1117" s="216">
        <v>63707.519999999997</v>
      </c>
      <c r="J1117" s="216">
        <v>3.61</v>
      </c>
    </row>
    <row r="1118" spans="1:10" ht="18" customHeight="1">
      <c r="A1118" s="227">
        <v>42648</v>
      </c>
      <c r="B1118" s="216" t="s">
        <v>193</v>
      </c>
      <c r="C1118" s="224">
        <v>300009235971</v>
      </c>
      <c r="D1118" s="214" t="s">
        <v>241</v>
      </c>
      <c r="E1118" s="216">
        <v>55</v>
      </c>
      <c r="F1118" s="216">
        <v>3490</v>
      </c>
      <c r="G1118" s="216">
        <v>55</v>
      </c>
      <c r="H1118" s="216">
        <v>24</v>
      </c>
      <c r="I1118" s="216">
        <v>57895.7</v>
      </c>
      <c r="J1118" s="216">
        <v>4.1500000000000004</v>
      </c>
    </row>
    <row r="1119" spans="1:10" ht="18" customHeight="1">
      <c r="A1119" s="227">
        <v>42648</v>
      </c>
      <c r="B1119" s="216" t="s">
        <v>193</v>
      </c>
      <c r="C1119" s="224">
        <v>300008875665</v>
      </c>
      <c r="D1119" s="214" t="s">
        <v>189</v>
      </c>
      <c r="E1119" s="216">
        <v>17</v>
      </c>
      <c r="F1119" s="216">
        <v>1949</v>
      </c>
      <c r="G1119" s="216">
        <v>17</v>
      </c>
      <c r="H1119" s="216">
        <v>6</v>
      </c>
      <c r="I1119" s="216">
        <v>30441.38</v>
      </c>
      <c r="J1119" s="216">
        <v>1.97</v>
      </c>
    </row>
    <row r="1120" spans="1:10" ht="18" customHeight="1">
      <c r="A1120" s="227">
        <v>42648</v>
      </c>
      <c r="B1120" s="216" t="s">
        <v>193</v>
      </c>
      <c r="C1120" s="224">
        <v>300008244937</v>
      </c>
      <c r="D1120" s="214" t="s">
        <v>272</v>
      </c>
      <c r="E1120" s="216">
        <v>24</v>
      </c>
      <c r="F1120" s="216">
        <v>1707</v>
      </c>
      <c r="G1120" s="216">
        <v>24</v>
      </c>
      <c r="H1120" s="216">
        <v>5</v>
      </c>
      <c r="I1120" s="216">
        <v>21479.33</v>
      </c>
      <c r="J1120" s="216">
        <v>2.33</v>
      </c>
    </row>
    <row r="1121" spans="1:10" ht="18" customHeight="1">
      <c r="A1121" s="227">
        <v>42648</v>
      </c>
      <c r="B1121" s="216" t="s">
        <v>193</v>
      </c>
      <c r="C1121" s="224">
        <v>300009235974</v>
      </c>
      <c r="D1121" s="214" t="s">
        <v>187</v>
      </c>
      <c r="E1121" s="216">
        <v>12</v>
      </c>
      <c r="F1121" s="216">
        <v>1705</v>
      </c>
      <c r="G1121" s="216">
        <v>12</v>
      </c>
      <c r="H1121" s="216">
        <v>4</v>
      </c>
      <c r="I1121" s="216">
        <v>27465.599999999999</v>
      </c>
      <c r="J1121" s="216">
        <v>1.46</v>
      </c>
    </row>
    <row r="1122" spans="1:10" ht="18" customHeight="1">
      <c r="A1122" s="227">
        <v>42648</v>
      </c>
      <c r="B1122" s="216" t="s">
        <v>193</v>
      </c>
      <c r="C1122" s="224">
        <v>300008579657</v>
      </c>
      <c r="D1122" s="214" t="s">
        <v>426</v>
      </c>
      <c r="E1122" s="216">
        <v>17</v>
      </c>
      <c r="F1122" s="216">
        <v>1339</v>
      </c>
      <c r="G1122" s="216">
        <v>17</v>
      </c>
      <c r="H1122" s="216">
        <v>3</v>
      </c>
      <c r="I1122" s="216">
        <v>17257.37</v>
      </c>
      <c r="J1122" s="216">
        <v>1.74</v>
      </c>
    </row>
    <row r="1123" spans="1:10" ht="18" customHeight="1">
      <c r="A1123" s="227">
        <v>42648</v>
      </c>
      <c r="B1123" s="216" t="s">
        <v>193</v>
      </c>
      <c r="C1123" s="224">
        <v>300009003496</v>
      </c>
      <c r="D1123" s="214" t="s">
        <v>427</v>
      </c>
      <c r="E1123" s="216">
        <v>8</v>
      </c>
      <c r="F1123" s="216">
        <v>14</v>
      </c>
      <c r="G1123" s="216">
        <v>8</v>
      </c>
      <c r="H1123" s="216">
        <v>2</v>
      </c>
      <c r="I1123" s="216">
        <v>150.53</v>
      </c>
      <c r="J1123" s="216">
        <v>2</v>
      </c>
    </row>
    <row r="1124" spans="1:10" ht="18" customHeight="1">
      <c r="A1124" s="227">
        <v>42648</v>
      </c>
      <c r="B1124" s="216" t="s">
        <v>193</v>
      </c>
      <c r="C1124" s="224">
        <v>300008839381</v>
      </c>
      <c r="D1124" s="214" t="s">
        <v>190</v>
      </c>
      <c r="E1124" s="216">
        <v>9</v>
      </c>
      <c r="F1124" s="216" t="s">
        <v>242</v>
      </c>
      <c r="G1124" s="216">
        <v>9</v>
      </c>
      <c r="H1124" s="216">
        <v>1</v>
      </c>
      <c r="I1124" s="216">
        <v>0</v>
      </c>
      <c r="J1124" s="216">
        <v>1</v>
      </c>
    </row>
    <row r="1125" spans="1:10" ht="18" customHeight="1">
      <c r="A1125" s="227">
        <v>42649</v>
      </c>
      <c r="B1125" s="216" t="s">
        <v>193</v>
      </c>
      <c r="C1125" s="224">
        <v>300009000071</v>
      </c>
      <c r="D1125" s="216" t="s">
        <v>425</v>
      </c>
      <c r="E1125" s="216">
        <v>49</v>
      </c>
      <c r="F1125" s="216">
        <v>4398</v>
      </c>
      <c r="G1125" s="216">
        <v>49</v>
      </c>
      <c r="H1125" s="216">
        <v>23</v>
      </c>
      <c r="I1125" s="216">
        <v>63707.519999999997</v>
      </c>
      <c r="J1125" s="216">
        <v>3.61</v>
      </c>
    </row>
    <row r="1126" spans="1:10" ht="18" customHeight="1">
      <c r="A1126" s="227">
        <v>42649</v>
      </c>
      <c r="B1126" s="216" t="s">
        <v>193</v>
      </c>
      <c r="C1126" s="224">
        <v>300009235971</v>
      </c>
      <c r="D1126" s="214" t="s">
        <v>241</v>
      </c>
      <c r="E1126" s="216">
        <v>56</v>
      </c>
      <c r="F1126" s="216">
        <v>3490</v>
      </c>
      <c r="G1126" s="216">
        <v>56</v>
      </c>
      <c r="H1126" s="216">
        <v>24</v>
      </c>
      <c r="I1126" s="216">
        <v>57895.7</v>
      </c>
      <c r="J1126" s="216">
        <v>4.1500000000000004</v>
      </c>
    </row>
    <row r="1127" spans="1:10" ht="18" customHeight="1">
      <c r="A1127" s="227">
        <v>42649</v>
      </c>
      <c r="B1127" s="216" t="s">
        <v>193</v>
      </c>
      <c r="C1127" s="224">
        <v>300008875665</v>
      </c>
      <c r="D1127" s="214" t="s">
        <v>189</v>
      </c>
      <c r="E1127" s="216">
        <v>15</v>
      </c>
      <c r="F1127" s="216">
        <v>1869</v>
      </c>
      <c r="G1127" s="216">
        <v>15</v>
      </c>
      <c r="H1127" s="216">
        <v>5</v>
      </c>
      <c r="I1127" s="216">
        <v>28568.36</v>
      </c>
      <c r="J1127" s="216">
        <v>1.75</v>
      </c>
    </row>
    <row r="1128" spans="1:10" ht="18" customHeight="1">
      <c r="A1128" s="227">
        <v>42649</v>
      </c>
      <c r="B1128" s="216" t="s">
        <v>193</v>
      </c>
      <c r="C1128" s="224">
        <v>300008244937</v>
      </c>
      <c r="D1128" s="214" t="s">
        <v>272</v>
      </c>
      <c r="E1128" s="216">
        <v>25</v>
      </c>
      <c r="F1128" s="216">
        <v>1707</v>
      </c>
      <c r="G1128" s="216">
        <v>25</v>
      </c>
      <c r="H1128" s="216">
        <v>5</v>
      </c>
      <c r="I1128" s="216">
        <v>21479.33</v>
      </c>
      <c r="J1128" s="216">
        <v>2.33</v>
      </c>
    </row>
    <row r="1129" spans="1:10" ht="18" customHeight="1">
      <c r="A1129" s="227">
        <v>42649</v>
      </c>
      <c r="B1129" s="216" t="s">
        <v>193</v>
      </c>
      <c r="C1129" s="224">
        <v>300009235974</v>
      </c>
      <c r="D1129" s="214" t="s">
        <v>187</v>
      </c>
      <c r="E1129" s="216">
        <v>11</v>
      </c>
      <c r="F1129" s="216">
        <v>1648</v>
      </c>
      <c r="G1129" s="216">
        <v>11</v>
      </c>
      <c r="H1129" s="216">
        <v>3</v>
      </c>
      <c r="I1129" s="216">
        <v>26052.6</v>
      </c>
      <c r="J1129" s="216">
        <v>1.1499999999999999</v>
      </c>
    </row>
    <row r="1130" spans="1:10" ht="18" customHeight="1">
      <c r="A1130" s="227">
        <v>42649</v>
      </c>
      <c r="B1130" s="216" t="s">
        <v>193</v>
      </c>
      <c r="C1130" s="224">
        <v>300008579657</v>
      </c>
      <c r="D1130" s="214" t="s">
        <v>426</v>
      </c>
      <c r="E1130" s="216">
        <v>17</v>
      </c>
      <c r="F1130" s="216">
        <v>1339</v>
      </c>
      <c r="G1130" s="216">
        <v>17</v>
      </c>
      <c r="H1130" s="216">
        <v>3</v>
      </c>
      <c r="I1130" s="216">
        <v>17257.37</v>
      </c>
      <c r="J1130" s="216">
        <v>1.74</v>
      </c>
    </row>
    <row r="1131" spans="1:10" ht="18" customHeight="1">
      <c r="A1131" s="227">
        <v>42649</v>
      </c>
      <c r="B1131" s="216" t="s">
        <v>193</v>
      </c>
      <c r="C1131" s="224">
        <v>300009003496</v>
      </c>
      <c r="D1131" s="214" t="s">
        <v>427</v>
      </c>
      <c r="E1131" s="216">
        <v>8</v>
      </c>
      <c r="F1131" s="216">
        <v>14</v>
      </c>
      <c r="G1131" s="216">
        <v>8</v>
      </c>
      <c r="H1131" s="216">
        <v>2</v>
      </c>
      <c r="I1131" s="216">
        <v>150.53</v>
      </c>
      <c r="J1131" s="216">
        <v>2</v>
      </c>
    </row>
    <row r="1132" spans="1:10" ht="18" customHeight="1">
      <c r="A1132" s="227">
        <v>42649</v>
      </c>
      <c r="B1132" s="216" t="s">
        <v>193</v>
      </c>
      <c r="C1132" s="224">
        <v>300008839381</v>
      </c>
      <c r="D1132" s="214" t="s">
        <v>190</v>
      </c>
      <c r="E1132" s="216">
        <v>9</v>
      </c>
      <c r="F1132" s="216" t="s">
        <v>242</v>
      </c>
      <c r="G1132" s="216">
        <v>9</v>
      </c>
      <c r="H1132" s="216">
        <v>1</v>
      </c>
      <c r="I1132" s="216">
        <v>0</v>
      </c>
      <c r="J1132" s="216">
        <v>1</v>
      </c>
    </row>
    <row r="1133" spans="1:10" ht="18" customHeight="1">
      <c r="A1133" s="227">
        <v>42650</v>
      </c>
      <c r="B1133" s="216" t="s">
        <v>193</v>
      </c>
      <c r="C1133" s="224">
        <v>300009000071</v>
      </c>
      <c r="D1133" s="216" t="s">
        <v>425</v>
      </c>
      <c r="E1133" s="216">
        <v>50</v>
      </c>
      <c r="F1133" s="216">
        <v>4398</v>
      </c>
      <c r="G1133" s="216">
        <v>50</v>
      </c>
      <c r="H1133" s="216">
        <v>24</v>
      </c>
      <c r="I1133" s="216">
        <v>63707.519999999997</v>
      </c>
      <c r="J1133" s="216">
        <v>3.77</v>
      </c>
    </row>
    <row r="1134" spans="1:10" ht="18" customHeight="1">
      <c r="A1134" s="227">
        <v>42650</v>
      </c>
      <c r="B1134" s="216" t="s">
        <v>193</v>
      </c>
      <c r="C1134" s="224">
        <v>300009235971</v>
      </c>
      <c r="D1134" s="214" t="s">
        <v>241</v>
      </c>
      <c r="E1134" s="216">
        <v>57</v>
      </c>
      <c r="F1134" s="216">
        <v>3490</v>
      </c>
      <c r="G1134" s="216">
        <v>57</v>
      </c>
      <c r="H1134" s="216">
        <v>25</v>
      </c>
      <c r="I1134" s="216">
        <v>57895.7</v>
      </c>
      <c r="J1134" s="216">
        <v>4.32</v>
      </c>
    </row>
    <row r="1135" spans="1:10" ht="18" customHeight="1">
      <c r="A1135" s="227">
        <v>42650</v>
      </c>
      <c r="B1135" s="216" t="s">
        <v>193</v>
      </c>
      <c r="C1135" s="224">
        <v>300008875665</v>
      </c>
      <c r="D1135" s="214" t="s">
        <v>189</v>
      </c>
      <c r="E1135" s="216">
        <v>15</v>
      </c>
      <c r="F1135" s="216">
        <v>1796</v>
      </c>
      <c r="G1135" s="216">
        <v>15</v>
      </c>
      <c r="H1135" s="216">
        <v>5</v>
      </c>
      <c r="I1135" s="216">
        <v>26728.05</v>
      </c>
      <c r="J1135" s="216">
        <v>1.87</v>
      </c>
    </row>
    <row r="1136" spans="1:10" ht="18" customHeight="1">
      <c r="A1136" s="227">
        <v>42650</v>
      </c>
      <c r="B1136" s="216" t="s">
        <v>193</v>
      </c>
      <c r="C1136" s="224">
        <v>300008244937</v>
      </c>
      <c r="D1136" s="214" t="s">
        <v>272</v>
      </c>
      <c r="E1136" s="216">
        <v>26</v>
      </c>
      <c r="F1136" s="216">
        <v>1707</v>
      </c>
      <c r="G1136" s="216">
        <v>26</v>
      </c>
      <c r="H1136" s="216">
        <v>5</v>
      </c>
      <c r="I1136" s="216">
        <v>21479.33</v>
      </c>
      <c r="J1136" s="216">
        <v>2.33</v>
      </c>
    </row>
    <row r="1137" spans="1:10" ht="18" customHeight="1">
      <c r="A1137" s="227">
        <v>42650</v>
      </c>
      <c r="B1137" s="216" t="s">
        <v>193</v>
      </c>
      <c r="C1137" s="224">
        <v>300009235974</v>
      </c>
      <c r="D1137" s="214" t="s">
        <v>187</v>
      </c>
      <c r="E1137" s="216">
        <v>11</v>
      </c>
      <c r="F1137" s="216">
        <v>1595</v>
      </c>
      <c r="G1137" s="216">
        <v>11</v>
      </c>
      <c r="H1137" s="216">
        <v>3</v>
      </c>
      <c r="I1137" s="216">
        <v>24761.9</v>
      </c>
      <c r="J1137" s="216">
        <v>1.21</v>
      </c>
    </row>
    <row r="1138" spans="1:10" ht="18" customHeight="1">
      <c r="A1138" s="227">
        <v>42650</v>
      </c>
      <c r="B1138" s="216" t="s">
        <v>193</v>
      </c>
      <c r="C1138" s="224">
        <v>300008579657</v>
      </c>
      <c r="D1138" s="214" t="s">
        <v>426</v>
      </c>
      <c r="E1138" s="216">
        <v>18</v>
      </c>
      <c r="F1138" s="216">
        <v>1339</v>
      </c>
      <c r="G1138" s="216">
        <v>18</v>
      </c>
      <c r="H1138" s="216">
        <v>3</v>
      </c>
      <c r="I1138" s="216">
        <v>17257.37</v>
      </c>
      <c r="J1138" s="216">
        <v>1.74</v>
      </c>
    </row>
    <row r="1139" spans="1:10" ht="18" customHeight="1">
      <c r="A1139" s="227">
        <v>42650</v>
      </c>
      <c r="B1139" s="216" t="s">
        <v>193</v>
      </c>
      <c r="C1139" s="224">
        <v>300009003496</v>
      </c>
      <c r="D1139" s="214" t="s">
        <v>427</v>
      </c>
      <c r="E1139" s="216">
        <v>8</v>
      </c>
      <c r="F1139" s="216">
        <v>14</v>
      </c>
      <c r="G1139" s="216">
        <v>8</v>
      </c>
      <c r="H1139" s="216">
        <v>2</v>
      </c>
      <c r="I1139" s="216">
        <v>150.53</v>
      </c>
      <c r="J1139" s="216">
        <v>2</v>
      </c>
    </row>
    <row r="1140" spans="1:10" ht="18" customHeight="1">
      <c r="A1140" s="227">
        <v>42650</v>
      </c>
      <c r="B1140" s="216" t="s">
        <v>193</v>
      </c>
      <c r="C1140" s="224">
        <v>300008839381</v>
      </c>
      <c r="D1140" s="214" t="s">
        <v>190</v>
      </c>
      <c r="E1140" s="216">
        <v>9</v>
      </c>
      <c r="F1140" s="216" t="s">
        <v>242</v>
      </c>
      <c r="G1140" s="216">
        <v>9</v>
      </c>
      <c r="H1140" s="216">
        <v>1</v>
      </c>
      <c r="I1140" s="216">
        <v>0</v>
      </c>
      <c r="J1140" s="216">
        <v>1</v>
      </c>
    </row>
    <row r="1141" spans="1:10" ht="18" customHeight="1">
      <c r="A1141" s="227">
        <v>42643</v>
      </c>
      <c r="B1141" s="214" t="s">
        <v>485</v>
      </c>
      <c r="C1141" s="224">
        <v>300009192151</v>
      </c>
      <c r="D1141" s="214" t="s">
        <v>230</v>
      </c>
      <c r="E1141" s="216">
        <v>23</v>
      </c>
      <c r="F1141" s="216">
        <v>2361</v>
      </c>
      <c r="G1141" s="216">
        <v>23</v>
      </c>
      <c r="H1141" s="216">
        <v>8</v>
      </c>
      <c r="I1141" s="216">
        <v>54071.6</v>
      </c>
      <c r="J1141" s="216">
        <v>1.48</v>
      </c>
    </row>
    <row r="1142" spans="1:10" ht="18" customHeight="1">
      <c r="A1142" s="227">
        <v>42644</v>
      </c>
      <c r="B1142" s="227" t="s">
        <v>227</v>
      </c>
      <c r="C1142" s="224">
        <v>300009192151</v>
      </c>
      <c r="D1142" s="214" t="s">
        <v>430</v>
      </c>
      <c r="E1142" s="216">
        <v>24</v>
      </c>
      <c r="F1142" s="216">
        <v>2510</v>
      </c>
      <c r="G1142" s="216">
        <v>24</v>
      </c>
      <c r="H1142" s="216">
        <v>9</v>
      </c>
      <c r="I1142" s="216">
        <v>58952</v>
      </c>
      <c r="J1142" s="216">
        <v>1.53</v>
      </c>
    </row>
    <row r="1143" spans="1:10" ht="18" customHeight="1">
      <c r="A1143" s="227">
        <v>42645</v>
      </c>
      <c r="B1143" s="227" t="s">
        <v>227</v>
      </c>
      <c r="C1143" s="224">
        <v>300009192151</v>
      </c>
      <c r="D1143" s="214" t="s">
        <v>430</v>
      </c>
      <c r="E1143" s="216">
        <v>24</v>
      </c>
      <c r="F1143" s="216">
        <v>2647</v>
      </c>
      <c r="G1143" s="216">
        <v>24</v>
      </c>
      <c r="H1143" s="216">
        <v>9</v>
      </c>
      <c r="I1143" s="216">
        <v>62917.9</v>
      </c>
      <c r="J1143" s="216">
        <v>1.43</v>
      </c>
    </row>
    <row r="1144" spans="1:10" ht="18" customHeight="1">
      <c r="A1144" s="227">
        <v>42646</v>
      </c>
      <c r="B1144" s="227" t="s">
        <v>227</v>
      </c>
      <c r="C1144" s="224">
        <v>300009192151</v>
      </c>
      <c r="D1144" s="214" t="s">
        <v>430</v>
      </c>
      <c r="E1144" s="216">
        <v>24</v>
      </c>
      <c r="F1144" s="216">
        <v>2765</v>
      </c>
      <c r="G1144" s="216">
        <v>24</v>
      </c>
      <c r="H1144" s="216">
        <v>9</v>
      </c>
      <c r="I1144" s="216">
        <v>67917.5</v>
      </c>
      <c r="J1144" s="216">
        <v>1.33</v>
      </c>
    </row>
    <row r="1145" spans="1:10" ht="18" customHeight="1">
      <c r="A1145" s="227">
        <v>42647</v>
      </c>
      <c r="B1145" s="227" t="s">
        <v>227</v>
      </c>
      <c r="C1145" s="224">
        <v>300009192151</v>
      </c>
      <c r="D1145" s="214" t="s">
        <v>430</v>
      </c>
      <c r="E1145" s="216">
        <v>24</v>
      </c>
      <c r="F1145" s="216">
        <v>2862</v>
      </c>
      <c r="G1145" s="216">
        <v>24</v>
      </c>
      <c r="H1145" s="216">
        <v>9</v>
      </c>
      <c r="I1145" s="216">
        <v>71554.2</v>
      </c>
      <c r="J1145" s="216">
        <v>1.26</v>
      </c>
    </row>
    <row r="1146" spans="1:10" ht="18" customHeight="1">
      <c r="A1146" s="227">
        <v>42648</v>
      </c>
      <c r="B1146" s="227" t="s">
        <v>227</v>
      </c>
      <c r="C1146" s="224">
        <v>300009192151</v>
      </c>
      <c r="D1146" s="214" t="s">
        <v>430</v>
      </c>
      <c r="E1146" s="216">
        <v>24</v>
      </c>
      <c r="F1146" s="216">
        <v>2993</v>
      </c>
      <c r="G1146" s="216">
        <v>24</v>
      </c>
      <c r="H1146" s="216">
        <v>9</v>
      </c>
      <c r="I1146" s="216">
        <v>76554.2</v>
      </c>
      <c r="J1146" s="216">
        <v>1.18</v>
      </c>
    </row>
    <row r="1147" spans="1:10" ht="18" customHeight="1">
      <c r="A1147" s="227">
        <v>42649</v>
      </c>
      <c r="B1147" s="227" t="s">
        <v>227</v>
      </c>
      <c r="C1147" s="224">
        <v>300009192151</v>
      </c>
      <c r="D1147" s="214" t="s">
        <v>430</v>
      </c>
      <c r="E1147" s="216">
        <v>24</v>
      </c>
      <c r="F1147" s="216">
        <v>3081</v>
      </c>
      <c r="G1147" s="216">
        <v>24</v>
      </c>
      <c r="H1147" s="216">
        <v>9</v>
      </c>
      <c r="I1147" s="216">
        <v>79964.5</v>
      </c>
      <c r="J1147" s="216">
        <v>1.1299999999999999</v>
      </c>
    </row>
    <row r="1148" spans="1:10" ht="18" customHeight="1">
      <c r="A1148" s="227">
        <v>42650</v>
      </c>
      <c r="B1148" s="227" t="s">
        <v>227</v>
      </c>
      <c r="C1148" s="224">
        <v>300009192151</v>
      </c>
      <c r="D1148" s="214" t="s">
        <v>430</v>
      </c>
      <c r="E1148" s="216">
        <v>24</v>
      </c>
      <c r="F1148" s="216">
        <v>3229</v>
      </c>
      <c r="G1148" s="216">
        <v>24</v>
      </c>
      <c r="H1148" s="216">
        <v>9</v>
      </c>
      <c r="I1148" s="216">
        <v>84962.7</v>
      </c>
      <c r="J1148" s="216">
        <v>1.06</v>
      </c>
    </row>
    <row r="1149" spans="1:10" ht="18" customHeight="1">
      <c r="A1149" s="227">
        <v>42643</v>
      </c>
      <c r="B1149" s="214" t="s">
        <v>488</v>
      </c>
      <c r="C1149" s="224">
        <v>300009374212</v>
      </c>
      <c r="D1149" s="214" t="s">
        <v>235</v>
      </c>
      <c r="E1149" s="216">
        <v>26</v>
      </c>
      <c r="F1149" s="216">
        <v>3492</v>
      </c>
      <c r="G1149" s="216">
        <v>26</v>
      </c>
      <c r="H1149" s="216">
        <v>6</v>
      </c>
      <c r="I1149" s="216">
        <v>50975.9</v>
      </c>
      <c r="J1149" s="216">
        <v>1.18</v>
      </c>
    </row>
    <row r="1150" spans="1:10" ht="18" customHeight="1">
      <c r="A1150" s="227">
        <v>42643</v>
      </c>
      <c r="B1150" s="214" t="s">
        <v>488</v>
      </c>
      <c r="C1150" s="224">
        <v>300009406202</v>
      </c>
      <c r="D1150" s="214" t="s">
        <v>232</v>
      </c>
      <c r="E1150" s="216">
        <v>32</v>
      </c>
      <c r="F1150" s="216">
        <v>2264</v>
      </c>
      <c r="G1150" s="216">
        <v>32</v>
      </c>
      <c r="H1150" s="216">
        <v>15</v>
      </c>
      <c r="I1150" s="216">
        <v>35400.199999999997</v>
      </c>
      <c r="J1150" s="216">
        <v>4.24</v>
      </c>
    </row>
    <row r="1151" spans="1:10" ht="18" customHeight="1">
      <c r="A1151" s="227">
        <v>42643</v>
      </c>
      <c r="B1151" s="214" t="s">
        <v>488</v>
      </c>
      <c r="C1151" s="224">
        <v>300009185572</v>
      </c>
      <c r="D1151" s="214" t="s">
        <v>237</v>
      </c>
      <c r="E1151" s="216">
        <v>7</v>
      </c>
      <c r="F1151" s="216">
        <v>1009</v>
      </c>
      <c r="G1151" s="216">
        <v>7</v>
      </c>
      <c r="H1151" s="216">
        <v>1</v>
      </c>
      <c r="I1151" s="216">
        <v>13375.3</v>
      </c>
      <c r="J1151" s="216">
        <v>0.75</v>
      </c>
    </row>
    <row r="1152" spans="1:10" ht="18" customHeight="1">
      <c r="A1152" s="227">
        <v>42643</v>
      </c>
      <c r="B1152" s="214" t="s">
        <v>488</v>
      </c>
      <c r="C1152" s="224">
        <v>300009406201</v>
      </c>
      <c r="D1152" s="214" t="s">
        <v>234</v>
      </c>
      <c r="E1152" s="216">
        <v>3</v>
      </c>
      <c r="F1152" s="216">
        <v>294</v>
      </c>
      <c r="G1152" s="216">
        <v>3</v>
      </c>
      <c r="H1152" s="216">
        <v>1</v>
      </c>
      <c r="I1152" s="216">
        <v>4022.3</v>
      </c>
      <c r="J1152" s="216">
        <v>1</v>
      </c>
    </row>
    <row r="1153" spans="1:10" ht="18" customHeight="1">
      <c r="A1153" s="227">
        <v>42643</v>
      </c>
      <c r="B1153" s="214" t="s">
        <v>488</v>
      </c>
      <c r="C1153" s="224">
        <v>300009184067</v>
      </c>
      <c r="D1153" s="214" t="s">
        <v>233</v>
      </c>
      <c r="E1153" s="216">
        <v>5</v>
      </c>
      <c r="F1153" s="216" t="s">
        <v>242</v>
      </c>
      <c r="G1153" s="216">
        <v>5</v>
      </c>
      <c r="H1153" s="216">
        <v>0</v>
      </c>
      <c r="I1153" s="216">
        <v>0</v>
      </c>
      <c r="J1153" s="216">
        <v>0</v>
      </c>
    </row>
    <row r="1154" spans="1:10" ht="18" customHeight="1">
      <c r="A1154" s="227">
        <v>42643</v>
      </c>
      <c r="B1154" s="214" t="s">
        <v>488</v>
      </c>
      <c r="C1154" s="224">
        <v>300009374215</v>
      </c>
      <c r="D1154" s="214" t="s">
        <v>236</v>
      </c>
      <c r="E1154" s="216">
        <v>5</v>
      </c>
      <c r="F1154" s="216" t="s">
        <v>242</v>
      </c>
      <c r="G1154" s="216">
        <v>5</v>
      </c>
      <c r="H1154" s="216">
        <v>1</v>
      </c>
      <c r="I1154" s="216">
        <v>0</v>
      </c>
      <c r="J1154" s="216">
        <v>1</v>
      </c>
    </row>
    <row r="1155" spans="1:10" ht="18" customHeight="1">
      <c r="A1155" s="227">
        <v>42644</v>
      </c>
      <c r="B1155" s="216" t="s">
        <v>226</v>
      </c>
      <c r="C1155" s="224">
        <v>300009374212</v>
      </c>
      <c r="D1155" s="214" t="s">
        <v>235</v>
      </c>
      <c r="E1155" s="216">
        <v>27</v>
      </c>
      <c r="F1155" s="216">
        <v>3672</v>
      </c>
      <c r="G1155" s="216">
        <v>27</v>
      </c>
      <c r="H1155" s="216">
        <v>6</v>
      </c>
      <c r="I1155" s="216">
        <v>53079.1</v>
      </c>
      <c r="J1155" s="216">
        <v>1.1299999999999999</v>
      </c>
    </row>
    <row r="1156" spans="1:10" ht="18" customHeight="1">
      <c r="A1156" s="227">
        <v>42644</v>
      </c>
      <c r="B1156" s="216" t="s">
        <v>226</v>
      </c>
      <c r="C1156" s="224">
        <v>300009406202</v>
      </c>
      <c r="D1156" s="214" t="s">
        <v>232</v>
      </c>
      <c r="E1156" s="216">
        <v>33</v>
      </c>
      <c r="F1156" s="216">
        <v>2264</v>
      </c>
      <c r="G1156" s="216">
        <v>33</v>
      </c>
      <c r="H1156" s="216">
        <v>16</v>
      </c>
      <c r="I1156" s="216">
        <v>35400.199999999997</v>
      </c>
      <c r="J1156" s="216">
        <v>4.5199999999999996</v>
      </c>
    </row>
    <row r="1157" spans="1:10" ht="18" customHeight="1">
      <c r="A1157" s="227">
        <v>42644</v>
      </c>
      <c r="B1157" s="216" t="s">
        <v>226</v>
      </c>
      <c r="C1157" s="224">
        <v>300009185572</v>
      </c>
      <c r="D1157" s="214" t="s">
        <v>237</v>
      </c>
      <c r="E1157" s="216">
        <v>8</v>
      </c>
      <c r="F1157" s="216">
        <v>1258</v>
      </c>
      <c r="G1157" s="216">
        <v>8</v>
      </c>
      <c r="H1157" s="216">
        <v>1</v>
      </c>
      <c r="I1157" s="216">
        <v>16601.8</v>
      </c>
      <c r="J1157" s="216">
        <v>0.6</v>
      </c>
    </row>
    <row r="1158" spans="1:10" ht="18" customHeight="1">
      <c r="A1158" s="227">
        <v>42644</v>
      </c>
      <c r="B1158" s="216" t="s">
        <v>226</v>
      </c>
      <c r="C1158" s="224">
        <v>300009406201</v>
      </c>
      <c r="D1158" s="214" t="s">
        <v>234</v>
      </c>
      <c r="E1158" s="216">
        <v>3</v>
      </c>
      <c r="F1158" s="216">
        <v>421</v>
      </c>
      <c r="G1158" s="216">
        <v>3</v>
      </c>
      <c r="H1158" s="216">
        <v>1</v>
      </c>
      <c r="I1158" s="216">
        <v>5817.8</v>
      </c>
      <c r="J1158" s="216">
        <v>1</v>
      </c>
    </row>
    <row r="1159" spans="1:10" ht="18" customHeight="1">
      <c r="A1159" s="227">
        <v>42644</v>
      </c>
      <c r="B1159" s="216" t="s">
        <v>226</v>
      </c>
      <c r="C1159" s="224">
        <v>300009184067</v>
      </c>
      <c r="D1159" s="214" t="s">
        <v>233</v>
      </c>
      <c r="E1159" s="216">
        <v>5</v>
      </c>
      <c r="F1159" s="216" t="s">
        <v>242</v>
      </c>
      <c r="G1159" s="216">
        <v>5</v>
      </c>
      <c r="H1159" s="216">
        <v>0</v>
      </c>
      <c r="I1159" s="216">
        <v>0</v>
      </c>
      <c r="J1159" s="216">
        <v>0</v>
      </c>
    </row>
    <row r="1160" spans="1:10" ht="18" customHeight="1">
      <c r="A1160" s="227">
        <v>42644</v>
      </c>
      <c r="B1160" s="216" t="s">
        <v>226</v>
      </c>
      <c r="C1160" s="224">
        <v>300009374215</v>
      </c>
      <c r="D1160" s="214" t="s">
        <v>236</v>
      </c>
      <c r="E1160" s="216">
        <v>5</v>
      </c>
      <c r="F1160" s="216" t="s">
        <v>242</v>
      </c>
      <c r="G1160" s="216">
        <v>5</v>
      </c>
      <c r="H1160" s="216">
        <v>1</v>
      </c>
      <c r="I1160" s="216">
        <v>0</v>
      </c>
      <c r="J1160" s="216">
        <v>1</v>
      </c>
    </row>
    <row r="1161" spans="1:10" ht="18" customHeight="1">
      <c r="A1161" s="227">
        <v>42645</v>
      </c>
      <c r="B1161" s="216" t="s">
        <v>226</v>
      </c>
      <c r="C1161" s="224">
        <v>300009374212</v>
      </c>
      <c r="D1161" s="214" t="s">
        <v>235</v>
      </c>
      <c r="E1161" s="216">
        <v>28</v>
      </c>
      <c r="F1161" s="216">
        <v>3847</v>
      </c>
      <c r="G1161" s="216">
        <v>28</v>
      </c>
      <c r="H1161" s="216">
        <v>6</v>
      </c>
      <c r="I1161" s="216">
        <v>55691.8</v>
      </c>
      <c r="J1161" s="216">
        <v>1.08</v>
      </c>
    </row>
    <row r="1162" spans="1:10" ht="18" customHeight="1">
      <c r="A1162" s="227">
        <v>42645</v>
      </c>
      <c r="B1162" s="216" t="s">
        <v>226</v>
      </c>
      <c r="C1162" s="224">
        <v>300009406202</v>
      </c>
      <c r="D1162" s="214" t="s">
        <v>232</v>
      </c>
      <c r="E1162" s="216">
        <v>33</v>
      </c>
      <c r="F1162" s="216">
        <v>2264</v>
      </c>
      <c r="G1162" s="216">
        <v>33</v>
      </c>
      <c r="H1162" s="216">
        <v>16</v>
      </c>
      <c r="I1162" s="216">
        <v>35400.199999999997</v>
      </c>
      <c r="J1162" s="216">
        <v>4.5199999999999996</v>
      </c>
    </row>
    <row r="1163" spans="1:10" ht="18" customHeight="1">
      <c r="A1163" s="227">
        <v>42645</v>
      </c>
      <c r="B1163" s="216" t="s">
        <v>226</v>
      </c>
      <c r="C1163" s="224">
        <v>300009185572</v>
      </c>
      <c r="D1163" s="214" t="s">
        <v>237</v>
      </c>
      <c r="E1163" s="216">
        <v>12</v>
      </c>
      <c r="F1163" s="216">
        <v>1561</v>
      </c>
      <c r="G1163" s="216">
        <v>12</v>
      </c>
      <c r="H1163" s="216">
        <v>5</v>
      </c>
      <c r="I1163" s="216">
        <v>22033.7</v>
      </c>
      <c r="J1163" s="216">
        <v>2.27</v>
      </c>
    </row>
    <row r="1164" spans="1:10" ht="18" customHeight="1">
      <c r="A1164" s="227">
        <v>42645</v>
      </c>
      <c r="B1164" s="216" t="s">
        <v>226</v>
      </c>
      <c r="C1164" s="224">
        <v>300009406201</v>
      </c>
      <c r="D1164" s="214" t="s">
        <v>234</v>
      </c>
      <c r="E1164" s="216">
        <v>5</v>
      </c>
      <c r="F1164" s="216">
        <v>532</v>
      </c>
      <c r="G1164" s="216">
        <v>5</v>
      </c>
      <c r="H1164" s="216">
        <v>2</v>
      </c>
      <c r="I1164" s="216">
        <v>7648.7</v>
      </c>
      <c r="J1164" s="216">
        <v>2</v>
      </c>
    </row>
    <row r="1165" spans="1:10" ht="18" customHeight="1">
      <c r="A1165" s="227">
        <v>42645</v>
      </c>
      <c r="B1165" s="216" t="s">
        <v>226</v>
      </c>
      <c r="C1165" s="224">
        <v>300009184067</v>
      </c>
      <c r="D1165" s="214" t="s">
        <v>233</v>
      </c>
      <c r="E1165" s="216">
        <v>5</v>
      </c>
      <c r="F1165" s="216" t="s">
        <v>242</v>
      </c>
      <c r="G1165" s="216">
        <v>5</v>
      </c>
      <c r="H1165" s="216">
        <v>0</v>
      </c>
      <c r="I1165" s="216">
        <v>0</v>
      </c>
      <c r="J1165" s="216">
        <v>0</v>
      </c>
    </row>
    <row r="1166" spans="1:10" ht="18" customHeight="1">
      <c r="A1166" s="227">
        <v>42645</v>
      </c>
      <c r="B1166" s="216" t="s">
        <v>226</v>
      </c>
      <c r="C1166" s="224">
        <v>300009374215</v>
      </c>
      <c r="D1166" s="214" t="s">
        <v>236</v>
      </c>
      <c r="E1166" s="216">
        <v>7</v>
      </c>
      <c r="F1166" s="216" t="s">
        <v>242</v>
      </c>
      <c r="G1166" s="216">
        <v>7</v>
      </c>
      <c r="H1166" s="216">
        <v>1</v>
      </c>
      <c r="I1166" s="216">
        <v>0</v>
      </c>
      <c r="J1166" s="216">
        <v>1</v>
      </c>
    </row>
    <row r="1167" spans="1:10" ht="18" customHeight="1">
      <c r="A1167" s="227">
        <v>42646</v>
      </c>
      <c r="B1167" s="216" t="s">
        <v>226</v>
      </c>
      <c r="C1167" s="224">
        <v>300009374212</v>
      </c>
      <c r="D1167" s="214" t="s">
        <v>235</v>
      </c>
      <c r="E1167" s="216">
        <v>29</v>
      </c>
      <c r="F1167" s="216">
        <v>4013</v>
      </c>
      <c r="G1167" s="216">
        <v>29</v>
      </c>
      <c r="H1167" s="216">
        <v>6</v>
      </c>
      <c r="I1167" s="216">
        <v>58309.8</v>
      </c>
      <c r="J1167" s="216">
        <v>1.03</v>
      </c>
    </row>
    <row r="1168" spans="1:10" ht="18" customHeight="1">
      <c r="A1168" s="227">
        <v>42646</v>
      </c>
      <c r="B1168" s="216" t="s">
        <v>226</v>
      </c>
      <c r="C1168" s="224">
        <v>300009406202</v>
      </c>
      <c r="D1168" s="214" t="s">
        <v>232</v>
      </c>
      <c r="E1168" s="216">
        <v>33</v>
      </c>
      <c r="F1168" s="216">
        <v>2264</v>
      </c>
      <c r="G1168" s="216">
        <v>33</v>
      </c>
      <c r="H1168" s="216">
        <v>16</v>
      </c>
      <c r="I1168" s="216">
        <v>35400.199999999997</v>
      </c>
      <c r="J1168" s="216">
        <v>4.5199999999999996</v>
      </c>
    </row>
    <row r="1169" spans="1:10" ht="18" customHeight="1">
      <c r="A1169" s="227">
        <v>42646</v>
      </c>
      <c r="B1169" s="216" t="s">
        <v>226</v>
      </c>
      <c r="C1169" s="224">
        <v>300009185572</v>
      </c>
      <c r="D1169" s="214" t="s">
        <v>237</v>
      </c>
      <c r="E1169" s="216">
        <v>16</v>
      </c>
      <c r="F1169" s="216">
        <v>1785</v>
      </c>
      <c r="G1169" s="216">
        <v>16</v>
      </c>
      <c r="H1169" s="216">
        <v>8</v>
      </c>
      <c r="I1169" s="216">
        <v>25579.7</v>
      </c>
      <c r="J1169" s="216">
        <v>3.13</v>
      </c>
    </row>
    <row r="1170" spans="1:10" ht="18" customHeight="1">
      <c r="A1170" s="227">
        <v>42646</v>
      </c>
      <c r="B1170" s="216" t="s">
        <v>226</v>
      </c>
      <c r="C1170" s="224">
        <v>300009406201</v>
      </c>
      <c r="D1170" s="214" t="s">
        <v>234</v>
      </c>
      <c r="E1170" s="216">
        <v>7</v>
      </c>
      <c r="F1170" s="216">
        <v>674</v>
      </c>
      <c r="G1170" s="216">
        <v>7</v>
      </c>
      <c r="H1170" s="216">
        <v>4</v>
      </c>
      <c r="I1170" s="216">
        <v>9827.7000000000007</v>
      </c>
      <c r="J1170" s="216">
        <v>4</v>
      </c>
    </row>
    <row r="1171" spans="1:10" ht="18" customHeight="1">
      <c r="A1171" s="227">
        <v>42646</v>
      </c>
      <c r="B1171" s="216" t="s">
        <v>226</v>
      </c>
      <c r="C1171" s="224">
        <v>300009184067</v>
      </c>
      <c r="D1171" s="214" t="s">
        <v>233</v>
      </c>
      <c r="E1171" s="216">
        <v>5</v>
      </c>
      <c r="F1171" s="216" t="s">
        <v>242</v>
      </c>
      <c r="G1171" s="216">
        <v>5</v>
      </c>
      <c r="H1171" s="216">
        <v>0</v>
      </c>
      <c r="I1171" s="216">
        <v>0</v>
      </c>
      <c r="J1171" s="216">
        <v>0</v>
      </c>
    </row>
    <row r="1172" spans="1:10" ht="18" customHeight="1">
      <c r="A1172" s="227">
        <v>42646</v>
      </c>
      <c r="B1172" s="216" t="s">
        <v>226</v>
      </c>
      <c r="C1172" s="224">
        <v>300009374215</v>
      </c>
      <c r="D1172" s="214" t="s">
        <v>236</v>
      </c>
      <c r="E1172" s="216">
        <v>7</v>
      </c>
      <c r="F1172" s="216" t="s">
        <v>242</v>
      </c>
      <c r="G1172" s="216">
        <v>7</v>
      </c>
      <c r="H1172" s="216">
        <v>1</v>
      </c>
      <c r="I1172" s="216">
        <v>0</v>
      </c>
      <c r="J1172" s="216">
        <v>1</v>
      </c>
    </row>
    <row r="1173" spans="1:10" ht="18" customHeight="1">
      <c r="A1173" s="227">
        <v>42647</v>
      </c>
      <c r="B1173" s="216" t="s">
        <v>226</v>
      </c>
      <c r="C1173" s="224">
        <v>300009374212</v>
      </c>
      <c r="D1173" s="214" t="s">
        <v>235</v>
      </c>
      <c r="E1173" s="216">
        <v>32</v>
      </c>
      <c r="F1173" s="216">
        <v>4128</v>
      </c>
      <c r="G1173" s="216">
        <v>32</v>
      </c>
      <c r="H1173" s="216">
        <v>8</v>
      </c>
      <c r="I1173" s="216">
        <v>60311.8</v>
      </c>
      <c r="J1173" s="216">
        <v>1.33</v>
      </c>
    </row>
    <row r="1174" spans="1:10" ht="18" customHeight="1">
      <c r="A1174" s="227">
        <v>42647</v>
      </c>
      <c r="B1174" s="216" t="s">
        <v>226</v>
      </c>
      <c r="C1174" s="224">
        <v>300009406202</v>
      </c>
      <c r="D1174" s="214" t="s">
        <v>232</v>
      </c>
      <c r="E1174" s="216">
        <v>34</v>
      </c>
      <c r="F1174" s="216">
        <v>2264</v>
      </c>
      <c r="G1174" s="216">
        <v>34</v>
      </c>
      <c r="H1174" s="216">
        <v>16</v>
      </c>
      <c r="I1174" s="216">
        <v>35400.199999999997</v>
      </c>
      <c r="J1174" s="216">
        <v>4.5199999999999996</v>
      </c>
    </row>
    <row r="1175" spans="1:10" ht="18" customHeight="1">
      <c r="A1175" s="227">
        <v>42647</v>
      </c>
      <c r="B1175" s="216" t="s">
        <v>226</v>
      </c>
      <c r="C1175" s="224">
        <v>300009185572</v>
      </c>
      <c r="D1175" s="214" t="s">
        <v>237</v>
      </c>
      <c r="E1175" s="216">
        <v>19</v>
      </c>
      <c r="F1175" s="216">
        <v>1894</v>
      </c>
      <c r="G1175" s="216">
        <v>19</v>
      </c>
      <c r="H1175" s="216">
        <v>10</v>
      </c>
      <c r="I1175" s="216">
        <v>27512.799999999999</v>
      </c>
      <c r="J1175" s="216">
        <v>3.63</v>
      </c>
    </row>
    <row r="1176" spans="1:10" ht="18" customHeight="1">
      <c r="A1176" s="227">
        <v>42647</v>
      </c>
      <c r="B1176" s="216" t="s">
        <v>226</v>
      </c>
      <c r="C1176" s="224">
        <v>300009406201</v>
      </c>
      <c r="D1176" s="214" t="s">
        <v>234</v>
      </c>
      <c r="E1176" s="216">
        <v>7</v>
      </c>
      <c r="F1176" s="216">
        <v>786</v>
      </c>
      <c r="G1176" s="216">
        <v>7</v>
      </c>
      <c r="H1176" s="216">
        <v>4</v>
      </c>
      <c r="I1176" s="216">
        <v>11483.9</v>
      </c>
      <c r="J1176" s="216">
        <v>3.48</v>
      </c>
    </row>
    <row r="1177" spans="1:10" ht="18" customHeight="1">
      <c r="A1177" s="227">
        <v>42647</v>
      </c>
      <c r="B1177" s="216" t="s">
        <v>226</v>
      </c>
      <c r="C1177" s="224">
        <v>300009184067</v>
      </c>
      <c r="D1177" s="214" t="s">
        <v>233</v>
      </c>
      <c r="E1177" s="216">
        <v>5</v>
      </c>
      <c r="F1177" s="216" t="s">
        <v>242</v>
      </c>
      <c r="G1177" s="216">
        <v>5</v>
      </c>
      <c r="H1177" s="216">
        <v>0</v>
      </c>
      <c r="I1177" s="216">
        <v>0</v>
      </c>
      <c r="J1177" s="216">
        <v>0</v>
      </c>
    </row>
    <row r="1178" spans="1:10" ht="18" customHeight="1">
      <c r="A1178" s="227">
        <v>42647</v>
      </c>
      <c r="B1178" s="216" t="s">
        <v>226</v>
      </c>
      <c r="C1178" s="224">
        <v>300009374215</v>
      </c>
      <c r="D1178" s="214" t="s">
        <v>236</v>
      </c>
      <c r="E1178" s="216">
        <v>7</v>
      </c>
      <c r="F1178" s="216" t="s">
        <v>242</v>
      </c>
      <c r="G1178" s="216">
        <v>7</v>
      </c>
      <c r="H1178" s="216">
        <v>1</v>
      </c>
      <c r="I1178" s="216">
        <v>0</v>
      </c>
      <c r="J1178" s="216">
        <v>1</v>
      </c>
    </row>
    <row r="1179" spans="1:10" ht="18" customHeight="1">
      <c r="A1179" s="227">
        <v>42648</v>
      </c>
      <c r="B1179" s="216" t="s">
        <v>226</v>
      </c>
      <c r="C1179" s="224">
        <v>300009374212</v>
      </c>
      <c r="D1179" s="214" t="s">
        <v>235</v>
      </c>
      <c r="E1179" s="216">
        <v>33</v>
      </c>
      <c r="F1179" s="216">
        <v>4128</v>
      </c>
      <c r="G1179" s="216">
        <v>33</v>
      </c>
      <c r="H1179" s="216">
        <v>9</v>
      </c>
      <c r="I1179" s="216">
        <v>60311.8</v>
      </c>
      <c r="J1179" s="216">
        <v>1.49</v>
      </c>
    </row>
    <row r="1180" spans="1:10" ht="18" customHeight="1">
      <c r="A1180" s="227">
        <v>42648</v>
      </c>
      <c r="B1180" s="216" t="s">
        <v>226</v>
      </c>
      <c r="C1180" s="224">
        <v>300009406202</v>
      </c>
      <c r="D1180" s="214" t="s">
        <v>232</v>
      </c>
      <c r="E1180" s="216">
        <v>35</v>
      </c>
      <c r="F1180" s="216">
        <v>2264</v>
      </c>
      <c r="G1180" s="216">
        <v>35</v>
      </c>
      <c r="H1180" s="216">
        <v>17</v>
      </c>
      <c r="I1180" s="216">
        <v>35400.199999999997</v>
      </c>
      <c r="J1180" s="216">
        <v>4.8</v>
      </c>
    </row>
    <row r="1181" spans="1:10" ht="18" customHeight="1">
      <c r="A1181" s="227">
        <v>42648</v>
      </c>
      <c r="B1181" s="216" t="s">
        <v>226</v>
      </c>
      <c r="C1181" s="224">
        <v>300009185572</v>
      </c>
      <c r="D1181" s="214" t="s">
        <v>237</v>
      </c>
      <c r="E1181" s="216">
        <v>21</v>
      </c>
      <c r="F1181" s="216">
        <v>1958</v>
      </c>
      <c r="G1181" s="216">
        <v>21</v>
      </c>
      <c r="H1181" s="216">
        <v>11</v>
      </c>
      <c r="I1181" s="216">
        <v>28500.1</v>
      </c>
      <c r="J1181" s="216">
        <v>3.86</v>
      </c>
    </row>
    <row r="1182" spans="1:10" ht="18" customHeight="1">
      <c r="A1182" s="227">
        <v>42648</v>
      </c>
      <c r="B1182" s="216" t="s">
        <v>226</v>
      </c>
      <c r="C1182" s="224">
        <v>300009406201</v>
      </c>
      <c r="D1182" s="214" t="s">
        <v>234</v>
      </c>
      <c r="E1182" s="216">
        <v>8</v>
      </c>
      <c r="F1182" s="216">
        <v>849</v>
      </c>
      <c r="G1182" s="216">
        <v>8</v>
      </c>
      <c r="H1182" s="216">
        <v>4</v>
      </c>
      <c r="I1182" s="216">
        <v>12479.4</v>
      </c>
      <c r="J1182" s="216">
        <v>3.21</v>
      </c>
    </row>
    <row r="1183" spans="1:10" ht="18" customHeight="1">
      <c r="A1183" s="227">
        <v>42648</v>
      </c>
      <c r="B1183" s="216" t="s">
        <v>226</v>
      </c>
      <c r="C1183" s="224">
        <v>300009184067</v>
      </c>
      <c r="D1183" s="214" t="s">
        <v>233</v>
      </c>
      <c r="E1183" s="216">
        <v>5</v>
      </c>
      <c r="F1183" s="216" t="s">
        <v>242</v>
      </c>
      <c r="G1183" s="216">
        <v>5</v>
      </c>
      <c r="H1183" s="216">
        <v>0</v>
      </c>
      <c r="I1183" s="216">
        <v>0</v>
      </c>
      <c r="J1183" s="216">
        <v>0</v>
      </c>
    </row>
    <row r="1184" spans="1:10" ht="18" customHeight="1">
      <c r="A1184" s="227">
        <v>42648</v>
      </c>
      <c r="B1184" s="216" t="s">
        <v>226</v>
      </c>
      <c r="C1184" s="224">
        <v>300009374215</v>
      </c>
      <c r="D1184" s="214" t="s">
        <v>236</v>
      </c>
      <c r="E1184" s="216">
        <v>7</v>
      </c>
      <c r="F1184" s="216" t="s">
        <v>242</v>
      </c>
      <c r="G1184" s="216">
        <v>7</v>
      </c>
      <c r="H1184" s="216">
        <v>1</v>
      </c>
      <c r="I1184" s="216">
        <v>0</v>
      </c>
      <c r="J1184" s="216">
        <v>1</v>
      </c>
    </row>
    <row r="1185" spans="1:10" ht="18" customHeight="1">
      <c r="A1185" s="227">
        <v>42649</v>
      </c>
      <c r="B1185" s="216" t="s">
        <v>226</v>
      </c>
      <c r="C1185" s="224">
        <v>300009374212</v>
      </c>
      <c r="D1185" s="214" t="s">
        <v>235</v>
      </c>
      <c r="E1185" s="216">
        <v>33</v>
      </c>
      <c r="F1185" s="216">
        <v>4128</v>
      </c>
      <c r="G1185" s="216">
        <v>33</v>
      </c>
      <c r="H1185" s="216">
        <v>9</v>
      </c>
      <c r="I1185" s="216">
        <v>60311.8</v>
      </c>
      <c r="J1185" s="216">
        <v>1.49</v>
      </c>
    </row>
    <row r="1186" spans="1:10" ht="18" customHeight="1">
      <c r="A1186" s="227">
        <v>42649</v>
      </c>
      <c r="B1186" s="216" t="s">
        <v>226</v>
      </c>
      <c r="C1186" s="224">
        <v>300009185572</v>
      </c>
      <c r="D1186" s="214" t="s">
        <v>237</v>
      </c>
      <c r="E1186" s="216">
        <v>21</v>
      </c>
      <c r="F1186" s="216">
        <v>2026</v>
      </c>
      <c r="G1186" s="216">
        <v>21</v>
      </c>
      <c r="H1186" s="216">
        <v>11</v>
      </c>
      <c r="I1186" s="216">
        <v>29796.6</v>
      </c>
      <c r="J1186" s="216">
        <v>3.69</v>
      </c>
    </row>
    <row r="1187" spans="1:10" ht="18" customHeight="1">
      <c r="A1187" s="227">
        <v>42649</v>
      </c>
      <c r="B1187" s="216" t="s">
        <v>226</v>
      </c>
      <c r="C1187" s="224">
        <v>300009406201</v>
      </c>
      <c r="D1187" s="214" t="s">
        <v>234</v>
      </c>
      <c r="E1187" s="216">
        <v>8</v>
      </c>
      <c r="F1187" s="216">
        <v>912</v>
      </c>
      <c r="G1187" s="216">
        <v>8</v>
      </c>
      <c r="H1187" s="216">
        <v>4</v>
      </c>
      <c r="I1187" s="216">
        <v>13430.8</v>
      </c>
      <c r="J1187" s="216">
        <v>2.98</v>
      </c>
    </row>
    <row r="1188" spans="1:10" ht="18" customHeight="1">
      <c r="A1188" s="227">
        <v>42649</v>
      </c>
      <c r="B1188" s="216" t="s">
        <v>226</v>
      </c>
      <c r="C1188" s="224">
        <v>300009184067</v>
      </c>
      <c r="D1188" s="214" t="s">
        <v>233</v>
      </c>
      <c r="E1188" s="216">
        <v>5</v>
      </c>
      <c r="F1188" s="216" t="s">
        <v>242</v>
      </c>
      <c r="G1188" s="216">
        <v>5</v>
      </c>
      <c r="H1188" s="216">
        <v>0</v>
      </c>
      <c r="I1188" s="216">
        <v>0</v>
      </c>
      <c r="J1188" s="216">
        <v>0</v>
      </c>
    </row>
    <row r="1189" spans="1:10" ht="18" customHeight="1">
      <c r="A1189" s="227">
        <v>42649</v>
      </c>
      <c r="B1189" s="216" t="s">
        <v>226</v>
      </c>
      <c r="C1189" s="224">
        <v>300009374215</v>
      </c>
      <c r="D1189" s="214" t="s">
        <v>236</v>
      </c>
      <c r="E1189" s="216">
        <v>8</v>
      </c>
      <c r="F1189" s="216" t="s">
        <v>242</v>
      </c>
      <c r="G1189" s="216">
        <v>8</v>
      </c>
      <c r="H1189" s="216">
        <v>2</v>
      </c>
      <c r="I1189" s="216">
        <v>0</v>
      </c>
      <c r="J1189" s="216">
        <v>2</v>
      </c>
    </row>
    <row r="1190" spans="1:10" ht="18" customHeight="1">
      <c r="A1190" s="227">
        <v>42650</v>
      </c>
      <c r="B1190" s="216" t="s">
        <v>226</v>
      </c>
      <c r="C1190" s="224">
        <v>300009374212</v>
      </c>
      <c r="D1190" s="214" t="s">
        <v>235</v>
      </c>
      <c r="E1190" s="216">
        <v>36</v>
      </c>
      <c r="F1190" s="216">
        <v>4128</v>
      </c>
      <c r="G1190" s="216">
        <v>36</v>
      </c>
      <c r="H1190" s="216">
        <v>9</v>
      </c>
      <c r="I1190" s="216">
        <v>60311.8</v>
      </c>
      <c r="J1190" s="216">
        <v>1.49</v>
      </c>
    </row>
    <row r="1191" spans="1:10" ht="18" customHeight="1">
      <c r="A1191" s="227">
        <v>42650</v>
      </c>
      <c r="B1191" s="216" t="s">
        <v>226</v>
      </c>
      <c r="C1191" s="224">
        <v>300009185572</v>
      </c>
      <c r="D1191" s="214" t="s">
        <v>237</v>
      </c>
      <c r="E1191" s="216">
        <v>25</v>
      </c>
      <c r="F1191" s="216">
        <v>2077</v>
      </c>
      <c r="G1191" s="216">
        <v>25</v>
      </c>
      <c r="H1191" s="216">
        <v>12</v>
      </c>
      <c r="I1191" s="216">
        <v>30619.9</v>
      </c>
      <c r="J1191" s="216">
        <v>3.92</v>
      </c>
    </row>
    <row r="1192" spans="1:10" ht="18" customHeight="1">
      <c r="A1192" s="227">
        <v>42650</v>
      </c>
      <c r="B1192" s="216" t="s">
        <v>226</v>
      </c>
      <c r="C1192" s="224">
        <v>300009406201</v>
      </c>
      <c r="D1192" s="214" t="s">
        <v>234</v>
      </c>
      <c r="E1192" s="216">
        <v>10</v>
      </c>
      <c r="F1192" s="216">
        <v>976</v>
      </c>
      <c r="G1192" s="216">
        <v>10</v>
      </c>
      <c r="H1192" s="216">
        <v>5</v>
      </c>
      <c r="I1192" s="216">
        <v>14313.3</v>
      </c>
      <c r="J1192" s="216">
        <v>3.49</v>
      </c>
    </row>
    <row r="1193" spans="1:10" ht="18" customHeight="1">
      <c r="A1193" s="227">
        <v>42650</v>
      </c>
      <c r="B1193" s="216" t="s">
        <v>226</v>
      </c>
      <c r="C1193" s="224">
        <v>300009184067</v>
      </c>
      <c r="D1193" s="214" t="s">
        <v>233</v>
      </c>
      <c r="E1193" s="216">
        <v>5</v>
      </c>
      <c r="F1193" s="216" t="s">
        <v>242</v>
      </c>
      <c r="G1193" s="216">
        <v>5</v>
      </c>
      <c r="H1193" s="216">
        <v>0</v>
      </c>
      <c r="I1193" s="216">
        <v>0</v>
      </c>
      <c r="J1193" s="216">
        <v>0</v>
      </c>
    </row>
    <row r="1194" spans="1:10" ht="18" customHeight="1">
      <c r="A1194" s="227">
        <v>42650</v>
      </c>
      <c r="B1194" s="216" t="s">
        <v>226</v>
      </c>
      <c r="C1194" s="224">
        <v>300009374215</v>
      </c>
      <c r="D1194" s="214" t="s">
        <v>236</v>
      </c>
      <c r="E1194" s="216">
        <v>8</v>
      </c>
      <c r="F1194" s="216" t="s">
        <v>242</v>
      </c>
      <c r="G1194" s="216">
        <v>8</v>
      </c>
      <c r="H1194" s="216">
        <v>2</v>
      </c>
      <c r="I1194" s="216">
        <v>0</v>
      </c>
      <c r="J1194" s="216">
        <v>2</v>
      </c>
    </row>
    <row r="1195" spans="1:10" ht="18" customHeight="1">
      <c r="A1195" s="227">
        <v>42650</v>
      </c>
      <c r="B1195" s="216" t="s">
        <v>226</v>
      </c>
      <c r="C1195" s="224">
        <v>300009406202</v>
      </c>
      <c r="D1195" s="214" t="s">
        <v>232</v>
      </c>
      <c r="E1195" s="216">
        <v>1</v>
      </c>
      <c r="F1195" s="216" t="s">
        <v>242</v>
      </c>
      <c r="G1195" s="216">
        <v>1</v>
      </c>
      <c r="H1195" s="216">
        <v>0</v>
      </c>
      <c r="I1195" s="216">
        <v>0</v>
      </c>
      <c r="J1195" s="216">
        <v>0</v>
      </c>
    </row>
    <row r="1196" spans="1:10" ht="18" customHeight="1">
      <c r="A1196" s="227">
        <v>42651</v>
      </c>
      <c r="B1196" s="216" t="s">
        <v>226</v>
      </c>
      <c r="C1196" s="224">
        <v>300009374212</v>
      </c>
      <c r="D1196" s="214" t="s">
        <v>235</v>
      </c>
      <c r="E1196" s="216">
        <v>36</v>
      </c>
      <c r="F1196" s="216">
        <v>4128</v>
      </c>
      <c r="G1196" s="216">
        <v>36</v>
      </c>
      <c r="H1196" s="216">
        <v>9</v>
      </c>
      <c r="I1196" s="216">
        <v>60311.8</v>
      </c>
      <c r="J1196" s="216">
        <v>1.49</v>
      </c>
    </row>
    <row r="1197" spans="1:10" ht="18" customHeight="1">
      <c r="A1197" s="227">
        <v>42651</v>
      </c>
      <c r="B1197" s="216" t="s">
        <v>226</v>
      </c>
      <c r="C1197" s="224">
        <v>300009185572</v>
      </c>
      <c r="D1197" s="214" t="s">
        <v>237</v>
      </c>
      <c r="E1197" s="216">
        <v>26</v>
      </c>
      <c r="F1197" s="216">
        <v>2181</v>
      </c>
      <c r="G1197" s="216">
        <v>26</v>
      </c>
      <c r="H1197" s="216">
        <v>14</v>
      </c>
      <c r="I1197" s="216">
        <v>32330.1</v>
      </c>
      <c r="J1197" s="216">
        <v>4.33</v>
      </c>
    </row>
    <row r="1198" spans="1:10" ht="18" customHeight="1">
      <c r="A1198" s="227">
        <v>42651</v>
      </c>
      <c r="B1198" s="216" t="s">
        <v>226</v>
      </c>
      <c r="C1198" s="224">
        <v>300009406201</v>
      </c>
      <c r="D1198" s="214" t="s">
        <v>234</v>
      </c>
      <c r="E1198" s="216">
        <v>10</v>
      </c>
      <c r="F1198" s="216">
        <v>1093</v>
      </c>
      <c r="G1198" s="216">
        <v>10</v>
      </c>
      <c r="H1198" s="216">
        <v>5</v>
      </c>
      <c r="I1198" s="216">
        <v>16365.4</v>
      </c>
      <c r="J1198" s="216">
        <v>3.06</v>
      </c>
    </row>
    <row r="1199" spans="1:10" ht="18" customHeight="1">
      <c r="A1199" s="227">
        <v>42651</v>
      </c>
      <c r="B1199" s="216" t="s">
        <v>226</v>
      </c>
      <c r="C1199" s="224">
        <v>300009406202</v>
      </c>
      <c r="D1199" s="214" t="s">
        <v>232</v>
      </c>
      <c r="E1199" s="216">
        <v>1</v>
      </c>
      <c r="F1199" s="216">
        <v>113</v>
      </c>
      <c r="G1199" s="216">
        <v>1</v>
      </c>
      <c r="H1199" s="216">
        <v>0</v>
      </c>
      <c r="I1199" s="216">
        <v>1759.3</v>
      </c>
      <c r="J1199" s="216">
        <v>0</v>
      </c>
    </row>
    <row r="1200" spans="1:10" ht="18" customHeight="1">
      <c r="A1200" s="227">
        <v>42651</v>
      </c>
      <c r="B1200" s="216" t="s">
        <v>226</v>
      </c>
      <c r="C1200" s="224">
        <v>300009184067</v>
      </c>
      <c r="D1200" s="214" t="s">
        <v>233</v>
      </c>
      <c r="E1200" s="216">
        <v>5</v>
      </c>
      <c r="F1200" s="216" t="s">
        <v>242</v>
      </c>
      <c r="G1200" s="216">
        <v>5</v>
      </c>
      <c r="H1200" s="216">
        <v>0</v>
      </c>
      <c r="I1200" s="216">
        <v>0</v>
      </c>
      <c r="J1200" s="216">
        <v>0</v>
      </c>
    </row>
    <row r="1201" spans="1:10" ht="18" customHeight="1">
      <c r="A1201" s="227">
        <v>42651</v>
      </c>
      <c r="B1201" s="216" t="s">
        <v>226</v>
      </c>
      <c r="C1201" s="224">
        <v>300009374215</v>
      </c>
      <c r="D1201" s="214" t="s">
        <v>236</v>
      </c>
      <c r="E1201" s="216">
        <v>8</v>
      </c>
      <c r="F1201" s="216" t="s">
        <v>242</v>
      </c>
      <c r="G1201" s="216">
        <v>8</v>
      </c>
      <c r="H1201" s="216">
        <v>2</v>
      </c>
      <c r="I1201" s="216">
        <v>0</v>
      </c>
      <c r="J1201" s="216">
        <v>2</v>
      </c>
    </row>
    <row r="1202" spans="1:10" ht="18" customHeight="1">
      <c r="A1202" s="227">
        <v>42651</v>
      </c>
      <c r="B1202" s="227" t="s">
        <v>474</v>
      </c>
      <c r="C1202" s="224">
        <v>300009480238</v>
      </c>
      <c r="D1202" s="214" t="s">
        <v>263</v>
      </c>
      <c r="E1202" s="216">
        <v>46</v>
      </c>
      <c r="F1202" s="216">
        <v>2876</v>
      </c>
      <c r="G1202" s="216">
        <v>46</v>
      </c>
      <c r="H1202" s="216">
        <v>22</v>
      </c>
      <c r="I1202" s="216">
        <v>45202.8</v>
      </c>
      <c r="J1202" s="216">
        <v>4.87</v>
      </c>
    </row>
    <row r="1203" spans="1:10" ht="18" customHeight="1">
      <c r="A1203" s="227">
        <v>42651</v>
      </c>
      <c r="B1203" s="216" t="s">
        <v>459</v>
      </c>
      <c r="C1203" s="224">
        <v>300009358277</v>
      </c>
      <c r="D1203" s="214" t="s">
        <v>429</v>
      </c>
      <c r="E1203" s="216">
        <v>339</v>
      </c>
      <c r="F1203" s="216">
        <v>37113</v>
      </c>
      <c r="G1203" s="216">
        <v>91.34</v>
      </c>
      <c r="H1203" s="216">
        <v>209</v>
      </c>
      <c r="I1203" s="216">
        <v>996411.9</v>
      </c>
      <c r="J1203" s="216">
        <v>2.1</v>
      </c>
    </row>
    <row r="1204" spans="1:10" ht="18" customHeight="1">
      <c r="A1204" s="227">
        <v>42651</v>
      </c>
      <c r="B1204" s="216" t="s">
        <v>227</v>
      </c>
      <c r="C1204" s="224">
        <v>300009192151</v>
      </c>
      <c r="D1204" s="214" t="s">
        <v>430</v>
      </c>
      <c r="E1204" s="216">
        <v>24</v>
      </c>
      <c r="F1204" s="216">
        <v>3407</v>
      </c>
      <c r="G1204" s="216">
        <v>24</v>
      </c>
      <c r="H1204" s="216">
        <v>9</v>
      </c>
      <c r="I1204" s="216">
        <v>89961.1</v>
      </c>
      <c r="J1204" s="216">
        <v>1</v>
      </c>
    </row>
    <row r="1205" spans="1:10" ht="18" customHeight="1">
      <c r="A1205" s="227">
        <v>42651</v>
      </c>
      <c r="B1205" s="216" t="s">
        <v>193</v>
      </c>
      <c r="C1205" s="224">
        <v>300009000071</v>
      </c>
      <c r="D1205" s="216" t="s">
        <v>425</v>
      </c>
      <c r="E1205" s="216">
        <v>51</v>
      </c>
      <c r="F1205" s="216">
        <v>4398</v>
      </c>
      <c r="G1205" s="216">
        <v>51</v>
      </c>
      <c r="H1205" s="216">
        <v>24</v>
      </c>
      <c r="I1205" s="216">
        <v>63707.519999999997</v>
      </c>
      <c r="J1205" s="216">
        <v>3.77</v>
      </c>
    </row>
    <row r="1206" spans="1:10" ht="18" customHeight="1">
      <c r="A1206" s="227">
        <v>42651</v>
      </c>
      <c r="B1206" s="216" t="s">
        <v>193</v>
      </c>
      <c r="C1206" s="224">
        <v>300009235971</v>
      </c>
      <c r="D1206" s="214" t="s">
        <v>241</v>
      </c>
      <c r="E1206" s="216">
        <v>57</v>
      </c>
      <c r="F1206" s="216">
        <v>3490</v>
      </c>
      <c r="G1206" s="216">
        <v>57</v>
      </c>
      <c r="H1206" s="216">
        <v>25</v>
      </c>
      <c r="I1206" s="216">
        <v>57895.7</v>
      </c>
      <c r="J1206" s="216">
        <v>4.32</v>
      </c>
    </row>
    <row r="1207" spans="1:10" ht="18" customHeight="1">
      <c r="A1207" s="227">
        <v>42651</v>
      </c>
      <c r="B1207" s="216" t="s">
        <v>193</v>
      </c>
      <c r="C1207" s="224">
        <v>300008875665</v>
      </c>
      <c r="D1207" s="214" t="s">
        <v>189</v>
      </c>
      <c r="E1207" s="216">
        <v>15</v>
      </c>
      <c r="F1207" s="216">
        <v>1735</v>
      </c>
      <c r="G1207" s="216">
        <v>15</v>
      </c>
      <c r="H1207" s="216">
        <v>5</v>
      </c>
      <c r="I1207" s="216">
        <v>25331.24</v>
      </c>
      <c r="J1207" s="216">
        <v>1.97</v>
      </c>
    </row>
    <row r="1208" spans="1:10" ht="18" customHeight="1">
      <c r="A1208" s="227">
        <v>42651</v>
      </c>
      <c r="B1208" s="216" t="s">
        <v>193</v>
      </c>
      <c r="C1208" s="224">
        <v>300008244937</v>
      </c>
      <c r="D1208" s="214" t="s">
        <v>272</v>
      </c>
      <c r="E1208" s="216">
        <v>26</v>
      </c>
      <c r="F1208" s="216">
        <v>1707</v>
      </c>
      <c r="G1208" s="216">
        <v>26</v>
      </c>
      <c r="H1208" s="216">
        <v>5</v>
      </c>
      <c r="I1208" s="216">
        <v>21479.33</v>
      </c>
      <c r="J1208" s="216">
        <v>2.33</v>
      </c>
    </row>
    <row r="1209" spans="1:10" ht="18" customHeight="1">
      <c r="A1209" s="227">
        <v>42651</v>
      </c>
      <c r="B1209" s="216" t="s">
        <v>193</v>
      </c>
      <c r="C1209" s="224">
        <v>300009235974</v>
      </c>
      <c r="D1209" s="214" t="s">
        <v>187</v>
      </c>
      <c r="E1209" s="216">
        <v>10</v>
      </c>
      <c r="F1209" s="216">
        <v>1552</v>
      </c>
      <c r="G1209" s="216">
        <v>10</v>
      </c>
      <c r="H1209" s="216">
        <v>2</v>
      </c>
      <c r="I1209" s="216">
        <v>23733.1</v>
      </c>
      <c r="J1209" s="216">
        <v>0.84</v>
      </c>
    </row>
    <row r="1210" spans="1:10" ht="18" customHeight="1">
      <c r="A1210" s="227">
        <v>42651</v>
      </c>
      <c r="B1210" s="216" t="s">
        <v>193</v>
      </c>
      <c r="C1210" s="224">
        <v>300008579657</v>
      </c>
      <c r="D1210" s="214" t="s">
        <v>426</v>
      </c>
      <c r="E1210" s="216">
        <v>18</v>
      </c>
      <c r="F1210" s="216">
        <v>1339</v>
      </c>
      <c r="G1210" s="216">
        <v>18</v>
      </c>
      <c r="H1210" s="216">
        <v>3</v>
      </c>
      <c r="I1210" s="216">
        <v>17257.37</v>
      </c>
      <c r="J1210" s="216">
        <v>1.74</v>
      </c>
    </row>
    <row r="1211" spans="1:10" ht="18" customHeight="1">
      <c r="A1211" s="227">
        <v>42651</v>
      </c>
      <c r="B1211" s="216" t="s">
        <v>193</v>
      </c>
      <c r="C1211" s="224">
        <v>300009003496</v>
      </c>
      <c r="D1211" s="214" t="s">
        <v>427</v>
      </c>
      <c r="E1211" s="216">
        <v>9</v>
      </c>
      <c r="F1211" s="216">
        <v>14</v>
      </c>
      <c r="G1211" s="216">
        <v>9</v>
      </c>
      <c r="H1211" s="216">
        <v>3</v>
      </c>
      <c r="I1211" s="216">
        <v>150.53</v>
      </c>
      <c r="J1211" s="216">
        <v>3</v>
      </c>
    </row>
    <row r="1212" spans="1:10" ht="18" customHeight="1">
      <c r="A1212" s="227">
        <v>42651</v>
      </c>
      <c r="B1212" s="216" t="s">
        <v>193</v>
      </c>
      <c r="C1212" s="224">
        <v>300008839381</v>
      </c>
      <c r="D1212" s="214" t="s">
        <v>190</v>
      </c>
      <c r="E1212" s="216">
        <v>9</v>
      </c>
      <c r="F1212" s="216" t="s">
        <v>242</v>
      </c>
      <c r="G1212" s="216">
        <v>9</v>
      </c>
      <c r="H1212" s="216">
        <v>1</v>
      </c>
      <c r="I1212" s="216">
        <v>0</v>
      </c>
      <c r="J1212" s="216">
        <v>1</v>
      </c>
    </row>
    <row r="1213" spans="1:10" ht="18" customHeight="1">
      <c r="A1213" s="227">
        <v>42652</v>
      </c>
      <c r="B1213" s="216" t="s">
        <v>459</v>
      </c>
      <c r="C1213" s="224">
        <v>300009358277</v>
      </c>
      <c r="D1213" s="214" t="s">
        <v>429</v>
      </c>
      <c r="E1213" s="216">
        <v>342</v>
      </c>
      <c r="F1213" s="216">
        <v>36865</v>
      </c>
      <c r="G1213" s="216">
        <v>92.77</v>
      </c>
      <c r="H1213" s="216">
        <v>214</v>
      </c>
      <c r="I1213" s="216">
        <v>995517</v>
      </c>
      <c r="J1213" s="216">
        <v>2.15</v>
      </c>
    </row>
    <row r="1214" spans="1:10" ht="18" customHeight="1">
      <c r="A1214" s="227">
        <v>42652</v>
      </c>
      <c r="B1214" s="227" t="s">
        <v>474</v>
      </c>
      <c r="C1214" s="224">
        <v>300009480238</v>
      </c>
      <c r="D1214" s="214" t="s">
        <v>263</v>
      </c>
      <c r="E1214" s="216">
        <v>49</v>
      </c>
      <c r="F1214" s="216">
        <v>2876</v>
      </c>
      <c r="G1214" s="216">
        <v>49</v>
      </c>
      <c r="H1214" s="216">
        <v>23</v>
      </c>
      <c r="I1214" s="216">
        <v>45202.8</v>
      </c>
      <c r="J1214" s="216">
        <v>5.09</v>
      </c>
    </row>
    <row r="1215" spans="1:10" ht="18" customHeight="1">
      <c r="A1215" s="227">
        <v>42652</v>
      </c>
      <c r="B1215" s="227" t="s">
        <v>193</v>
      </c>
      <c r="C1215" s="224">
        <v>300009000071</v>
      </c>
      <c r="D1215" s="216" t="s">
        <v>425</v>
      </c>
      <c r="E1215" s="216">
        <v>51</v>
      </c>
      <c r="F1215" s="216">
        <v>4398</v>
      </c>
      <c r="G1215" s="216">
        <v>51</v>
      </c>
      <c r="H1215" s="216">
        <v>24</v>
      </c>
      <c r="I1215" s="216">
        <v>63707.519999999997</v>
      </c>
      <c r="J1215" s="216">
        <v>3.77</v>
      </c>
    </row>
    <row r="1216" spans="1:10" ht="18" customHeight="1">
      <c r="A1216" s="227">
        <v>42652</v>
      </c>
      <c r="B1216" s="216" t="s">
        <v>193</v>
      </c>
      <c r="C1216" s="224">
        <v>300009235971</v>
      </c>
      <c r="D1216" s="214" t="s">
        <v>241</v>
      </c>
      <c r="E1216" s="216">
        <v>57</v>
      </c>
      <c r="F1216" s="216">
        <v>3490</v>
      </c>
      <c r="G1216" s="216">
        <v>57</v>
      </c>
      <c r="H1216" s="216">
        <v>25</v>
      </c>
      <c r="I1216" s="216">
        <v>57895.7</v>
      </c>
      <c r="J1216" s="216">
        <v>4.32</v>
      </c>
    </row>
    <row r="1217" spans="1:10" ht="18" customHeight="1">
      <c r="A1217" s="227">
        <v>42652</v>
      </c>
      <c r="B1217" s="216" t="s">
        <v>193</v>
      </c>
      <c r="C1217" s="224">
        <v>300008244937</v>
      </c>
      <c r="D1217" s="214" t="s">
        <v>272</v>
      </c>
      <c r="E1217" s="216">
        <v>26</v>
      </c>
      <c r="F1217" s="216">
        <v>1707</v>
      </c>
      <c r="G1217" s="216">
        <v>26</v>
      </c>
      <c r="H1217" s="216">
        <v>5</v>
      </c>
      <c r="I1217" s="216">
        <v>21479.33</v>
      </c>
      <c r="J1217" s="216">
        <v>2.33</v>
      </c>
    </row>
    <row r="1218" spans="1:10" ht="18" customHeight="1">
      <c r="A1218" s="227">
        <v>42652</v>
      </c>
      <c r="B1218" s="216" t="s">
        <v>193</v>
      </c>
      <c r="C1218" s="224">
        <v>300008875665</v>
      </c>
      <c r="D1218" s="214" t="s">
        <v>189</v>
      </c>
      <c r="E1218" s="216">
        <v>15</v>
      </c>
      <c r="F1218" s="216">
        <v>1679</v>
      </c>
      <c r="G1218" s="216">
        <v>15</v>
      </c>
      <c r="H1218" s="216">
        <v>5</v>
      </c>
      <c r="I1218" s="216">
        <v>23996.73</v>
      </c>
      <c r="J1218" s="216">
        <v>2.08</v>
      </c>
    </row>
    <row r="1219" spans="1:10" ht="18" customHeight="1">
      <c r="A1219" s="227">
        <v>42652</v>
      </c>
      <c r="B1219" s="216" t="s">
        <v>193</v>
      </c>
      <c r="C1219" s="224">
        <v>300009235974</v>
      </c>
      <c r="D1219" s="214" t="s">
        <v>187</v>
      </c>
      <c r="E1219" s="216">
        <v>9</v>
      </c>
      <c r="F1219" s="216">
        <v>1498</v>
      </c>
      <c r="G1219" s="216">
        <v>9</v>
      </c>
      <c r="H1219" s="216">
        <v>2</v>
      </c>
      <c r="I1219" s="216">
        <v>22422.6</v>
      </c>
      <c r="J1219" s="216">
        <v>0.89</v>
      </c>
    </row>
    <row r="1220" spans="1:10" ht="18" customHeight="1">
      <c r="A1220" s="227">
        <v>42652</v>
      </c>
      <c r="B1220" s="216" t="s">
        <v>193</v>
      </c>
      <c r="C1220" s="224">
        <v>300008579657</v>
      </c>
      <c r="D1220" s="214" t="s">
        <v>426</v>
      </c>
      <c r="E1220" s="216">
        <v>18</v>
      </c>
      <c r="F1220" s="216">
        <v>1339</v>
      </c>
      <c r="G1220" s="216">
        <v>18</v>
      </c>
      <c r="H1220" s="216">
        <v>3</v>
      </c>
      <c r="I1220" s="216">
        <v>17257.37</v>
      </c>
      <c r="J1220" s="216">
        <v>1.74</v>
      </c>
    </row>
    <row r="1221" spans="1:10" ht="18" customHeight="1">
      <c r="A1221" s="227">
        <v>42652</v>
      </c>
      <c r="B1221" s="216" t="s">
        <v>193</v>
      </c>
      <c r="C1221" s="224">
        <v>300009003496</v>
      </c>
      <c r="D1221" s="214" t="s">
        <v>427</v>
      </c>
      <c r="E1221" s="216">
        <v>9</v>
      </c>
      <c r="F1221" s="216">
        <v>14</v>
      </c>
      <c r="G1221" s="216">
        <v>9</v>
      </c>
      <c r="H1221" s="216">
        <v>3</v>
      </c>
      <c r="I1221" s="216">
        <v>150.53</v>
      </c>
      <c r="J1221" s="216">
        <v>3</v>
      </c>
    </row>
    <row r="1222" spans="1:10" ht="18" customHeight="1">
      <c r="A1222" s="227">
        <v>42652</v>
      </c>
      <c r="B1222" s="216" t="s">
        <v>193</v>
      </c>
      <c r="C1222" s="224">
        <v>300008839381</v>
      </c>
      <c r="D1222" s="214" t="s">
        <v>190</v>
      </c>
      <c r="E1222" s="216">
        <v>9</v>
      </c>
      <c r="F1222" s="216" t="s">
        <v>242</v>
      </c>
      <c r="G1222" s="216">
        <v>9</v>
      </c>
      <c r="H1222" s="216">
        <v>1</v>
      </c>
      <c r="I1222" s="216">
        <v>0</v>
      </c>
      <c r="J1222" s="216">
        <v>1</v>
      </c>
    </row>
    <row r="1223" spans="1:10" ht="18" customHeight="1">
      <c r="A1223" s="227">
        <v>42652</v>
      </c>
      <c r="B1223" s="216" t="s">
        <v>227</v>
      </c>
      <c r="C1223" s="224">
        <v>300009192151</v>
      </c>
      <c r="D1223" s="214" t="s">
        <v>430</v>
      </c>
      <c r="E1223" s="216">
        <v>26</v>
      </c>
      <c r="F1223" s="216">
        <v>3573</v>
      </c>
      <c r="G1223" s="216">
        <v>26</v>
      </c>
      <c r="H1223" s="216">
        <v>10</v>
      </c>
      <c r="I1223" s="216">
        <v>94961</v>
      </c>
      <c r="J1223" s="216">
        <v>1.05</v>
      </c>
    </row>
    <row r="1224" spans="1:10" ht="18" customHeight="1">
      <c r="A1224" s="227">
        <v>42652</v>
      </c>
      <c r="B1224" s="216" t="s">
        <v>226</v>
      </c>
      <c r="C1224" s="224">
        <v>300009374212</v>
      </c>
      <c r="D1224" s="214" t="s">
        <v>235</v>
      </c>
      <c r="E1224" s="216">
        <v>37</v>
      </c>
      <c r="F1224" s="216">
        <v>4128</v>
      </c>
      <c r="G1224" s="216">
        <v>37</v>
      </c>
      <c r="H1224" s="216">
        <v>10</v>
      </c>
      <c r="I1224" s="216">
        <v>60311.8</v>
      </c>
      <c r="J1224" s="216">
        <v>1.66</v>
      </c>
    </row>
    <row r="1225" spans="1:10" ht="18" customHeight="1">
      <c r="A1225" s="227">
        <v>42652</v>
      </c>
      <c r="B1225" s="216" t="s">
        <v>226</v>
      </c>
      <c r="C1225" s="224">
        <v>300009185572</v>
      </c>
      <c r="D1225" s="214" t="s">
        <v>237</v>
      </c>
      <c r="E1225" s="216">
        <v>27</v>
      </c>
      <c r="F1225" s="216">
        <v>2456</v>
      </c>
      <c r="G1225" s="216">
        <v>27</v>
      </c>
      <c r="H1225" s="216">
        <v>15</v>
      </c>
      <c r="I1225" s="216">
        <v>36457.800000000003</v>
      </c>
      <c r="J1225" s="216">
        <v>4.1100000000000003</v>
      </c>
    </row>
    <row r="1226" spans="1:10" ht="18" customHeight="1">
      <c r="A1226" s="227">
        <v>42652</v>
      </c>
      <c r="B1226" s="216" t="s">
        <v>226</v>
      </c>
      <c r="C1226" s="224">
        <v>300009406201</v>
      </c>
      <c r="D1226" s="214" t="s">
        <v>234</v>
      </c>
      <c r="E1226" s="216">
        <v>13</v>
      </c>
      <c r="F1226" s="216">
        <v>1399</v>
      </c>
      <c r="G1226" s="216">
        <v>13</v>
      </c>
      <c r="H1226" s="216">
        <v>6</v>
      </c>
      <c r="I1226" s="216">
        <v>20963.400000000001</v>
      </c>
      <c r="J1226" s="216">
        <v>2.86</v>
      </c>
    </row>
    <row r="1227" spans="1:10" ht="18" customHeight="1">
      <c r="A1227" s="227">
        <v>42652</v>
      </c>
      <c r="B1227" s="216" t="s">
        <v>226</v>
      </c>
      <c r="C1227" s="224">
        <v>300009406202</v>
      </c>
      <c r="D1227" s="214" t="s">
        <v>232</v>
      </c>
      <c r="E1227" s="216">
        <v>2</v>
      </c>
      <c r="F1227" s="216">
        <v>419</v>
      </c>
      <c r="G1227" s="216">
        <v>2</v>
      </c>
      <c r="H1227" s="216">
        <v>0</v>
      </c>
      <c r="I1227" s="216">
        <v>6374.9</v>
      </c>
      <c r="J1227" s="216">
        <v>0</v>
      </c>
    </row>
    <row r="1228" spans="1:10" ht="18" customHeight="1">
      <c r="A1228" s="227">
        <v>42652</v>
      </c>
      <c r="B1228" s="216" t="s">
        <v>226</v>
      </c>
      <c r="C1228" s="224">
        <v>300009184067</v>
      </c>
      <c r="D1228" s="214" t="s">
        <v>233</v>
      </c>
      <c r="E1228" s="216">
        <v>5</v>
      </c>
      <c r="F1228" s="216" t="s">
        <v>242</v>
      </c>
      <c r="G1228" s="216">
        <v>5</v>
      </c>
      <c r="H1228" s="216">
        <v>0</v>
      </c>
      <c r="I1228" s="216">
        <v>0</v>
      </c>
      <c r="J1228" s="216">
        <v>0</v>
      </c>
    </row>
    <row r="1229" spans="1:10" ht="18" customHeight="1">
      <c r="A1229" s="227">
        <v>42652</v>
      </c>
      <c r="B1229" s="216" t="s">
        <v>226</v>
      </c>
      <c r="C1229" s="224">
        <v>300009374215</v>
      </c>
      <c r="D1229" s="214" t="s">
        <v>236</v>
      </c>
      <c r="E1229" s="216">
        <v>8</v>
      </c>
      <c r="F1229" s="216" t="s">
        <v>242</v>
      </c>
      <c r="G1229" s="216">
        <v>8</v>
      </c>
      <c r="H1229" s="216">
        <v>2</v>
      </c>
      <c r="I1229" s="216">
        <v>0</v>
      </c>
      <c r="J1229" s="216">
        <v>2</v>
      </c>
    </row>
    <row r="1230" spans="1:10" ht="18" customHeight="1">
      <c r="A1230" s="227">
        <v>42653</v>
      </c>
      <c r="B1230" s="216" t="s">
        <v>563</v>
      </c>
      <c r="C1230" s="224">
        <v>300009358277</v>
      </c>
      <c r="D1230" s="214" t="s">
        <v>429</v>
      </c>
      <c r="E1230" s="216">
        <v>347</v>
      </c>
      <c r="F1230" s="216">
        <v>36228</v>
      </c>
      <c r="G1230" s="216">
        <v>95.78</v>
      </c>
      <c r="H1230" s="216">
        <v>223</v>
      </c>
      <c r="I1230" s="216">
        <v>982877</v>
      </c>
      <c r="J1230" s="216">
        <v>2.27</v>
      </c>
    </row>
    <row r="1231" spans="1:10" ht="18" customHeight="1">
      <c r="A1231" s="227">
        <v>42653</v>
      </c>
      <c r="B1231" s="216" t="s">
        <v>474</v>
      </c>
      <c r="C1231" s="224">
        <v>300009480238</v>
      </c>
      <c r="D1231" s="214" t="s">
        <v>263</v>
      </c>
      <c r="E1231" s="216">
        <v>52</v>
      </c>
      <c r="F1231" s="216">
        <v>2876</v>
      </c>
      <c r="G1231" s="216">
        <v>52</v>
      </c>
      <c r="H1231" s="216">
        <v>24</v>
      </c>
      <c r="I1231" s="216">
        <v>45202.8</v>
      </c>
      <c r="J1231" s="216">
        <v>5.31</v>
      </c>
    </row>
    <row r="1232" spans="1:10" ht="18" customHeight="1">
      <c r="A1232" s="227">
        <v>42653</v>
      </c>
      <c r="B1232" s="216" t="s">
        <v>193</v>
      </c>
      <c r="C1232" s="224">
        <v>300009000071</v>
      </c>
      <c r="D1232" s="216" t="s">
        <v>425</v>
      </c>
      <c r="E1232" s="216">
        <v>51</v>
      </c>
      <c r="F1232" s="216">
        <v>4398</v>
      </c>
      <c r="G1232" s="216">
        <v>51</v>
      </c>
      <c r="H1232" s="216">
        <v>24</v>
      </c>
      <c r="I1232" s="216">
        <v>63707.519999999997</v>
      </c>
      <c r="J1232" s="216">
        <v>3.77</v>
      </c>
    </row>
    <row r="1233" spans="1:10" ht="18" customHeight="1">
      <c r="A1233" s="227">
        <v>42653</v>
      </c>
      <c r="B1233" s="216" t="s">
        <v>193</v>
      </c>
      <c r="C1233" s="224">
        <v>300009235971</v>
      </c>
      <c r="D1233" s="214" t="s">
        <v>241</v>
      </c>
      <c r="E1233" s="216">
        <v>57</v>
      </c>
      <c r="F1233" s="216">
        <v>3041</v>
      </c>
      <c r="G1233" s="216">
        <v>57</v>
      </c>
      <c r="H1233" s="216">
        <v>25</v>
      </c>
      <c r="I1233" s="216">
        <v>48938.1</v>
      </c>
      <c r="J1233" s="216">
        <v>5.1100000000000003</v>
      </c>
    </row>
    <row r="1234" spans="1:10" ht="18" customHeight="1">
      <c r="A1234" s="227">
        <v>42653</v>
      </c>
      <c r="B1234" s="216" t="s">
        <v>193</v>
      </c>
      <c r="C1234" s="224">
        <v>300008244937</v>
      </c>
      <c r="D1234" s="214" t="s">
        <v>272</v>
      </c>
      <c r="E1234" s="216">
        <v>27</v>
      </c>
      <c r="F1234" s="216">
        <v>1707</v>
      </c>
      <c r="G1234" s="216">
        <v>27</v>
      </c>
      <c r="H1234" s="216">
        <v>6</v>
      </c>
      <c r="I1234" s="216">
        <v>21479.33</v>
      </c>
      <c r="J1234" s="216">
        <v>2.79</v>
      </c>
    </row>
    <row r="1235" spans="1:10" ht="18" customHeight="1">
      <c r="A1235" s="227">
        <v>42653</v>
      </c>
      <c r="B1235" s="216" t="s">
        <v>193</v>
      </c>
      <c r="C1235" s="224">
        <v>300008875665</v>
      </c>
      <c r="D1235" s="214" t="s">
        <v>189</v>
      </c>
      <c r="E1235" s="216">
        <v>15</v>
      </c>
      <c r="F1235" s="216">
        <v>1597</v>
      </c>
      <c r="G1235" s="216">
        <v>15</v>
      </c>
      <c r="H1235" s="216">
        <v>5</v>
      </c>
      <c r="I1235" s="216">
        <v>22303.42</v>
      </c>
      <c r="J1235" s="216">
        <v>2.2400000000000002</v>
      </c>
    </row>
    <row r="1236" spans="1:10" ht="18" customHeight="1">
      <c r="A1236" s="227">
        <v>42653</v>
      </c>
      <c r="B1236" s="216" t="s">
        <v>193</v>
      </c>
      <c r="C1236" s="224">
        <v>300009235974</v>
      </c>
      <c r="D1236" s="214" t="s">
        <v>187</v>
      </c>
      <c r="E1236" s="216">
        <v>9</v>
      </c>
      <c r="F1236" s="216">
        <v>1416</v>
      </c>
      <c r="G1236" s="216">
        <v>9</v>
      </c>
      <c r="H1236" s="216">
        <v>2</v>
      </c>
      <c r="I1236" s="216">
        <v>20744</v>
      </c>
      <c r="J1236" s="216">
        <v>0.96</v>
      </c>
    </row>
    <row r="1237" spans="1:10" ht="18" customHeight="1">
      <c r="A1237" s="227">
        <v>42653</v>
      </c>
      <c r="B1237" s="216" t="s">
        <v>193</v>
      </c>
      <c r="C1237" s="224">
        <v>300008579657</v>
      </c>
      <c r="D1237" s="214" t="s">
        <v>426</v>
      </c>
      <c r="E1237" s="216">
        <v>19</v>
      </c>
      <c r="F1237" s="216">
        <v>1339</v>
      </c>
      <c r="G1237" s="216">
        <v>19</v>
      </c>
      <c r="H1237" s="216">
        <v>4</v>
      </c>
      <c r="I1237" s="216">
        <v>17257.37</v>
      </c>
      <c r="J1237" s="216">
        <v>2.3199999999999998</v>
      </c>
    </row>
    <row r="1238" spans="1:10" ht="18" customHeight="1">
      <c r="A1238" s="227">
        <v>42653</v>
      </c>
      <c r="B1238" s="216" t="s">
        <v>193</v>
      </c>
      <c r="C1238" s="224">
        <v>300009003496</v>
      </c>
      <c r="D1238" s="214" t="s">
        <v>427</v>
      </c>
      <c r="E1238" s="216">
        <v>9</v>
      </c>
      <c r="F1238" s="216">
        <v>14</v>
      </c>
      <c r="G1238" s="216">
        <v>9</v>
      </c>
      <c r="H1238" s="216">
        <v>3</v>
      </c>
      <c r="I1238" s="216">
        <v>150.53</v>
      </c>
      <c r="J1238" s="216">
        <v>3</v>
      </c>
    </row>
    <row r="1239" spans="1:10" ht="18" customHeight="1">
      <c r="A1239" s="227">
        <v>42653</v>
      </c>
      <c r="B1239" s="216" t="s">
        <v>193</v>
      </c>
      <c r="C1239" s="224">
        <v>300008839381</v>
      </c>
      <c r="D1239" s="214" t="s">
        <v>190</v>
      </c>
      <c r="E1239" s="216">
        <v>9</v>
      </c>
      <c r="F1239" s="216" t="s">
        <v>242</v>
      </c>
      <c r="G1239" s="216">
        <v>9</v>
      </c>
      <c r="H1239" s="216">
        <v>1</v>
      </c>
      <c r="I1239" s="216">
        <v>0</v>
      </c>
      <c r="J1239" s="216">
        <v>1</v>
      </c>
    </row>
    <row r="1240" spans="1:10" ht="18" customHeight="1">
      <c r="A1240" s="227">
        <v>42653</v>
      </c>
      <c r="B1240" s="216" t="s">
        <v>227</v>
      </c>
      <c r="C1240" s="224">
        <v>300009192151</v>
      </c>
      <c r="D1240" s="214" t="s">
        <v>430</v>
      </c>
      <c r="E1240" s="216">
        <v>26</v>
      </c>
      <c r="F1240" s="216">
        <v>3730</v>
      </c>
      <c r="G1240" s="216">
        <v>26</v>
      </c>
      <c r="H1240" s="216">
        <v>10</v>
      </c>
      <c r="I1240" s="216">
        <v>99330.6</v>
      </c>
      <c r="J1240" s="216">
        <v>1.01</v>
      </c>
    </row>
    <row r="1241" spans="1:10" ht="18" customHeight="1">
      <c r="A1241" s="227">
        <v>42653</v>
      </c>
      <c r="B1241" s="216" t="s">
        <v>226</v>
      </c>
      <c r="C1241" s="224">
        <v>300009374212</v>
      </c>
      <c r="D1241" s="214" t="s">
        <v>235</v>
      </c>
      <c r="E1241" s="216">
        <v>37</v>
      </c>
      <c r="F1241" s="216">
        <v>4128</v>
      </c>
      <c r="G1241" s="216">
        <v>37</v>
      </c>
      <c r="H1241" s="216">
        <v>10</v>
      </c>
      <c r="I1241" s="216">
        <v>60311.8</v>
      </c>
      <c r="J1241" s="216">
        <v>1.66</v>
      </c>
    </row>
    <row r="1242" spans="1:10" ht="18" customHeight="1">
      <c r="A1242" s="227">
        <v>42653</v>
      </c>
      <c r="B1242" s="216" t="s">
        <v>226</v>
      </c>
      <c r="C1242" s="224">
        <v>300009185572</v>
      </c>
      <c r="D1242" s="214" t="s">
        <v>237</v>
      </c>
      <c r="E1242" s="216">
        <v>31</v>
      </c>
      <c r="F1242" s="216">
        <v>2696</v>
      </c>
      <c r="G1242" s="216">
        <v>31</v>
      </c>
      <c r="H1242" s="216">
        <v>16</v>
      </c>
      <c r="I1242" s="216">
        <v>40198.5</v>
      </c>
      <c r="J1242" s="216">
        <v>3.98</v>
      </c>
    </row>
    <row r="1243" spans="1:10" ht="18" customHeight="1">
      <c r="A1243" s="227">
        <v>42653</v>
      </c>
      <c r="B1243" s="216" t="s">
        <v>226</v>
      </c>
      <c r="C1243" s="224">
        <v>300009406201</v>
      </c>
      <c r="D1243" s="214" t="s">
        <v>234</v>
      </c>
      <c r="E1243" s="216">
        <v>18</v>
      </c>
      <c r="F1243" s="216">
        <v>1611</v>
      </c>
      <c r="G1243" s="216">
        <v>18</v>
      </c>
      <c r="H1243" s="216">
        <v>9</v>
      </c>
      <c r="I1243" s="216">
        <v>24040.6</v>
      </c>
      <c r="J1243" s="216">
        <v>3.74</v>
      </c>
    </row>
    <row r="1244" spans="1:10" ht="18" customHeight="1">
      <c r="A1244" s="227">
        <v>42653</v>
      </c>
      <c r="B1244" s="216" t="s">
        <v>226</v>
      </c>
      <c r="C1244" s="224">
        <v>300009406202</v>
      </c>
      <c r="D1244" s="214" t="s">
        <v>232</v>
      </c>
      <c r="E1244" s="216">
        <v>5</v>
      </c>
      <c r="F1244" s="216">
        <v>684</v>
      </c>
      <c r="G1244" s="216">
        <v>5</v>
      </c>
      <c r="H1244" s="216">
        <v>1</v>
      </c>
      <c r="I1244" s="216">
        <v>10102.299999999999</v>
      </c>
      <c r="J1244" s="216">
        <v>0.99</v>
      </c>
    </row>
    <row r="1245" spans="1:10" ht="18" customHeight="1">
      <c r="A1245" s="227">
        <v>42653</v>
      </c>
      <c r="B1245" s="216" t="s">
        <v>226</v>
      </c>
      <c r="C1245" s="224">
        <v>300009184067</v>
      </c>
      <c r="D1245" s="214" t="s">
        <v>233</v>
      </c>
      <c r="E1245" s="216">
        <v>5</v>
      </c>
      <c r="F1245" s="216" t="s">
        <v>242</v>
      </c>
      <c r="G1245" s="216">
        <v>5</v>
      </c>
      <c r="H1245" s="216">
        <v>0</v>
      </c>
      <c r="I1245" s="216">
        <v>0</v>
      </c>
      <c r="J1245" s="216">
        <v>0</v>
      </c>
    </row>
    <row r="1246" spans="1:10" ht="18" customHeight="1">
      <c r="A1246" s="227">
        <v>42653</v>
      </c>
      <c r="B1246" s="216" t="s">
        <v>226</v>
      </c>
      <c r="C1246" s="224">
        <v>300009374215</v>
      </c>
      <c r="D1246" s="214" t="s">
        <v>236</v>
      </c>
      <c r="E1246" s="216">
        <v>8</v>
      </c>
      <c r="F1246" s="216" t="s">
        <v>242</v>
      </c>
      <c r="G1246" s="216">
        <v>8</v>
      </c>
      <c r="H1246" s="216">
        <v>2</v>
      </c>
      <c r="I1246" s="216">
        <v>0</v>
      </c>
      <c r="J1246" s="216">
        <v>2</v>
      </c>
    </row>
    <row r="1247" spans="1:10" ht="18" customHeight="1">
      <c r="A1247" s="227">
        <v>42654</v>
      </c>
      <c r="B1247" s="216" t="s">
        <v>459</v>
      </c>
      <c r="C1247" s="224">
        <v>300009358277</v>
      </c>
      <c r="D1247" s="214" t="s">
        <v>429</v>
      </c>
      <c r="E1247" s="216">
        <v>353</v>
      </c>
      <c r="F1247" s="216">
        <v>35744</v>
      </c>
      <c r="G1247" s="216">
        <v>98.76</v>
      </c>
      <c r="H1247" s="216">
        <v>230</v>
      </c>
      <c r="I1247" s="216">
        <v>972539.5</v>
      </c>
      <c r="J1247" s="216">
        <v>2.36</v>
      </c>
    </row>
    <row r="1248" spans="1:10" ht="18" customHeight="1">
      <c r="A1248" s="227">
        <v>42654</v>
      </c>
      <c r="B1248" s="216" t="s">
        <v>474</v>
      </c>
      <c r="C1248" s="224">
        <v>300009480238</v>
      </c>
      <c r="D1248" s="214" t="s">
        <v>263</v>
      </c>
      <c r="E1248" s="216">
        <v>55</v>
      </c>
      <c r="F1248" s="216">
        <v>2876</v>
      </c>
      <c r="G1248" s="216">
        <v>55</v>
      </c>
      <c r="H1248" s="216">
        <v>26</v>
      </c>
      <c r="I1248" s="216">
        <v>45202.8</v>
      </c>
      <c r="J1248" s="216">
        <v>5.75</v>
      </c>
    </row>
    <row r="1249" spans="1:10" ht="18" customHeight="1">
      <c r="A1249" s="227">
        <v>42654</v>
      </c>
      <c r="B1249" s="216" t="s">
        <v>193</v>
      </c>
      <c r="C1249" s="224">
        <v>300009000071</v>
      </c>
      <c r="D1249" s="216" t="s">
        <v>425</v>
      </c>
      <c r="E1249" s="216">
        <v>49</v>
      </c>
      <c r="F1249" s="216">
        <v>3880</v>
      </c>
      <c r="G1249" s="216">
        <v>49</v>
      </c>
      <c r="H1249" s="216">
        <v>24</v>
      </c>
      <c r="I1249" s="216">
        <v>54873.87</v>
      </c>
      <c r="J1249" s="216">
        <v>4.37</v>
      </c>
    </row>
    <row r="1250" spans="1:10" ht="18" customHeight="1">
      <c r="A1250" s="227">
        <v>42654</v>
      </c>
      <c r="B1250" s="216" t="s">
        <v>193</v>
      </c>
      <c r="C1250" s="224">
        <v>300009235971</v>
      </c>
      <c r="D1250" s="214" t="s">
        <v>241</v>
      </c>
      <c r="E1250" s="216">
        <v>55</v>
      </c>
      <c r="F1250" s="216">
        <v>2485</v>
      </c>
      <c r="G1250" s="216">
        <v>55</v>
      </c>
      <c r="H1250" s="216">
        <v>23</v>
      </c>
      <c r="I1250" s="216">
        <v>38155.5</v>
      </c>
      <c r="J1250" s="216">
        <v>6.03</v>
      </c>
    </row>
    <row r="1251" spans="1:10" ht="18" customHeight="1">
      <c r="A1251" s="227">
        <v>42654</v>
      </c>
      <c r="B1251" s="216" t="s">
        <v>193</v>
      </c>
      <c r="C1251" s="224">
        <v>300008244937</v>
      </c>
      <c r="D1251" s="214" t="s">
        <v>272</v>
      </c>
      <c r="E1251" s="216">
        <v>27</v>
      </c>
      <c r="F1251" s="216">
        <v>1707</v>
      </c>
      <c r="G1251" s="216">
        <v>27</v>
      </c>
      <c r="H1251" s="216">
        <v>6</v>
      </c>
      <c r="I1251" s="216">
        <v>21479.33</v>
      </c>
      <c r="J1251" s="216">
        <v>2.79</v>
      </c>
    </row>
    <row r="1252" spans="1:10" ht="18" customHeight="1">
      <c r="A1252" s="227">
        <v>42654</v>
      </c>
      <c r="B1252" s="216" t="s">
        <v>193</v>
      </c>
      <c r="C1252" s="224">
        <v>300008875665</v>
      </c>
      <c r="D1252" s="214" t="s">
        <v>189</v>
      </c>
      <c r="E1252" s="216">
        <v>13</v>
      </c>
      <c r="F1252" s="216">
        <v>1509</v>
      </c>
      <c r="G1252" s="216">
        <v>13</v>
      </c>
      <c r="H1252" s="216">
        <v>4</v>
      </c>
      <c r="I1252" s="216">
        <v>20684.419999999998</v>
      </c>
      <c r="J1252" s="216">
        <v>1.93</v>
      </c>
    </row>
    <row r="1253" spans="1:10" ht="18" customHeight="1">
      <c r="A1253" s="227">
        <v>42654</v>
      </c>
      <c r="B1253" s="216" t="s">
        <v>193</v>
      </c>
      <c r="C1253" s="224">
        <v>300009235974</v>
      </c>
      <c r="D1253" s="214" t="s">
        <v>187</v>
      </c>
      <c r="E1253" s="216">
        <v>7</v>
      </c>
      <c r="F1253" s="216">
        <v>1342</v>
      </c>
      <c r="G1253" s="216">
        <v>7</v>
      </c>
      <c r="H1253" s="216">
        <v>1</v>
      </c>
      <c r="I1253" s="216">
        <v>19373.099999999999</v>
      </c>
      <c r="J1253" s="216">
        <v>0.52</v>
      </c>
    </row>
    <row r="1254" spans="1:10" ht="18" customHeight="1">
      <c r="A1254" s="227">
        <v>42654</v>
      </c>
      <c r="B1254" s="216" t="s">
        <v>193</v>
      </c>
      <c r="C1254" s="224">
        <v>300008579657</v>
      </c>
      <c r="D1254" s="214" t="s">
        <v>426</v>
      </c>
      <c r="E1254" s="216">
        <v>19</v>
      </c>
      <c r="F1254" s="216">
        <v>1339</v>
      </c>
      <c r="G1254" s="216">
        <v>19</v>
      </c>
      <c r="H1254" s="216">
        <v>4</v>
      </c>
      <c r="I1254" s="216">
        <v>17257.37</v>
      </c>
      <c r="J1254" s="216">
        <v>2.3199999999999998</v>
      </c>
    </row>
    <row r="1255" spans="1:10" ht="18" customHeight="1">
      <c r="A1255" s="227">
        <v>42654</v>
      </c>
      <c r="B1255" s="216" t="s">
        <v>193</v>
      </c>
      <c r="C1255" s="224">
        <v>300009003496</v>
      </c>
      <c r="D1255" s="214" t="s">
        <v>427</v>
      </c>
      <c r="E1255" s="216">
        <v>9</v>
      </c>
      <c r="F1255" s="216">
        <v>14</v>
      </c>
      <c r="G1255" s="216">
        <v>9</v>
      </c>
      <c r="H1255" s="216">
        <v>3</v>
      </c>
      <c r="I1255" s="216">
        <v>150.53</v>
      </c>
      <c r="J1255" s="216">
        <v>3</v>
      </c>
    </row>
    <row r="1256" spans="1:10" ht="18" customHeight="1">
      <c r="A1256" s="227">
        <v>42654</v>
      </c>
      <c r="B1256" s="216" t="s">
        <v>193</v>
      </c>
      <c r="C1256" s="224">
        <v>300008839381</v>
      </c>
      <c r="D1256" s="214" t="s">
        <v>190</v>
      </c>
      <c r="E1256" s="216">
        <v>9</v>
      </c>
      <c r="F1256" s="216" t="s">
        <v>242</v>
      </c>
      <c r="G1256" s="216">
        <v>9</v>
      </c>
      <c r="H1256" s="216">
        <v>1</v>
      </c>
      <c r="I1256" s="216">
        <v>0</v>
      </c>
      <c r="J1256" s="216">
        <v>1</v>
      </c>
    </row>
    <row r="1257" spans="1:10" ht="18" customHeight="1">
      <c r="A1257" s="227">
        <v>42654</v>
      </c>
      <c r="B1257" s="216" t="s">
        <v>227</v>
      </c>
      <c r="C1257" s="224">
        <v>300009192151</v>
      </c>
      <c r="D1257" s="214" t="s">
        <v>430</v>
      </c>
      <c r="E1257" s="216">
        <v>27</v>
      </c>
      <c r="F1257" s="216">
        <v>3865</v>
      </c>
      <c r="G1257" s="216">
        <v>27</v>
      </c>
      <c r="H1257" s="216">
        <v>10</v>
      </c>
      <c r="I1257" s="216">
        <v>102904.4</v>
      </c>
      <c r="J1257" s="216">
        <v>0.97</v>
      </c>
    </row>
    <row r="1258" spans="1:10" ht="18" customHeight="1">
      <c r="A1258" s="227">
        <v>42654</v>
      </c>
      <c r="B1258" s="216" t="s">
        <v>226</v>
      </c>
      <c r="C1258" s="224">
        <v>300009374212</v>
      </c>
      <c r="D1258" s="214" t="s">
        <v>235</v>
      </c>
      <c r="E1258" s="216">
        <v>37</v>
      </c>
      <c r="F1258" s="216">
        <v>4128</v>
      </c>
      <c r="G1258" s="216">
        <v>37</v>
      </c>
      <c r="H1258" s="216">
        <v>10</v>
      </c>
      <c r="I1258" s="216">
        <v>60311.8</v>
      </c>
      <c r="J1258" s="216">
        <v>1.66</v>
      </c>
    </row>
    <row r="1259" spans="1:10" ht="18" customHeight="1">
      <c r="A1259" s="227">
        <v>42654</v>
      </c>
      <c r="B1259" s="216" t="s">
        <v>226</v>
      </c>
      <c r="C1259" s="224">
        <v>300009185572</v>
      </c>
      <c r="D1259" s="214" t="s">
        <v>237</v>
      </c>
      <c r="E1259" s="216">
        <v>33</v>
      </c>
      <c r="F1259" s="216">
        <v>2707</v>
      </c>
      <c r="G1259" s="216">
        <v>33</v>
      </c>
      <c r="H1259" s="216">
        <v>18</v>
      </c>
      <c r="I1259" s="216">
        <v>40348.9</v>
      </c>
      <c r="J1259" s="216">
        <v>4.46</v>
      </c>
    </row>
    <row r="1260" spans="1:10" ht="18" customHeight="1">
      <c r="A1260" s="227">
        <v>42654</v>
      </c>
      <c r="B1260" s="216" t="s">
        <v>226</v>
      </c>
      <c r="C1260" s="224">
        <v>300009406201</v>
      </c>
      <c r="D1260" s="214" t="s">
        <v>234</v>
      </c>
      <c r="E1260" s="216">
        <v>19</v>
      </c>
      <c r="F1260" s="216">
        <v>1886</v>
      </c>
      <c r="G1260" s="216">
        <v>19</v>
      </c>
      <c r="H1260" s="216">
        <v>9</v>
      </c>
      <c r="I1260" s="216">
        <v>28442.1</v>
      </c>
      <c r="J1260" s="216">
        <v>3.16</v>
      </c>
    </row>
    <row r="1261" spans="1:10" ht="18" customHeight="1">
      <c r="A1261" s="227">
        <v>42654</v>
      </c>
      <c r="B1261" s="216" t="s">
        <v>226</v>
      </c>
      <c r="C1261" s="224">
        <v>300009406202</v>
      </c>
      <c r="D1261" s="214" t="s">
        <v>232</v>
      </c>
      <c r="E1261" s="216">
        <v>7</v>
      </c>
      <c r="F1261" s="216">
        <v>944</v>
      </c>
      <c r="G1261" s="216">
        <v>7</v>
      </c>
      <c r="H1261" s="216">
        <v>3</v>
      </c>
      <c r="I1261" s="216">
        <v>14228.1</v>
      </c>
      <c r="J1261" s="216">
        <v>2.11</v>
      </c>
    </row>
    <row r="1262" spans="1:10" ht="18" customHeight="1">
      <c r="A1262" s="227">
        <v>42654</v>
      </c>
      <c r="B1262" s="216" t="s">
        <v>226</v>
      </c>
      <c r="C1262" s="224">
        <v>300009184067</v>
      </c>
      <c r="D1262" s="214" t="s">
        <v>233</v>
      </c>
      <c r="E1262" s="216">
        <v>6</v>
      </c>
      <c r="F1262" s="216" t="s">
        <v>242</v>
      </c>
      <c r="G1262" s="216">
        <v>6</v>
      </c>
      <c r="H1262" s="216">
        <v>1</v>
      </c>
      <c r="I1262" s="216">
        <v>0</v>
      </c>
      <c r="J1262" s="216">
        <v>1</v>
      </c>
    </row>
    <row r="1263" spans="1:10" ht="18" customHeight="1">
      <c r="A1263" s="227">
        <v>42654</v>
      </c>
      <c r="B1263" s="216" t="s">
        <v>226</v>
      </c>
      <c r="C1263" s="224">
        <v>300009374215</v>
      </c>
      <c r="D1263" s="214" t="s">
        <v>236</v>
      </c>
      <c r="E1263" s="216">
        <v>9</v>
      </c>
      <c r="F1263" s="216" t="s">
        <v>242</v>
      </c>
      <c r="G1263" s="216">
        <v>9</v>
      </c>
      <c r="H1263" s="216">
        <v>3</v>
      </c>
      <c r="I1263" s="216">
        <v>0</v>
      </c>
      <c r="J1263" s="216">
        <v>3</v>
      </c>
    </row>
    <row r="1264" spans="1:10" ht="18" customHeight="1">
      <c r="A1264" s="227">
        <v>42655</v>
      </c>
      <c r="B1264" s="216" t="s">
        <v>459</v>
      </c>
      <c r="C1264" s="224">
        <v>300009358277</v>
      </c>
      <c r="D1264" s="214" t="s">
        <v>429</v>
      </c>
      <c r="E1264" s="216">
        <v>359</v>
      </c>
      <c r="F1264" s="216">
        <v>35467</v>
      </c>
      <c r="G1264" s="216">
        <v>101.22</v>
      </c>
      <c r="H1264" s="216">
        <v>235</v>
      </c>
      <c r="I1264" s="216">
        <v>970113</v>
      </c>
      <c r="J1264" s="216">
        <v>2.42</v>
      </c>
    </row>
    <row r="1265" spans="1:10" ht="18" customHeight="1">
      <c r="A1265" s="227">
        <v>42655</v>
      </c>
      <c r="B1265" s="216" t="s">
        <v>474</v>
      </c>
      <c r="C1265" s="224">
        <v>300009480238</v>
      </c>
      <c r="D1265" s="214" t="s">
        <v>263</v>
      </c>
      <c r="E1265" s="216">
        <v>4</v>
      </c>
      <c r="F1265" s="216">
        <v>1</v>
      </c>
      <c r="G1265" s="216">
        <v>4</v>
      </c>
      <c r="H1265" s="216">
        <v>2</v>
      </c>
      <c r="I1265" s="216">
        <v>40</v>
      </c>
      <c r="J1265" s="216">
        <v>2</v>
      </c>
    </row>
    <row r="1266" spans="1:10" ht="18" customHeight="1">
      <c r="A1266" s="227">
        <v>42655</v>
      </c>
      <c r="B1266" s="216" t="s">
        <v>193</v>
      </c>
      <c r="C1266" s="224">
        <v>300009000071</v>
      </c>
      <c r="D1266" s="216" t="s">
        <v>425</v>
      </c>
      <c r="E1266" s="216">
        <v>49</v>
      </c>
      <c r="F1266" s="216">
        <v>3340</v>
      </c>
      <c r="G1266" s="216">
        <v>49</v>
      </c>
      <c r="H1266" s="216">
        <v>24</v>
      </c>
      <c r="I1266" s="216">
        <v>47578.14</v>
      </c>
      <c r="J1266" s="216">
        <v>5.04</v>
      </c>
    </row>
    <row r="1267" spans="1:10" ht="18" customHeight="1">
      <c r="A1267" s="227">
        <v>42655</v>
      </c>
      <c r="B1267" s="216" t="s">
        <v>193</v>
      </c>
      <c r="C1267" s="224">
        <v>300009235971</v>
      </c>
      <c r="D1267" s="214" t="s">
        <v>241</v>
      </c>
      <c r="E1267" s="216">
        <v>50</v>
      </c>
      <c r="F1267" s="216">
        <v>1987</v>
      </c>
      <c r="G1267" s="216">
        <v>50</v>
      </c>
      <c r="H1267" s="216">
        <v>19</v>
      </c>
      <c r="I1267" s="216">
        <v>28580</v>
      </c>
      <c r="J1267" s="216">
        <v>6.65</v>
      </c>
    </row>
    <row r="1268" spans="1:10" ht="18" customHeight="1">
      <c r="A1268" s="227">
        <v>42655</v>
      </c>
      <c r="B1268" s="216" t="s">
        <v>193</v>
      </c>
      <c r="C1268" s="224">
        <v>300008244937</v>
      </c>
      <c r="D1268" s="214" t="s">
        <v>272</v>
      </c>
      <c r="E1268" s="216">
        <v>27</v>
      </c>
      <c r="F1268" s="216">
        <v>1707</v>
      </c>
      <c r="G1268" s="216">
        <v>27</v>
      </c>
      <c r="H1268" s="216">
        <v>6</v>
      </c>
      <c r="I1268" s="216">
        <v>21479.33</v>
      </c>
      <c r="J1268" s="216">
        <v>2.79</v>
      </c>
    </row>
    <row r="1269" spans="1:10" ht="18" customHeight="1">
      <c r="A1269" s="227">
        <v>42655</v>
      </c>
      <c r="B1269" s="216" t="s">
        <v>193</v>
      </c>
      <c r="C1269" s="224">
        <v>300008579657</v>
      </c>
      <c r="D1269" s="214" t="s">
        <v>426</v>
      </c>
      <c r="E1269" s="216">
        <v>19</v>
      </c>
      <c r="F1269" s="216">
        <v>1339</v>
      </c>
      <c r="G1269" s="216">
        <v>19</v>
      </c>
      <c r="H1269" s="216">
        <v>4</v>
      </c>
      <c r="I1269" s="216">
        <v>17257.37</v>
      </c>
      <c r="J1269" s="216">
        <v>2.3199999999999998</v>
      </c>
    </row>
    <row r="1270" spans="1:10" ht="18" customHeight="1">
      <c r="A1270" s="227">
        <v>42655</v>
      </c>
      <c r="B1270" s="216" t="s">
        <v>193</v>
      </c>
      <c r="C1270" s="224">
        <v>300008875665</v>
      </c>
      <c r="D1270" s="214" t="s">
        <v>189</v>
      </c>
      <c r="E1270" s="216">
        <v>13</v>
      </c>
      <c r="F1270" s="216">
        <v>1319</v>
      </c>
      <c r="G1270" s="216">
        <v>13</v>
      </c>
      <c r="H1270" s="216">
        <v>4</v>
      </c>
      <c r="I1270" s="216">
        <v>17882.45</v>
      </c>
      <c r="J1270" s="216">
        <v>2.2400000000000002</v>
      </c>
    </row>
    <row r="1271" spans="1:10" ht="18" customHeight="1">
      <c r="A1271" s="227">
        <v>42655</v>
      </c>
      <c r="B1271" s="216" t="s">
        <v>193</v>
      </c>
      <c r="C1271" s="224">
        <v>300009235974</v>
      </c>
      <c r="D1271" s="214" t="s">
        <v>187</v>
      </c>
      <c r="E1271" s="216">
        <v>7</v>
      </c>
      <c r="F1271" s="216">
        <v>1190</v>
      </c>
      <c r="G1271" s="216">
        <v>7</v>
      </c>
      <c r="H1271" s="216">
        <v>1</v>
      </c>
      <c r="I1271" s="216">
        <v>17232.599999999999</v>
      </c>
      <c r="J1271" s="216">
        <v>0.57999999999999996</v>
      </c>
    </row>
    <row r="1272" spans="1:10" ht="18" customHeight="1">
      <c r="A1272" s="227">
        <v>42655</v>
      </c>
      <c r="B1272" s="216" t="s">
        <v>193</v>
      </c>
      <c r="C1272" s="224">
        <v>300009003496</v>
      </c>
      <c r="D1272" s="214" t="s">
        <v>427</v>
      </c>
      <c r="E1272" s="216">
        <v>9</v>
      </c>
      <c r="F1272" s="216">
        <v>14</v>
      </c>
      <c r="G1272" s="216">
        <v>9</v>
      </c>
      <c r="H1272" s="216">
        <v>3</v>
      </c>
      <c r="I1272" s="216">
        <v>150.53</v>
      </c>
      <c r="J1272" s="216">
        <v>3</v>
      </c>
    </row>
    <row r="1273" spans="1:10" ht="18" customHeight="1">
      <c r="A1273" s="227">
        <v>42655</v>
      </c>
      <c r="B1273" s="216" t="s">
        <v>193</v>
      </c>
      <c r="C1273" s="224">
        <v>300008839381</v>
      </c>
      <c r="D1273" s="214" t="s">
        <v>190</v>
      </c>
      <c r="E1273" s="216">
        <v>9</v>
      </c>
      <c r="F1273" s="216" t="s">
        <v>242</v>
      </c>
      <c r="G1273" s="216">
        <v>9</v>
      </c>
      <c r="H1273" s="216">
        <v>1</v>
      </c>
      <c r="I1273" s="216">
        <v>0</v>
      </c>
      <c r="J1273" s="216">
        <v>1</v>
      </c>
    </row>
    <row r="1274" spans="1:10" ht="18" customHeight="1">
      <c r="A1274" s="227">
        <v>42655</v>
      </c>
      <c r="B1274" s="216" t="s">
        <v>227</v>
      </c>
      <c r="C1274" s="224">
        <v>300009192151</v>
      </c>
      <c r="D1274" s="214" t="s">
        <v>430</v>
      </c>
      <c r="E1274" s="216">
        <v>29</v>
      </c>
      <c r="F1274" s="216">
        <v>4021</v>
      </c>
      <c r="G1274" s="216">
        <v>29</v>
      </c>
      <c r="H1274" s="216">
        <v>12</v>
      </c>
      <c r="I1274" s="216">
        <v>107770.7</v>
      </c>
      <c r="J1274" s="216">
        <v>1.1100000000000001</v>
      </c>
    </row>
    <row r="1275" spans="1:10" ht="18" customHeight="1">
      <c r="A1275" s="227">
        <v>42655</v>
      </c>
      <c r="B1275" s="216" t="s">
        <v>226</v>
      </c>
      <c r="C1275" s="224">
        <v>300009185572</v>
      </c>
      <c r="D1275" s="214" t="s">
        <v>237</v>
      </c>
      <c r="E1275" s="216">
        <v>37</v>
      </c>
      <c r="F1275" s="216">
        <v>2707</v>
      </c>
      <c r="G1275" s="216">
        <v>37</v>
      </c>
      <c r="H1275" s="216">
        <v>19</v>
      </c>
      <c r="I1275" s="216">
        <v>40348.9</v>
      </c>
      <c r="J1275" s="216">
        <v>4.71</v>
      </c>
    </row>
    <row r="1276" spans="1:10" ht="18" customHeight="1">
      <c r="A1276" s="227">
        <v>42655</v>
      </c>
      <c r="B1276" s="216" t="s">
        <v>226</v>
      </c>
      <c r="C1276" s="224">
        <v>300009406201</v>
      </c>
      <c r="D1276" s="214" t="s">
        <v>234</v>
      </c>
      <c r="E1276" s="216">
        <v>20</v>
      </c>
      <c r="F1276" s="216">
        <v>2119</v>
      </c>
      <c r="G1276" s="216">
        <v>20</v>
      </c>
      <c r="H1276" s="216">
        <v>10</v>
      </c>
      <c r="I1276" s="216">
        <v>32197.599999999999</v>
      </c>
      <c r="J1276" s="216">
        <v>3.11</v>
      </c>
    </row>
    <row r="1277" spans="1:10" ht="18" customHeight="1">
      <c r="A1277" s="227">
        <v>42655</v>
      </c>
      <c r="B1277" s="216" t="s">
        <v>226</v>
      </c>
      <c r="C1277" s="224">
        <v>300009406202</v>
      </c>
      <c r="D1277" s="214" t="s">
        <v>232</v>
      </c>
      <c r="E1277" s="216">
        <v>7</v>
      </c>
      <c r="F1277" s="216">
        <v>1194</v>
      </c>
      <c r="G1277" s="216">
        <v>7</v>
      </c>
      <c r="H1277" s="216">
        <v>3</v>
      </c>
      <c r="I1277" s="216">
        <v>18336</v>
      </c>
      <c r="J1277" s="216">
        <v>1.64</v>
      </c>
    </row>
    <row r="1278" spans="1:10" ht="18" customHeight="1">
      <c r="A1278" s="227">
        <v>42655</v>
      </c>
      <c r="B1278" s="216" t="s">
        <v>226</v>
      </c>
      <c r="C1278" s="224">
        <v>300009184067</v>
      </c>
      <c r="D1278" s="214" t="s">
        <v>233</v>
      </c>
      <c r="E1278" s="216">
        <v>6</v>
      </c>
      <c r="F1278" s="216" t="s">
        <v>242</v>
      </c>
      <c r="G1278" s="216">
        <v>6</v>
      </c>
      <c r="H1278" s="216">
        <v>1</v>
      </c>
      <c r="I1278" s="216">
        <v>0</v>
      </c>
      <c r="J1278" s="216">
        <v>1</v>
      </c>
    </row>
    <row r="1279" spans="1:10" ht="18" customHeight="1">
      <c r="A1279" s="227">
        <v>42655</v>
      </c>
      <c r="B1279" s="216" t="s">
        <v>226</v>
      </c>
      <c r="C1279" s="224">
        <v>300009374215</v>
      </c>
      <c r="D1279" s="214" t="s">
        <v>236</v>
      </c>
      <c r="E1279" s="216">
        <v>9</v>
      </c>
      <c r="F1279" s="216" t="s">
        <v>242</v>
      </c>
      <c r="G1279" s="216">
        <v>9</v>
      </c>
      <c r="H1279" s="216">
        <v>3</v>
      </c>
      <c r="I1279" s="216">
        <v>0</v>
      </c>
      <c r="J1279" s="216">
        <v>3</v>
      </c>
    </row>
    <row r="1280" spans="1:10" ht="18" customHeight="1">
      <c r="A1280" s="227">
        <v>42656</v>
      </c>
      <c r="B1280" s="216" t="s">
        <v>459</v>
      </c>
      <c r="C1280" s="224">
        <v>300009358277</v>
      </c>
      <c r="D1280" s="214" t="s">
        <v>429</v>
      </c>
      <c r="E1280" s="216">
        <v>363</v>
      </c>
      <c r="F1280" s="216">
        <v>35022</v>
      </c>
      <c r="G1280" s="216">
        <v>103.65</v>
      </c>
      <c r="H1280" s="216">
        <v>240</v>
      </c>
      <c r="I1280" s="216">
        <v>962805.4</v>
      </c>
      <c r="J1280" s="216">
        <v>2.4900000000000002</v>
      </c>
    </row>
    <row r="1281" spans="1:10" ht="18" customHeight="1">
      <c r="A1281" s="227">
        <v>42656</v>
      </c>
      <c r="B1281" s="216" t="s">
        <v>474</v>
      </c>
      <c r="C1281" s="224">
        <v>300009480238</v>
      </c>
      <c r="D1281" s="214" t="s">
        <v>263</v>
      </c>
      <c r="E1281" s="216">
        <v>6</v>
      </c>
      <c r="F1281" s="216">
        <v>5</v>
      </c>
      <c r="G1281" s="216">
        <v>6</v>
      </c>
      <c r="H1281" s="216">
        <v>2</v>
      </c>
      <c r="I1281" s="216">
        <v>97</v>
      </c>
      <c r="J1281" s="216">
        <v>2</v>
      </c>
    </row>
    <row r="1282" spans="1:10" ht="18" customHeight="1">
      <c r="A1282" s="227">
        <v>42656</v>
      </c>
      <c r="B1282" s="216" t="s">
        <v>193</v>
      </c>
      <c r="C1282" s="224">
        <v>300009000071</v>
      </c>
      <c r="D1282" s="216" t="s">
        <v>425</v>
      </c>
      <c r="E1282" s="216">
        <v>47</v>
      </c>
      <c r="F1282" s="216">
        <v>2992</v>
      </c>
      <c r="G1282" s="216">
        <v>47</v>
      </c>
      <c r="H1282" s="216">
        <v>22</v>
      </c>
      <c r="I1282" s="216">
        <v>42988.15</v>
      </c>
      <c r="J1282" s="216">
        <v>5.12</v>
      </c>
    </row>
    <row r="1283" spans="1:10" ht="18" customHeight="1">
      <c r="A1283" s="227">
        <v>42656</v>
      </c>
      <c r="B1283" s="216" t="s">
        <v>193</v>
      </c>
      <c r="C1283" s="224">
        <v>300008244937</v>
      </c>
      <c r="D1283" s="214" t="s">
        <v>272</v>
      </c>
      <c r="E1283" s="216">
        <v>28</v>
      </c>
      <c r="F1283" s="216">
        <v>1707</v>
      </c>
      <c r="G1283" s="216">
        <v>28</v>
      </c>
      <c r="H1283" s="216">
        <v>6</v>
      </c>
      <c r="I1283" s="216">
        <v>21479.33</v>
      </c>
      <c r="J1283" s="216">
        <v>2.79</v>
      </c>
    </row>
    <row r="1284" spans="1:10" ht="18" customHeight="1">
      <c r="A1284" s="227">
        <v>42656</v>
      </c>
      <c r="B1284" s="216" t="s">
        <v>193</v>
      </c>
      <c r="C1284" s="224">
        <v>300009235971</v>
      </c>
      <c r="D1284" s="214" t="s">
        <v>241</v>
      </c>
      <c r="E1284" s="216">
        <v>42</v>
      </c>
      <c r="F1284" s="216">
        <v>1699</v>
      </c>
      <c r="G1284" s="216">
        <v>42</v>
      </c>
      <c r="H1284" s="216">
        <v>14</v>
      </c>
      <c r="I1284" s="216">
        <v>23501.200000000001</v>
      </c>
      <c r="J1284" s="216">
        <v>5.96</v>
      </c>
    </row>
    <row r="1285" spans="1:10" ht="18" customHeight="1">
      <c r="A1285" s="227">
        <v>42656</v>
      </c>
      <c r="B1285" s="216" t="s">
        <v>193</v>
      </c>
      <c r="C1285" s="224">
        <v>300008579657</v>
      </c>
      <c r="D1285" s="214" t="s">
        <v>426</v>
      </c>
      <c r="E1285" s="216">
        <v>20</v>
      </c>
      <c r="F1285" s="216">
        <v>1339</v>
      </c>
      <c r="G1285" s="216">
        <v>20</v>
      </c>
      <c r="H1285" s="216">
        <v>4</v>
      </c>
      <c r="I1285" s="216">
        <v>17257.37</v>
      </c>
      <c r="J1285" s="216">
        <v>2.3199999999999998</v>
      </c>
    </row>
    <row r="1286" spans="1:10" ht="18" customHeight="1">
      <c r="A1286" s="227">
        <v>42656</v>
      </c>
      <c r="B1286" s="216" t="s">
        <v>193</v>
      </c>
      <c r="C1286" s="224">
        <v>300008875665</v>
      </c>
      <c r="D1286" s="214" t="s">
        <v>189</v>
      </c>
      <c r="E1286" s="216">
        <v>13</v>
      </c>
      <c r="F1286" s="216">
        <v>989</v>
      </c>
      <c r="G1286" s="216">
        <v>13</v>
      </c>
      <c r="H1286" s="216">
        <v>4</v>
      </c>
      <c r="I1286" s="216">
        <v>13085.61</v>
      </c>
      <c r="J1286" s="216">
        <v>3.06</v>
      </c>
    </row>
    <row r="1287" spans="1:10" ht="18" customHeight="1">
      <c r="A1287" s="227">
        <v>42656</v>
      </c>
      <c r="B1287" s="216" t="s">
        <v>193</v>
      </c>
      <c r="C1287" s="224">
        <v>300009235974</v>
      </c>
      <c r="D1287" s="214" t="s">
        <v>187</v>
      </c>
      <c r="E1287" s="216">
        <v>6</v>
      </c>
      <c r="F1287" s="216">
        <v>908</v>
      </c>
      <c r="G1287" s="216">
        <v>6</v>
      </c>
      <c r="H1287" s="216">
        <v>1</v>
      </c>
      <c r="I1287" s="216">
        <v>13251.1</v>
      </c>
      <c r="J1287" s="216">
        <v>0.75</v>
      </c>
    </row>
    <row r="1288" spans="1:10" ht="18" customHeight="1">
      <c r="A1288" s="227">
        <v>42656</v>
      </c>
      <c r="B1288" s="216" t="s">
        <v>193</v>
      </c>
      <c r="C1288" s="224">
        <v>300009003496</v>
      </c>
      <c r="D1288" s="214" t="s">
        <v>427</v>
      </c>
      <c r="E1288" s="216">
        <v>9</v>
      </c>
      <c r="F1288" s="216">
        <v>14</v>
      </c>
      <c r="G1288" s="216">
        <v>9</v>
      </c>
      <c r="H1288" s="216">
        <v>3</v>
      </c>
      <c r="I1288" s="216">
        <v>150.53</v>
      </c>
      <c r="J1288" s="216">
        <v>3</v>
      </c>
    </row>
    <row r="1289" spans="1:10" ht="18" customHeight="1">
      <c r="A1289" s="227">
        <v>42656</v>
      </c>
      <c r="B1289" s="216" t="s">
        <v>193</v>
      </c>
      <c r="C1289" s="224">
        <v>300008839381</v>
      </c>
      <c r="D1289" s="214" t="s">
        <v>190</v>
      </c>
      <c r="E1289" s="216">
        <v>9</v>
      </c>
      <c r="F1289" s="216" t="s">
        <v>242</v>
      </c>
      <c r="G1289" s="216">
        <v>9</v>
      </c>
      <c r="H1289" s="216">
        <v>1</v>
      </c>
      <c r="I1289" s="216">
        <v>0</v>
      </c>
      <c r="J1289" s="216">
        <v>1</v>
      </c>
    </row>
    <row r="1290" spans="1:10" ht="18" customHeight="1">
      <c r="A1290" s="227">
        <v>42656</v>
      </c>
      <c r="B1290" s="216" t="s">
        <v>227</v>
      </c>
      <c r="C1290" s="224">
        <v>300009192151</v>
      </c>
      <c r="D1290" s="214" t="s">
        <v>430</v>
      </c>
      <c r="E1290" s="216">
        <v>32</v>
      </c>
      <c r="F1290" s="216">
        <v>4188</v>
      </c>
      <c r="G1290" s="216">
        <v>32</v>
      </c>
      <c r="H1290" s="216">
        <v>14</v>
      </c>
      <c r="I1290" s="216">
        <v>112768.2</v>
      </c>
      <c r="J1290" s="216">
        <v>1.24</v>
      </c>
    </row>
    <row r="1291" spans="1:10" ht="18" customHeight="1">
      <c r="A1291" s="227">
        <v>42656</v>
      </c>
      <c r="B1291" s="216" t="s">
        <v>226</v>
      </c>
      <c r="C1291" s="224">
        <v>300009185572</v>
      </c>
      <c r="D1291" s="214" t="s">
        <v>237</v>
      </c>
      <c r="E1291" s="216">
        <v>38</v>
      </c>
      <c r="F1291" s="216">
        <v>2707</v>
      </c>
      <c r="G1291" s="216">
        <v>38</v>
      </c>
      <c r="H1291" s="216">
        <v>20</v>
      </c>
      <c r="I1291" s="216">
        <v>40348.9</v>
      </c>
      <c r="J1291" s="216">
        <v>4.96</v>
      </c>
    </row>
    <row r="1292" spans="1:10" ht="18" customHeight="1">
      <c r="A1292" s="227">
        <v>42656</v>
      </c>
      <c r="B1292" s="216" t="s">
        <v>226</v>
      </c>
      <c r="C1292" s="224">
        <v>300009406201</v>
      </c>
      <c r="D1292" s="214" t="s">
        <v>234</v>
      </c>
      <c r="E1292" s="216">
        <v>24</v>
      </c>
      <c r="F1292" s="216">
        <v>2198</v>
      </c>
      <c r="G1292" s="216">
        <v>24</v>
      </c>
      <c r="H1292" s="216">
        <v>11</v>
      </c>
      <c r="I1292" s="216">
        <v>33471.599999999999</v>
      </c>
      <c r="J1292" s="216">
        <v>3.29</v>
      </c>
    </row>
    <row r="1293" spans="1:10" ht="18" customHeight="1">
      <c r="A1293" s="227">
        <v>42656</v>
      </c>
      <c r="B1293" s="216" t="s">
        <v>226</v>
      </c>
      <c r="C1293" s="224">
        <v>300009406202</v>
      </c>
      <c r="D1293" s="214" t="s">
        <v>232</v>
      </c>
      <c r="E1293" s="216">
        <v>11</v>
      </c>
      <c r="F1293" s="216">
        <v>1266</v>
      </c>
      <c r="G1293" s="216">
        <v>11</v>
      </c>
      <c r="H1293" s="216">
        <v>4</v>
      </c>
      <c r="I1293" s="216">
        <v>19485.5</v>
      </c>
      <c r="J1293" s="216">
        <v>2.0499999999999998</v>
      </c>
    </row>
    <row r="1294" spans="1:10" ht="18" customHeight="1">
      <c r="A1294" s="227">
        <v>42656</v>
      </c>
      <c r="B1294" s="216" t="s">
        <v>226</v>
      </c>
      <c r="C1294" s="224">
        <v>300009184067</v>
      </c>
      <c r="D1294" s="214" t="s">
        <v>233</v>
      </c>
      <c r="E1294" s="216">
        <v>7</v>
      </c>
      <c r="F1294" s="216" t="s">
        <v>242</v>
      </c>
      <c r="G1294" s="216">
        <v>7</v>
      </c>
      <c r="H1294" s="216">
        <v>1</v>
      </c>
      <c r="I1294" s="216">
        <v>0</v>
      </c>
      <c r="J1294" s="216">
        <v>1</v>
      </c>
    </row>
    <row r="1295" spans="1:10" ht="18" customHeight="1">
      <c r="A1295" s="227">
        <v>42656</v>
      </c>
      <c r="B1295" s="216" t="s">
        <v>226</v>
      </c>
      <c r="C1295" s="224">
        <v>300009374215</v>
      </c>
      <c r="D1295" s="214" t="s">
        <v>236</v>
      </c>
      <c r="E1295" s="216">
        <v>10</v>
      </c>
      <c r="F1295" s="216" t="s">
        <v>242</v>
      </c>
      <c r="G1295" s="216">
        <v>10</v>
      </c>
      <c r="H1295" s="216">
        <v>4</v>
      </c>
      <c r="I1295" s="216">
        <v>0</v>
      </c>
      <c r="J1295" s="216">
        <v>4</v>
      </c>
    </row>
    <row r="1296" spans="1:10" ht="18" customHeight="1">
      <c r="A1296" s="227">
        <v>42656</v>
      </c>
      <c r="B1296" s="216" t="s">
        <v>554</v>
      </c>
      <c r="C1296" s="224">
        <v>300008844447</v>
      </c>
      <c r="D1296" s="214" t="s">
        <v>556</v>
      </c>
      <c r="E1296" s="216">
        <v>88</v>
      </c>
      <c r="F1296" s="216">
        <v>4156</v>
      </c>
      <c r="G1296" s="216">
        <v>88</v>
      </c>
      <c r="H1296" s="216">
        <v>36</v>
      </c>
      <c r="I1296" s="216">
        <v>98227.1</v>
      </c>
      <c r="J1296" s="216">
        <v>3.66</v>
      </c>
    </row>
    <row r="1297" spans="1:10" ht="18" customHeight="1">
      <c r="A1297" s="227">
        <v>42656</v>
      </c>
      <c r="B1297" s="216" t="s">
        <v>554</v>
      </c>
      <c r="C1297" s="224">
        <v>300008859997</v>
      </c>
      <c r="D1297" s="214" t="s">
        <v>565</v>
      </c>
      <c r="E1297" s="216">
        <v>54</v>
      </c>
      <c r="F1297" s="216">
        <v>3279</v>
      </c>
      <c r="G1297" s="216">
        <v>54</v>
      </c>
      <c r="H1297" s="216">
        <v>26</v>
      </c>
      <c r="I1297" s="216">
        <v>81841.5</v>
      </c>
      <c r="J1297" s="216">
        <v>3.18</v>
      </c>
    </row>
    <row r="1298" spans="1:10" ht="18" customHeight="1">
      <c r="A1298" s="227">
        <v>42656</v>
      </c>
      <c r="B1298" s="216" t="s">
        <v>554</v>
      </c>
      <c r="C1298" s="224">
        <v>300008849022</v>
      </c>
      <c r="D1298" s="214" t="s">
        <v>555</v>
      </c>
      <c r="E1298" s="216">
        <v>38</v>
      </c>
      <c r="F1298" s="216">
        <v>1566</v>
      </c>
      <c r="G1298" s="216">
        <v>38</v>
      </c>
      <c r="H1298" s="216">
        <v>17</v>
      </c>
      <c r="I1298" s="216">
        <v>44475.5</v>
      </c>
      <c r="J1298" s="216">
        <v>3.82</v>
      </c>
    </row>
    <row r="1299" spans="1:10" ht="18" customHeight="1">
      <c r="A1299" s="227">
        <v>42656</v>
      </c>
      <c r="B1299" s="216" t="s">
        <v>554</v>
      </c>
      <c r="C1299" s="224">
        <v>300009190198</v>
      </c>
      <c r="D1299" s="214" t="s">
        <v>557</v>
      </c>
      <c r="E1299" s="216">
        <v>43</v>
      </c>
      <c r="F1299" s="216">
        <v>1554</v>
      </c>
      <c r="G1299" s="216">
        <v>43</v>
      </c>
      <c r="H1299" s="216">
        <v>20</v>
      </c>
      <c r="I1299" s="216">
        <v>36699.01</v>
      </c>
      <c r="J1299" s="216">
        <v>5.45</v>
      </c>
    </row>
    <row r="1300" spans="1:10" ht="18" customHeight="1">
      <c r="A1300" s="227">
        <v>42656</v>
      </c>
      <c r="B1300" s="216" t="s">
        <v>554</v>
      </c>
      <c r="C1300" s="224">
        <v>300009574234</v>
      </c>
      <c r="D1300" s="214" t="s">
        <v>553</v>
      </c>
      <c r="E1300" s="216">
        <v>5</v>
      </c>
      <c r="F1300" s="216">
        <v>1509</v>
      </c>
      <c r="G1300" s="216">
        <v>5</v>
      </c>
      <c r="H1300" s="216">
        <v>3</v>
      </c>
      <c r="I1300" s="216">
        <v>33266.6</v>
      </c>
      <c r="J1300" s="216">
        <v>0.9</v>
      </c>
    </row>
    <row r="1301" spans="1:10" ht="18" customHeight="1">
      <c r="A1301" s="227">
        <v>42656</v>
      </c>
      <c r="B1301" s="216" t="s">
        <v>554</v>
      </c>
      <c r="C1301" s="224">
        <v>300009608232</v>
      </c>
      <c r="D1301" s="214" t="s">
        <v>552</v>
      </c>
      <c r="E1301" s="216">
        <v>11</v>
      </c>
      <c r="F1301" s="216">
        <v>1</v>
      </c>
      <c r="G1301" s="216">
        <v>11</v>
      </c>
      <c r="H1301" s="216">
        <v>6</v>
      </c>
      <c r="I1301" s="216">
        <v>45</v>
      </c>
      <c r="J1301" s="216">
        <v>6</v>
      </c>
    </row>
    <row r="1302" spans="1:10" ht="18" customHeight="1">
      <c r="A1302" s="227">
        <v>42656</v>
      </c>
      <c r="B1302" s="216" t="s">
        <v>554</v>
      </c>
      <c r="C1302" s="224">
        <v>300009190246</v>
      </c>
      <c r="D1302" s="214" t="s">
        <v>567</v>
      </c>
      <c r="E1302" s="216">
        <v>1</v>
      </c>
      <c r="F1302" s="216" t="s">
        <v>242</v>
      </c>
      <c r="G1302" s="216">
        <v>1</v>
      </c>
      <c r="H1302" s="216">
        <v>0</v>
      </c>
      <c r="I1302" s="216">
        <v>0</v>
      </c>
      <c r="J1302" s="216">
        <v>0</v>
      </c>
    </row>
    <row r="1303" spans="1:10" ht="18" customHeight="1">
      <c r="A1303" s="227">
        <v>42656</v>
      </c>
      <c r="B1303" s="216" t="s">
        <v>554</v>
      </c>
      <c r="C1303" s="224">
        <v>300009190289</v>
      </c>
      <c r="D1303" s="214" t="s">
        <v>568</v>
      </c>
      <c r="E1303" s="216">
        <v>3</v>
      </c>
      <c r="F1303" s="216" t="s">
        <v>242</v>
      </c>
      <c r="G1303" s="216">
        <v>3</v>
      </c>
      <c r="H1303" s="216">
        <v>0</v>
      </c>
      <c r="I1303" s="216">
        <v>0</v>
      </c>
      <c r="J1303" s="216">
        <v>0</v>
      </c>
    </row>
    <row r="1304" spans="1:10" ht="18" customHeight="1">
      <c r="A1304" s="227">
        <v>42657</v>
      </c>
      <c r="B1304" s="216" t="s">
        <v>459</v>
      </c>
      <c r="C1304" s="224">
        <v>300009358277</v>
      </c>
      <c r="D1304" s="214" t="s">
        <v>429</v>
      </c>
      <c r="E1304" s="216">
        <v>366</v>
      </c>
      <c r="F1304" s="216">
        <v>34319</v>
      </c>
      <c r="G1304" s="216">
        <v>106.65</v>
      </c>
      <c r="H1304" s="216">
        <v>245</v>
      </c>
      <c r="I1304" s="216">
        <v>947968.7</v>
      </c>
      <c r="J1304" s="216">
        <v>2.58</v>
      </c>
    </row>
    <row r="1305" spans="1:10" ht="18" customHeight="1">
      <c r="A1305" s="227">
        <v>42657</v>
      </c>
      <c r="B1305" s="216" t="s">
        <v>474</v>
      </c>
      <c r="C1305" s="224">
        <v>300009480238</v>
      </c>
      <c r="D1305" s="214" t="s">
        <v>263</v>
      </c>
      <c r="E1305" s="216">
        <v>6</v>
      </c>
      <c r="F1305" s="216">
        <v>12</v>
      </c>
      <c r="G1305" s="216">
        <v>6</v>
      </c>
      <c r="H1305" s="216">
        <v>2</v>
      </c>
      <c r="I1305" s="216">
        <v>179.1</v>
      </c>
      <c r="J1305" s="216">
        <v>2</v>
      </c>
    </row>
    <row r="1306" spans="1:10" ht="18" customHeight="1">
      <c r="A1306" s="227">
        <v>42657</v>
      </c>
      <c r="B1306" s="216" t="s">
        <v>193</v>
      </c>
      <c r="C1306" s="224">
        <v>300009000071</v>
      </c>
      <c r="D1306" s="216" t="s">
        <v>425</v>
      </c>
      <c r="E1306" s="216">
        <v>46</v>
      </c>
      <c r="F1306" s="216">
        <v>2565</v>
      </c>
      <c r="G1306" s="216">
        <v>46</v>
      </c>
      <c r="H1306" s="216">
        <v>22</v>
      </c>
      <c r="I1306" s="216">
        <v>37488.04</v>
      </c>
      <c r="J1306" s="216">
        <v>5.87</v>
      </c>
    </row>
    <row r="1307" spans="1:10" ht="18" customHeight="1">
      <c r="A1307" s="227">
        <v>42657</v>
      </c>
      <c r="B1307" s="216" t="s">
        <v>193</v>
      </c>
      <c r="C1307" s="224">
        <v>300008244937</v>
      </c>
      <c r="D1307" s="214" t="s">
        <v>272</v>
      </c>
      <c r="E1307" s="216">
        <v>27</v>
      </c>
      <c r="F1307" s="216">
        <v>1707</v>
      </c>
      <c r="G1307" s="216">
        <v>27</v>
      </c>
      <c r="H1307" s="216">
        <v>6</v>
      </c>
      <c r="I1307" s="216">
        <v>21479.33</v>
      </c>
      <c r="J1307" s="216">
        <v>2.79</v>
      </c>
    </row>
    <row r="1308" spans="1:10" ht="18" customHeight="1">
      <c r="A1308" s="227">
        <v>42657</v>
      </c>
      <c r="B1308" s="216" t="s">
        <v>193</v>
      </c>
      <c r="C1308" s="224">
        <v>300009235971</v>
      </c>
      <c r="D1308" s="214" t="s">
        <v>241</v>
      </c>
      <c r="E1308" s="216">
        <v>37</v>
      </c>
      <c r="F1308" s="216">
        <v>1426</v>
      </c>
      <c r="G1308" s="216">
        <v>37</v>
      </c>
      <c r="H1308" s="216">
        <v>11</v>
      </c>
      <c r="I1308" s="216">
        <v>19796.3</v>
      </c>
      <c r="J1308" s="216">
        <v>5.56</v>
      </c>
    </row>
    <row r="1309" spans="1:10" ht="18" customHeight="1">
      <c r="A1309" s="227">
        <v>42657</v>
      </c>
      <c r="B1309" s="216" t="s">
        <v>193</v>
      </c>
      <c r="C1309" s="224">
        <v>300008579657</v>
      </c>
      <c r="D1309" s="214" t="s">
        <v>426</v>
      </c>
      <c r="E1309" s="216">
        <v>20</v>
      </c>
      <c r="F1309" s="216">
        <v>1339</v>
      </c>
      <c r="G1309" s="216">
        <v>20</v>
      </c>
      <c r="H1309" s="216">
        <v>4</v>
      </c>
      <c r="I1309" s="216">
        <v>17257.37</v>
      </c>
      <c r="J1309" s="216">
        <v>2.3199999999999998</v>
      </c>
    </row>
    <row r="1310" spans="1:10" ht="18" customHeight="1">
      <c r="A1310" s="227">
        <v>42657</v>
      </c>
      <c r="B1310" s="216" t="s">
        <v>193</v>
      </c>
      <c r="C1310" s="224">
        <v>300008875665</v>
      </c>
      <c r="D1310" s="214" t="s">
        <v>189</v>
      </c>
      <c r="E1310" s="216">
        <v>10</v>
      </c>
      <c r="F1310" s="216">
        <v>527</v>
      </c>
      <c r="G1310" s="216">
        <v>10</v>
      </c>
      <c r="H1310" s="216">
        <v>3</v>
      </c>
      <c r="I1310" s="216">
        <v>6698.57</v>
      </c>
      <c r="J1310" s="216">
        <v>3</v>
      </c>
    </row>
    <row r="1311" spans="1:10" ht="18" customHeight="1">
      <c r="A1311" s="227">
        <v>42657</v>
      </c>
      <c r="B1311" s="216" t="s">
        <v>193</v>
      </c>
      <c r="C1311" s="224">
        <v>300009235974</v>
      </c>
      <c r="D1311" s="214" t="s">
        <v>187</v>
      </c>
      <c r="E1311" s="216">
        <v>6</v>
      </c>
      <c r="F1311" s="216">
        <v>492</v>
      </c>
      <c r="G1311" s="216">
        <v>6</v>
      </c>
      <c r="H1311" s="216">
        <v>1</v>
      </c>
      <c r="I1311" s="216">
        <v>7073.7</v>
      </c>
      <c r="J1311" s="216">
        <v>1</v>
      </c>
    </row>
    <row r="1312" spans="1:10" ht="18" customHeight="1">
      <c r="A1312" s="227">
        <v>42657</v>
      </c>
      <c r="B1312" s="216" t="s">
        <v>193</v>
      </c>
      <c r="C1312" s="224">
        <v>300009003496</v>
      </c>
      <c r="D1312" s="214" t="s">
        <v>427</v>
      </c>
      <c r="E1312" s="216">
        <v>9</v>
      </c>
      <c r="F1312" s="216">
        <v>14</v>
      </c>
      <c r="G1312" s="216">
        <v>9</v>
      </c>
      <c r="H1312" s="216">
        <v>3</v>
      </c>
      <c r="I1312" s="216">
        <v>150.53</v>
      </c>
      <c r="J1312" s="216">
        <v>3</v>
      </c>
    </row>
    <row r="1313" spans="1:10" ht="18" customHeight="1">
      <c r="A1313" s="227">
        <v>42657</v>
      </c>
      <c r="B1313" s="216" t="s">
        <v>193</v>
      </c>
      <c r="C1313" s="224">
        <v>300008839381</v>
      </c>
      <c r="D1313" s="214" t="s">
        <v>190</v>
      </c>
      <c r="E1313" s="216">
        <v>9</v>
      </c>
      <c r="F1313" s="216" t="s">
        <v>242</v>
      </c>
      <c r="G1313" s="216">
        <v>9</v>
      </c>
      <c r="H1313" s="216">
        <v>1</v>
      </c>
      <c r="I1313" s="216">
        <v>0</v>
      </c>
      <c r="J1313" s="216">
        <v>1</v>
      </c>
    </row>
    <row r="1314" spans="1:10" ht="18" customHeight="1">
      <c r="A1314" s="227">
        <v>42657</v>
      </c>
      <c r="B1314" s="216" t="s">
        <v>227</v>
      </c>
      <c r="C1314" s="224">
        <v>300009192151</v>
      </c>
      <c r="D1314" s="214" t="s">
        <v>430</v>
      </c>
      <c r="E1314" s="216">
        <v>32</v>
      </c>
      <c r="F1314" s="216">
        <v>4320</v>
      </c>
      <c r="G1314" s="216">
        <v>32</v>
      </c>
      <c r="H1314" s="216">
        <v>14</v>
      </c>
      <c r="I1314" s="216">
        <v>117768.2</v>
      </c>
      <c r="J1314" s="216">
        <v>1.19</v>
      </c>
    </row>
    <row r="1315" spans="1:10" ht="18" customHeight="1">
      <c r="A1315" s="227">
        <v>42657</v>
      </c>
      <c r="B1315" s="216" t="s">
        <v>226</v>
      </c>
      <c r="C1315" s="224">
        <v>300009185572</v>
      </c>
      <c r="D1315" s="214" t="s">
        <v>237</v>
      </c>
      <c r="E1315" s="216">
        <v>40</v>
      </c>
      <c r="F1315" s="216">
        <v>2707</v>
      </c>
      <c r="G1315" s="216">
        <v>40</v>
      </c>
      <c r="H1315" s="216">
        <v>21</v>
      </c>
      <c r="I1315" s="216">
        <v>40348.9</v>
      </c>
      <c r="J1315" s="216">
        <v>5.2</v>
      </c>
    </row>
    <row r="1316" spans="1:10" ht="18" customHeight="1">
      <c r="A1316" s="227">
        <v>42657</v>
      </c>
      <c r="B1316" s="216" t="s">
        <v>226</v>
      </c>
      <c r="C1316" s="224">
        <v>300009406201</v>
      </c>
      <c r="D1316" s="214" t="s">
        <v>234</v>
      </c>
      <c r="E1316" s="216">
        <v>27</v>
      </c>
      <c r="F1316" s="216">
        <v>2290</v>
      </c>
      <c r="G1316" s="216">
        <v>27</v>
      </c>
      <c r="H1316" s="216">
        <v>12</v>
      </c>
      <c r="I1316" s="216">
        <v>34735.9</v>
      </c>
      <c r="J1316" s="216">
        <v>3.45</v>
      </c>
    </row>
    <row r="1317" spans="1:10" ht="18" customHeight="1">
      <c r="A1317" s="227">
        <v>42657</v>
      </c>
      <c r="B1317" s="216" t="s">
        <v>226</v>
      </c>
      <c r="C1317" s="224">
        <v>300009406202</v>
      </c>
      <c r="D1317" s="214" t="s">
        <v>232</v>
      </c>
      <c r="E1317" s="216">
        <v>13</v>
      </c>
      <c r="F1317" s="216">
        <v>1367</v>
      </c>
      <c r="G1317" s="216">
        <v>13</v>
      </c>
      <c r="H1317" s="216">
        <v>5</v>
      </c>
      <c r="I1317" s="216">
        <v>21189.1</v>
      </c>
      <c r="J1317" s="216">
        <v>2.36</v>
      </c>
    </row>
    <row r="1318" spans="1:10" ht="18" customHeight="1">
      <c r="A1318" s="227">
        <v>42657</v>
      </c>
      <c r="B1318" s="216" t="s">
        <v>226</v>
      </c>
      <c r="C1318" s="224">
        <v>300009374212</v>
      </c>
      <c r="D1318" s="214" t="s">
        <v>235</v>
      </c>
      <c r="E1318" s="216">
        <v>4</v>
      </c>
      <c r="F1318" s="216">
        <v>558</v>
      </c>
      <c r="G1318" s="216">
        <v>4</v>
      </c>
      <c r="H1318" s="216">
        <v>2</v>
      </c>
      <c r="I1318" s="216">
        <v>11340.1</v>
      </c>
      <c r="J1318" s="216">
        <v>1.76</v>
      </c>
    </row>
    <row r="1319" spans="1:10" ht="18" customHeight="1">
      <c r="A1319" s="227">
        <v>42657</v>
      </c>
      <c r="B1319" s="216" t="s">
        <v>226</v>
      </c>
      <c r="C1319" s="224">
        <v>300009184067</v>
      </c>
      <c r="D1319" s="214" t="s">
        <v>233</v>
      </c>
      <c r="E1319" s="216">
        <v>7</v>
      </c>
      <c r="F1319" s="216">
        <v>68</v>
      </c>
      <c r="G1319" s="216">
        <v>7</v>
      </c>
      <c r="H1319" s="216">
        <v>1</v>
      </c>
      <c r="I1319" s="216">
        <v>1097.7</v>
      </c>
      <c r="J1319" s="216">
        <v>1</v>
      </c>
    </row>
    <row r="1320" spans="1:10" ht="18" customHeight="1">
      <c r="A1320" s="227">
        <v>42657</v>
      </c>
      <c r="B1320" s="216" t="s">
        <v>226</v>
      </c>
      <c r="C1320" s="224">
        <v>300009374215</v>
      </c>
      <c r="D1320" s="214" t="s">
        <v>236</v>
      </c>
      <c r="E1320" s="216">
        <v>10</v>
      </c>
      <c r="F1320" s="216" t="s">
        <v>242</v>
      </c>
      <c r="G1320" s="216">
        <v>10</v>
      </c>
      <c r="H1320" s="216">
        <v>4</v>
      </c>
      <c r="I1320" s="216">
        <v>0</v>
      </c>
      <c r="J1320" s="216">
        <v>4</v>
      </c>
    </row>
    <row r="1321" spans="1:10" ht="18" customHeight="1">
      <c r="A1321" s="227">
        <v>42657</v>
      </c>
      <c r="B1321" s="216" t="s">
        <v>554</v>
      </c>
      <c r="C1321" s="224">
        <v>300008844447</v>
      </c>
      <c r="D1321" s="214" t="s">
        <v>556</v>
      </c>
      <c r="E1321" s="216">
        <v>88</v>
      </c>
      <c r="F1321" s="216">
        <v>3804</v>
      </c>
      <c r="G1321" s="216">
        <v>88</v>
      </c>
      <c r="H1321" s="216">
        <v>36</v>
      </c>
      <c r="I1321" s="216">
        <v>90717.1</v>
      </c>
      <c r="J1321" s="216">
        <v>3.97</v>
      </c>
    </row>
    <row r="1322" spans="1:10" ht="18" customHeight="1">
      <c r="A1322" s="227">
        <v>42657</v>
      </c>
      <c r="B1322" s="216" t="s">
        <v>554</v>
      </c>
      <c r="C1322" s="224">
        <v>300008859997</v>
      </c>
      <c r="D1322" s="214" t="s">
        <v>565</v>
      </c>
      <c r="E1322" s="216">
        <v>54</v>
      </c>
      <c r="F1322" s="216">
        <v>3072</v>
      </c>
      <c r="G1322" s="216">
        <v>54</v>
      </c>
      <c r="H1322" s="216">
        <v>26</v>
      </c>
      <c r="I1322" s="216">
        <v>75973.5</v>
      </c>
      <c r="J1322" s="216">
        <v>3.42</v>
      </c>
    </row>
    <row r="1323" spans="1:10" ht="18" customHeight="1">
      <c r="A1323" s="227">
        <v>42657</v>
      </c>
      <c r="B1323" s="216" t="s">
        <v>554</v>
      </c>
      <c r="C1323" s="224">
        <v>300009574234</v>
      </c>
      <c r="D1323" s="214" t="s">
        <v>553</v>
      </c>
      <c r="E1323" s="216">
        <v>5</v>
      </c>
      <c r="F1323" s="216">
        <v>1519</v>
      </c>
      <c r="G1323" s="216">
        <v>5</v>
      </c>
      <c r="H1323" s="216">
        <v>3</v>
      </c>
      <c r="I1323" s="216">
        <v>33147.5</v>
      </c>
      <c r="J1323" s="216">
        <v>0.91</v>
      </c>
    </row>
    <row r="1324" spans="1:10" ht="18" customHeight="1">
      <c r="A1324" s="227">
        <v>42657</v>
      </c>
      <c r="B1324" s="216" t="s">
        <v>554</v>
      </c>
      <c r="C1324" s="224">
        <v>300009190198</v>
      </c>
      <c r="D1324" s="214" t="s">
        <v>557</v>
      </c>
      <c r="E1324" s="216">
        <v>41</v>
      </c>
      <c r="F1324" s="216">
        <v>1403</v>
      </c>
      <c r="G1324" s="216">
        <v>41</v>
      </c>
      <c r="H1324" s="216">
        <v>20</v>
      </c>
      <c r="I1324" s="216">
        <v>33699.01</v>
      </c>
      <c r="J1324" s="216">
        <v>5.93</v>
      </c>
    </row>
    <row r="1325" spans="1:10" ht="18" customHeight="1">
      <c r="A1325" s="227">
        <v>42657</v>
      </c>
      <c r="B1325" s="216" t="s">
        <v>554</v>
      </c>
      <c r="C1325" s="224">
        <v>300008849022</v>
      </c>
      <c r="D1325" s="214" t="s">
        <v>555</v>
      </c>
      <c r="E1325" s="216">
        <v>37</v>
      </c>
      <c r="F1325" s="216">
        <v>1358</v>
      </c>
      <c r="G1325" s="216">
        <v>37</v>
      </c>
      <c r="H1325" s="216">
        <v>17</v>
      </c>
      <c r="I1325" s="216">
        <v>38917.4</v>
      </c>
      <c r="J1325" s="216">
        <v>4.37</v>
      </c>
    </row>
    <row r="1326" spans="1:10" ht="18" customHeight="1">
      <c r="A1326" s="227">
        <v>42657</v>
      </c>
      <c r="B1326" s="216" t="s">
        <v>554</v>
      </c>
      <c r="C1326" s="224">
        <v>300009714303</v>
      </c>
      <c r="D1326" s="214" t="s">
        <v>562</v>
      </c>
      <c r="E1326" s="216">
        <v>2</v>
      </c>
      <c r="F1326" s="216">
        <v>543</v>
      </c>
      <c r="G1326" s="216">
        <v>2</v>
      </c>
      <c r="H1326" s="216">
        <v>0</v>
      </c>
      <c r="I1326" s="216">
        <v>6200.4</v>
      </c>
      <c r="J1326" s="216">
        <v>0</v>
      </c>
    </row>
    <row r="1327" spans="1:10" ht="18" customHeight="1">
      <c r="A1327" s="227">
        <v>42657</v>
      </c>
      <c r="B1327" s="216" t="s">
        <v>554</v>
      </c>
      <c r="C1327" s="224">
        <v>300009608232</v>
      </c>
      <c r="D1327" s="214" t="s">
        <v>552</v>
      </c>
      <c r="E1327" s="216">
        <v>11</v>
      </c>
      <c r="F1327" s="216">
        <v>1</v>
      </c>
      <c r="G1327" s="216">
        <v>11</v>
      </c>
      <c r="H1327" s="216">
        <v>6</v>
      </c>
      <c r="I1327" s="216">
        <v>45</v>
      </c>
      <c r="J1327" s="216">
        <v>6</v>
      </c>
    </row>
    <row r="1328" spans="1:10" ht="18" customHeight="1">
      <c r="A1328" s="227">
        <v>42657</v>
      </c>
      <c r="B1328" s="216" t="s">
        <v>554</v>
      </c>
      <c r="C1328" s="224">
        <v>300009190246</v>
      </c>
      <c r="D1328" s="214" t="s">
        <v>567</v>
      </c>
      <c r="E1328" s="216">
        <v>1</v>
      </c>
      <c r="F1328" s="216" t="s">
        <v>242</v>
      </c>
      <c r="G1328" s="216">
        <v>1</v>
      </c>
      <c r="H1328" s="216">
        <v>0</v>
      </c>
      <c r="I1328" s="216">
        <v>0</v>
      </c>
      <c r="J1328" s="216">
        <v>0</v>
      </c>
    </row>
    <row r="1329" spans="1:10" ht="18" customHeight="1">
      <c r="A1329" s="227">
        <v>42657</v>
      </c>
      <c r="B1329" s="216" t="s">
        <v>554</v>
      </c>
      <c r="C1329" s="224">
        <v>300009190289</v>
      </c>
      <c r="D1329" s="214" t="s">
        <v>568</v>
      </c>
      <c r="E1329" s="216">
        <v>3</v>
      </c>
      <c r="F1329" s="216" t="s">
        <v>242</v>
      </c>
      <c r="G1329" s="216">
        <v>3</v>
      </c>
      <c r="H1329" s="216">
        <v>0</v>
      </c>
      <c r="I1329" s="216">
        <v>0</v>
      </c>
      <c r="J1329" s="216">
        <v>0</v>
      </c>
    </row>
  </sheetData>
  <autoFilter ref="A1:J263">
    <sortState ref="A2:J263">
      <sortCondition ref="A1:A263"/>
    </sortState>
  </autoFilter>
  <phoneticPr fontId="1" type="noConversion"/>
  <conditionalFormatting sqref="B701:B715">
    <cfRule type="expression" dxfId="0" priority="1">
      <formula>0</formula>
    </cfRule>
  </conditionalFormatting>
  <dataValidations count="1">
    <dataValidation type="list" allowBlank="1" showInputMessage="1" showErrorMessage="1" sqref="B1:B1048576">
      <formula1>"兰桂馥,掌娱纵横,趣游,前游,魔逗,中力为,鱼智,深圳玉璟"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8"/>
  <sheetViews>
    <sheetView showGridLines="0" tabSelected="1" workbookViewId="0">
      <pane ySplit="1" topLeftCell="A8" activePane="bottomLeft" state="frozen"/>
      <selection activeCell="H14" sqref="H14"/>
      <selection pane="bottomLeft" activeCell="J25" sqref="J25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45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5.95" customHeight="1">
      <c r="A2" s="149">
        <v>42490</v>
      </c>
      <c r="B2" s="150">
        <v>1</v>
      </c>
      <c r="C2" s="150">
        <v>1</v>
      </c>
      <c r="D2" s="150">
        <v>20</v>
      </c>
      <c r="E2" s="150"/>
      <c r="F2" s="151">
        <v>20</v>
      </c>
      <c r="G2" s="150">
        <v>1</v>
      </c>
      <c r="H2" s="150">
        <v>1</v>
      </c>
      <c r="I2" s="150">
        <v>22</v>
      </c>
      <c r="J2" s="152">
        <v>19642.099999999999</v>
      </c>
      <c r="K2" s="151">
        <v>11.2</v>
      </c>
      <c r="L2" s="153"/>
      <c r="M2" s="154"/>
    </row>
    <row r="3" spans="1:13" s="155" customFormat="1" ht="15.95" customHeight="1">
      <c r="A3" s="149">
        <v>42521</v>
      </c>
      <c r="B3" s="150">
        <v>0</v>
      </c>
      <c r="C3" s="150">
        <v>0</v>
      </c>
      <c r="D3" s="150">
        <v>5</v>
      </c>
      <c r="E3" s="150"/>
      <c r="F3" s="151">
        <v>5</v>
      </c>
      <c r="G3" s="150">
        <v>0</v>
      </c>
      <c r="H3" s="150">
        <v>0</v>
      </c>
      <c r="I3" s="150">
        <v>6</v>
      </c>
      <c r="J3" s="152"/>
      <c r="K3" s="151">
        <v>6</v>
      </c>
      <c r="L3" s="153"/>
      <c r="M3" s="154"/>
    </row>
    <row r="4" spans="1:13" s="155" customFormat="1" ht="15.95" customHeight="1">
      <c r="A4" s="149">
        <v>42551</v>
      </c>
      <c r="B4" s="150">
        <v>0</v>
      </c>
      <c r="C4" s="150">
        <v>0</v>
      </c>
      <c r="D4" s="150">
        <v>0</v>
      </c>
      <c r="E4" s="150"/>
      <c r="F4" s="151">
        <v>0</v>
      </c>
      <c r="G4" s="150">
        <v>0</v>
      </c>
      <c r="H4" s="150">
        <v>0</v>
      </c>
      <c r="I4" s="150">
        <v>0</v>
      </c>
      <c r="J4" s="152"/>
      <c r="K4" s="151">
        <v>0</v>
      </c>
      <c r="L4" s="153"/>
      <c r="M4" s="154"/>
    </row>
    <row r="5" spans="1:13" s="155" customFormat="1" ht="15.95" customHeight="1">
      <c r="A5" s="149">
        <v>42582</v>
      </c>
      <c r="B5" s="150">
        <v>10</v>
      </c>
      <c r="C5" s="150">
        <v>0</v>
      </c>
      <c r="D5" s="150">
        <v>35</v>
      </c>
      <c r="E5" s="150">
        <v>55500</v>
      </c>
      <c r="F5" s="151">
        <v>6.31</v>
      </c>
      <c r="G5" s="150">
        <v>15</v>
      </c>
      <c r="H5" s="150">
        <v>0</v>
      </c>
      <c r="I5" s="150">
        <v>44</v>
      </c>
      <c r="J5" s="152">
        <v>826451.75</v>
      </c>
      <c r="K5" s="151">
        <v>0.53</v>
      </c>
      <c r="L5" s="153"/>
      <c r="M5" s="154"/>
    </row>
    <row r="6" spans="1:13" s="155" customFormat="1" ht="15.95" customHeight="1">
      <c r="A6" s="149">
        <v>42613</v>
      </c>
      <c r="B6" s="150">
        <v>3</v>
      </c>
      <c r="C6" s="150">
        <v>1</v>
      </c>
      <c r="D6" s="150">
        <v>20</v>
      </c>
      <c r="E6" s="150">
        <v>20862</v>
      </c>
      <c r="F6" s="151">
        <v>9.5868085514332275</v>
      </c>
      <c r="G6" s="150">
        <v>5</v>
      </c>
      <c r="H6" s="150">
        <v>2</v>
      </c>
      <c r="I6" s="150">
        <v>40</v>
      </c>
      <c r="J6" s="152">
        <v>433554.52</v>
      </c>
      <c r="K6" s="151">
        <v>0.92260599658838749</v>
      </c>
      <c r="L6" s="153"/>
      <c r="M6" s="154"/>
    </row>
    <row r="7" spans="1:13" s="155" customFormat="1" ht="15.95" customHeight="1">
      <c r="A7" s="149">
        <v>42643</v>
      </c>
      <c r="B7" s="150">
        <v>9</v>
      </c>
      <c r="C7" s="150">
        <v>3</v>
      </c>
      <c r="D7" s="150">
        <v>61</v>
      </c>
      <c r="E7" s="150">
        <v>31860</v>
      </c>
      <c r="F7" s="151">
        <f t="shared" ref="F7:F8" si="0">IF(E7&gt;10000,D7/E7*10000,D7)</f>
        <v>19.146264908976772</v>
      </c>
      <c r="G7" s="150">
        <v>16</v>
      </c>
      <c r="H7" s="150">
        <v>4</v>
      </c>
      <c r="I7" s="150">
        <v>76</v>
      </c>
      <c r="J7" s="152">
        <v>798875</v>
      </c>
      <c r="K7" s="151">
        <f>IF(J7&gt;10000,I7/J7*10000,I7)</f>
        <v>0.9513378188076983</v>
      </c>
      <c r="L7" s="153"/>
      <c r="M7" s="154"/>
    </row>
    <row r="8" spans="1:13" ht="15.95" customHeight="1">
      <c r="A8" s="81">
        <f>A7+1</f>
        <v>42644</v>
      </c>
      <c r="B8" s="82">
        <v>5</v>
      </c>
      <c r="C8" s="82">
        <v>1</v>
      </c>
      <c r="D8" s="82">
        <v>1</v>
      </c>
      <c r="E8" s="82"/>
      <c r="F8" s="76">
        <f t="shared" si="0"/>
        <v>1</v>
      </c>
      <c r="G8" s="82">
        <v>8</v>
      </c>
      <c r="H8" s="82">
        <v>3</v>
      </c>
      <c r="I8" s="82">
        <v>3</v>
      </c>
      <c r="J8" s="83">
        <v>50894.3</v>
      </c>
      <c r="K8" s="76">
        <f>IF(J8&gt;10000,I8/J8*10000,I8)</f>
        <v>0.58945697258828589</v>
      </c>
      <c r="L8" s="84"/>
      <c r="M8" s="85"/>
    </row>
    <row r="9" spans="1:13" ht="15.95" customHeight="1">
      <c r="A9" s="81">
        <f t="shared" ref="A9:A38" si="1">A8+1</f>
        <v>42645</v>
      </c>
      <c r="B9" s="82">
        <v>7</v>
      </c>
      <c r="C9" s="82">
        <v>1</v>
      </c>
      <c r="D9" s="82">
        <v>3</v>
      </c>
      <c r="E9" s="82"/>
      <c r="F9" s="76">
        <f>IF(E9&gt;10000,D9/E9*10000,D9)</f>
        <v>3</v>
      </c>
      <c r="G9" s="82">
        <v>11</v>
      </c>
      <c r="H9" s="82">
        <v>1</v>
      </c>
      <c r="I9" s="82">
        <v>5</v>
      </c>
      <c r="J9" s="83">
        <v>90617.9</v>
      </c>
      <c r="K9" s="76">
        <f>IF(J9&gt;10000,I9/J9*10000,I9)</f>
        <v>0.55176736605019538</v>
      </c>
      <c r="L9" s="84"/>
      <c r="M9" s="85"/>
    </row>
    <row r="10" spans="1:13" ht="15.95" customHeight="1">
      <c r="A10" s="81">
        <f t="shared" si="1"/>
        <v>42646</v>
      </c>
      <c r="B10" s="82">
        <v>6</v>
      </c>
      <c r="C10" s="82">
        <v>1</v>
      </c>
      <c r="D10" s="82">
        <v>4</v>
      </c>
      <c r="E10" s="82"/>
      <c r="F10" s="76">
        <f>IF(E10&gt;10000,D10/E10*10000,D10)</f>
        <v>4</v>
      </c>
      <c r="G10" s="82">
        <v>7</v>
      </c>
      <c r="H10" s="82">
        <v>1</v>
      </c>
      <c r="I10" s="82">
        <v>6</v>
      </c>
      <c r="J10" s="83">
        <v>124012.5</v>
      </c>
      <c r="K10" s="76">
        <f>IF(J10&gt;10000,I10/J10*10000,I10)</f>
        <v>0.48382219534321136</v>
      </c>
      <c r="L10" s="84"/>
      <c r="M10" s="85"/>
    </row>
    <row r="11" spans="1:13" ht="15.95" customHeight="1">
      <c r="A11" s="81">
        <f t="shared" si="1"/>
        <v>42647</v>
      </c>
      <c r="B11" s="82">
        <v>7</v>
      </c>
      <c r="C11" s="82">
        <v>0</v>
      </c>
      <c r="D11" s="82">
        <v>5</v>
      </c>
      <c r="E11" s="82"/>
      <c r="F11" s="76">
        <f t="shared" ref="F11:F38" si="2">IF(E11&gt;10000,D11/E11*10000,D11)</f>
        <v>5</v>
      </c>
      <c r="G11" s="82">
        <v>14</v>
      </c>
      <c r="H11" s="82">
        <v>1</v>
      </c>
      <c r="I11" s="82">
        <v>8</v>
      </c>
      <c r="J11" s="83">
        <v>155318.20000000001</v>
      </c>
      <c r="K11" s="76">
        <f t="shared" ref="K11:K38" si="3">IF(J11&gt;10000,I11/J11*10000,I11)</f>
        <v>0.51507164002673222</v>
      </c>
      <c r="L11" s="84"/>
      <c r="M11" s="85"/>
    </row>
    <row r="12" spans="1:13" ht="15.95" customHeight="1">
      <c r="A12" s="81">
        <f t="shared" si="1"/>
        <v>42648</v>
      </c>
      <c r="B12" s="82">
        <v>9</v>
      </c>
      <c r="C12" s="82">
        <v>1</v>
      </c>
      <c r="D12" s="82">
        <v>6</v>
      </c>
      <c r="E12" s="82"/>
      <c r="F12" s="76">
        <f t="shared" si="2"/>
        <v>6</v>
      </c>
      <c r="G12" s="82">
        <v>15</v>
      </c>
      <c r="H12" s="82">
        <v>4</v>
      </c>
      <c r="I12" s="82">
        <v>12</v>
      </c>
      <c r="J12" s="83">
        <v>187005.3</v>
      </c>
      <c r="K12" s="76">
        <f t="shared" si="3"/>
        <v>0.64169304292445195</v>
      </c>
      <c r="L12" s="84"/>
      <c r="M12" s="85"/>
    </row>
    <row r="13" spans="1:13" ht="15.95" customHeight="1">
      <c r="A13" s="81">
        <f t="shared" si="1"/>
        <v>42649</v>
      </c>
      <c r="B13" s="82">
        <v>8</v>
      </c>
      <c r="C13" s="82">
        <v>0</v>
      </c>
      <c r="D13" s="82">
        <v>7</v>
      </c>
      <c r="E13" s="82"/>
      <c r="F13" s="76">
        <f t="shared" si="2"/>
        <v>7</v>
      </c>
      <c r="G13" s="82">
        <v>12</v>
      </c>
      <c r="H13" s="82">
        <v>0</v>
      </c>
      <c r="I13" s="82">
        <v>13</v>
      </c>
      <c r="J13" s="83">
        <v>218983.1</v>
      </c>
      <c r="K13" s="76">
        <f t="shared" si="3"/>
        <v>0.593653117523681</v>
      </c>
      <c r="L13" s="84"/>
      <c r="M13" s="85"/>
    </row>
    <row r="14" spans="1:13" ht="15.95" customHeight="1">
      <c r="A14" s="81">
        <f t="shared" si="1"/>
        <v>42650</v>
      </c>
      <c r="B14" s="82">
        <v>6</v>
      </c>
      <c r="C14" s="82">
        <v>1</v>
      </c>
      <c r="D14" s="82">
        <v>8</v>
      </c>
      <c r="E14" s="82"/>
      <c r="F14" s="76">
        <f t="shared" si="2"/>
        <v>8</v>
      </c>
      <c r="G14" s="82">
        <v>12</v>
      </c>
      <c r="H14" s="82">
        <v>1</v>
      </c>
      <c r="I14" s="82">
        <v>14</v>
      </c>
      <c r="J14" s="83">
        <v>248934.39999999999</v>
      </c>
      <c r="K14" s="76">
        <f t="shared" si="3"/>
        <v>0.56239716166186748</v>
      </c>
      <c r="L14" s="84"/>
      <c r="M14" s="85"/>
    </row>
    <row r="15" spans="1:13" ht="15.95" customHeight="1">
      <c r="A15" s="81">
        <f t="shared" si="1"/>
        <v>42651</v>
      </c>
      <c r="B15" s="82">
        <v>5</v>
      </c>
      <c r="C15" s="82">
        <v>0</v>
      </c>
      <c r="D15" s="82">
        <v>9</v>
      </c>
      <c r="E15" s="82">
        <v>10156</v>
      </c>
      <c r="F15" s="76">
        <f t="shared" si="2"/>
        <v>8.861756597085467</v>
      </c>
      <c r="G15" s="82">
        <v>11</v>
      </c>
      <c r="H15" s="82">
        <v>1</v>
      </c>
      <c r="I15" s="82">
        <v>16</v>
      </c>
      <c r="J15" s="83">
        <v>275895.59999999998</v>
      </c>
      <c r="K15" s="76">
        <f t="shared" si="3"/>
        <v>0.57992950956811207</v>
      </c>
      <c r="L15" s="84"/>
      <c r="M15" s="85"/>
    </row>
    <row r="16" spans="1:13" ht="15.95" customHeight="1">
      <c r="A16" s="81">
        <f t="shared" si="1"/>
        <v>42652</v>
      </c>
      <c r="B16" s="82">
        <v>13</v>
      </c>
      <c r="C16" s="82">
        <v>1</v>
      </c>
      <c r="D16" s="82">
        <v>10</v>
      </c>
      <c r="E16" s="82">
        <v>10822</v>
      </c>
      <c r="F16" s="76">
        <f t="shared" si="2"/>
        <v>9.2404361485862125</v>
      </c>
      <c r="G16" s="82">
        <v>16</v>
      </c>
      <c r="H16" s="82">
        <v>1</v>
      </c>
      <c r="I16" s="82">
        <v>17</v>
      </c>
      <c r="J16" s="83">
        <v>293291.3</v>
      </c>
      <c r="K16" s="76">
        <f t="shared" si="3"/>
        <v>0.57962851267664606</v>
      </c>
      <c r="L16" s="84"/>
      <c r="M16" s="85"/>
    </row>
    <row r="17" spans="1:13" ht="15.95" customHeight="1">
      <c r="A17" s="81">
        <f t="shared" si="1"/>
        <v>42653</v>
      </c>
      <c r="B17" s="82">
        <v>12</v>
      </c>
      <c r="C17" s="82">
        <v>0</v>
      </c>
      <c r="D17" s="82">
        <v>11</v>
      </c>
      <c r="E17" s="82">
        <v>11316</v>
      </c>
      <c r="F17" s="76">
        <f t="shared" si="2"/>
        <v>9.7207493814068577</v>
      </c>
      <c r="G17" s="82">
        <v>18</v>
      </c>
      <c r="H17" s="82">
        <v>0</v>
      </c>
      <c r="I17" s="82">
        <v>18</v>
      </c>
      <c r="J17" s="83">
        <v>306049.2</v>
      </c>
      <c r="K17" s="76">
        <f t="shared" si="3"/>
        <v>0.58814073031394942</v>
      </c>
      <c r="L17" s="84"/>
      <c r="M17" s="85"/>
    </row>
    <row r="18" spans="1:13" ht="15.95" customHeight="1">
      <c r="A18" s="81">
        <f t="shared" si="1"/>
        <v>42654</v>
      </c>
      <c r="B18" s="82">
        <v>10</v>
      </c>
      <c r="C18" s="82">
        <v>2</v>
      </c>
      <c r="D18" s="82">
        <v>13</v>
      </c>
      <c r="E18" s="82">
        <v>11814</v>
      </c>
      <c r="F18" s="76">
        <f t="shared" si="2"/>
        <v>11.00389368545793</v>
      </c>
      <c r="G18" s="82">
        <v>13</v>
      </c>
      <c r="H18" s="82">
        <v>3</v>
      </c>
      <c r="I18" s="82">
        <v>21</v>
      </c>
      <c r="J18" s="83">
        <v>318261.59999999998</v>
      </c>
      <c r="K18" s="76">
        <f t="shared" si="3"/>
        <v>0.65983455119939072</v>
      </c>
      <c r="L18" s="84"/>
      <c r="M18" s="85"/>
    </row>
    <row r="19" spans="1:13" ht="15.95" customHeight="1">
      <c r="A19" s="81">
        <f t="shared" si="1"/>
        <v>42655</v>
      </c>
      <c r="B19" s="82">
        <v>8</v>
      </c>
      <c r="C19" s="82">
        <v>1</v>
      </c>
      <c r="D19" s="82">
        <v>15</v>
      </c>
      <c r="E19" s="82">
        <v>12292</v>
      </c>
      <c r="F19" s="76">
        <f t="shared" si="2"/>
        <v>12.203058900097624</v>
      </c>
      <c r="G19" s="82">
        <v>12</v>
      </c>
      <c r="H19" s="82">
        <v>2</v>
      </c>
      <c r="I19" s="82">
        <v>24</v>
      </c>
      <c r="J19" s="83">
        <v>330818.5</v>
      </c>
      <c r="K19" s="76">
        <f t="shared" si="3"/>
        <v>0.72547333356508181</v>
      </c>
      <c r="L19" s="84"/>
      <c r="M19" s="85"/>
    </row>
    <row r="20" spans="1:13" ht="15.95" customHeight="1">
      <c r="A20" s="81">
        <f t="shared" si="1"/>
        <v>42656</v>
      </c>
      <c r="B20" s="82">
        <v>7</v>
      </c>
      <c r="C20" s="82">
        <v>0</v>
      </c>
      <c r="D20" s="82">
        <v>15</v>
      </c>
      <c r="E20" s="82">
        <v>12657</v>
      </c>
      <c r="F20" s="76">
        <f t="shared" si="2"/>
        <v>11.851149561507466</v>
      </c>
      <c r="G20" s="82">
        <v>10</v>
      </c>
      <c r="H20" s="82">
        <v>1</v>
      </c>
      <c r="I20" s="82">
        <v>26</v>
      </c>
      <c r="J20" s="83">
        <v>339908</v>
      </c>
      <c r="K20" s="76">
        <f t="shared" si="3"/>
        <v>0.76491285877355042</v>
      </c>
      <c r="L20" s="84"/>
      <c r="M20" s="85"/>
    </row>
    <row r="21" spans="1:13" ht="15.95" customHeight="1">
      <c r="A21" s="81">
        <f t="shared" si="1"/>
        <v>42657</v>
      </c>
      <c r="B21" s="82">
        <v>7</v>
      </c>
      <c r="C21" s="82">
        <v>0</v>
      </c>
      <c r="D21" s="82">
        <v>16</v>
      </c>
      <c r="E21" s="82">
        <v>13002</v>
      </c>
      <c r="F21" s="76">
        <f t="shared" si="2"/>
        <v>12.305799107829566</v>
      </c>
      <c r="G21" s="82">
        <v>12</v>
      </c>
      <c r="H21" s="82">
        <v>1</v>
      </c>
      <c r="I21" s="82">
        <v>27</v>
      </c>
      <c r="J21" s="83">
        <v>348263.1</v>
      </c>
      <c r="K21" s="76">
        <f t="shared" si="3"/>
        <v>0.77527593362604308</v>
      </c>
      <c r="L21" s="84"/>
      <c r="M21" s="85"/>
    </row>
    <row r="22" spans="1:13" ht="15.95" customHeight="1">
      <c r="A22" s="81">
        <f t="shared" si="1"/>
        <v>42658</v>
      </c>
      <c r="B22" s="82">
        <v>6</v>
      </c>
      <c r="C22" s="82"/>
      <c r="D22" s="82"/>
      <c r="E22" s="82">
        <v>13549</v>
      </c>
      <c r="F22" s="76">
        <f t="shared" si="2"/>
        <v>0</v>
      </c>
      <c r="G22" s="82">
        <v>9</v>
      </c>
      <c r="H22" s="82"/>
      <c r="I22" s="82"/>
      <c r="J22" s="83">
        <v>361371.3</v>
      </c>
      <c r="K22" s="76">
        <f t="shared" si="3"/>
        <v>0</v>
      </c>
      <c r="L22" s="84"/>
      <c r="M22" s="85"/>
    </row>
    <row r="23" spans="1:13" ht="15.95" customHeight="1">
      <c r="A23" s="81">
        <f t="shared" si="1"/>
        <v>42659</v>
      </c>
      <c r="B23" s="82">
        <v>4</v>
      </c>
      <c r="C23" s="82"/>
      <c r="D23" s="82"/>
      <c r="E23" s="68">
        <v>14063</v>
      </c>
      <c r="F23" s="76">
        <f t="shared" si="2"/>
        <v>0</v>
      </c>
      <c r="G23" s="82">
        <v>7</v>
      </c>
      <c r="H23" s="82"/>
      <c r="I23" s="82"/>
      <c r="J23" s="83">
        <v>373568.9</v>
      </c>
      <c r="K23" s="76">
        <f t="shared" si="3"/>
        <v>0</v>
      </c>
      <c r="L23" s="84"/>
      <c r="M23" s="85"/>
    </row>
    <row r="24" spans="1:13" ht="15.95" customHeight="1">
      <c r="A24" s="81">
        <f t="shared" si="1"/>
        <v>42660</v>
      </c>
      <c r="B24" s="82"/>
      <c r="C24" s="82"/>
      <c r="D24" s="82"/>
      <c r="E24" s="82"/>
      <c r="F24" s="76">
        <f t="shared" si="2"/>
        <v>0</v>
      </c>
      <c r="G24" s="82"/>
      <c r="H24" s="82"/>
      <c r="I24" s="82"/>
      <c r="J24" s="83"/>
      <c r="K24" s="76">
        <f t="shared" si="3"/>
        <v>0</v>
      </c>
      <c r="L24" s="84"/>
      <c r="M24" s="85"/>
    </row>
    <row r="25" spans="1:13" ht="15.95" customHeight="1">
      <c r="A25" s="81">
        <f t="shared" si="1"/>
        <v>42661</v>
      </c>
      <c r="B25" s="82"/>
      <c r="C25" s="82"/>
      <c r="D25" s="82"/>
      <c r="E25" s="82"/>
      <c r="F25" s="76">
        <f t="shared" si="2"/>
        <v>0</v>
      </c>
      <c r="G25" s="82"/>
      <c r="H25" s="82"/>
      <c r="I25" s="82"/>
      <c r="J25" s="83"/>
      <c r="K25" s="76">
        <f t="shared" si="3"/>
        <v>0</v>
      </c>
      <c r="L25" s="84"/>
      <c r="M25" s="85"/>
    </row>
    <row r="26" spans="1:13" ht="15.95" customHeight="1">
      <c r="A26" s="81">
        <f t="shared" si="1"/>
        <v>42662</v>
      </c>
      <c r="B26" s="82"/>
      <c r="C26" s="82"/>
      <c r="D26" s="82"/>
      <c r="E26" s="82"/>
      <c r="F26" s="76">
        <f t="shared" si="2"/>
        <v>0</v>
      </c>
      <c r="G26" s="82"/>
      <c r="H26" s="82"/>
      <c r="I26" s="82"/>
      <c r="J26" s="83"/>
      <c r="K26" s="76">
        <f t="shared" si="3"/>
        <v>0</v>
      </c>
      <c r="L26" s="84"/>
      <c r="M26" s="85"/>
    </row>
    <row r="27" spans="1:13" ht="15.95" customHeight="1">
      <c r="A27" s="81">
        <f t="shared" si="1"/>
        <v>42663</v>
      </c>
      <c r="B27" s="82"/>
      <c r="C27" s="82"/>
      <c r="D27" s="82"/>
      <c r="E27" s="82"/>
      <c r="F27" s="76">
        <f t="shared" si="2"/>
        <v>0</v>
      </c>
      <c r="G27" s="82"/>
      <c r="H27" s="82"/>
      <c r="I27" s="82"/>
      <c r="J27" s="83"/>
      <c r="K27" s="76">
        <f t="shared" si="3"/>
        <v>0</v>
      </c>
      <c r="L27" s="84"/>
      <c r="M27" s="85"/>
    </row>
    <row r="28" spans="1:13" ht="15.95" customHeight="1">
      <c r="A28" s="81">
        <f t="shared" si="1"/>
        <v>42664</v>
      </c>
      <c r="B28" s="82"/>
      <c r="C28" s="82"/>
      <c r="D28" s="82"/>
      <c r="E28" s="82"/>
      <c r="F28" s="76">
        <f t="shared" si="2"/>
        <v>0</v>
      </c>
      <c r="G28" s="82"/>
      <c r="H28" s="82"/>
      <c r="I28" s="82"/>
      <c r="J28" s="83"/>
      <c r="K28" s="76">
        <f t="shared" si="3"/>
        <v>0</v>
      </c>
      <c r="L28" s="84"/>
      <c r="M28" s="85"/>
    </row>
    <row r="29" spans="1:13" ht="15.95" customHeight="1">
      <c r="A29" s="81">
        <f t="shared" si="1"/>
        <v>42665</v>
      </c>
      <c r="B29" s="82"/>
      <c r="C29" s="82"/>
      <c r="D29" s="82"/>
      <c r="E29" s="82"/>
      <c r="F29" s="76">
        <f t="shared" si="2"/>
        <v>0</v>
      </c>
      <c r="G29" s="82"/>
      <c r="H29" s="82"/>
      <c r="I29" s="82"/>
      <c r="J29" s="83"/>
      <c r="K29" s="76">
        <f t="shared" si="3"/>
        <v>0</v>
      </c>
      <c r="L29" s="84"/>
      <c r="M29" s="85"/>
    </row>
    <row r="30" spans="1:13" ht="15.95" customHeight="1">
      <c r="A30" s="81">
        <f t="shared" si="1"/>
        <v>42666</v>
      </c>
      <c r="B30" s="82"/>
      <c r="C30" s="82"/>
      <c r="D30" s="82"/>
      <c r="E30" s="82"/>
      <c r="F30" s="76">
        <f t="shared" si="2"/>
        <v>0</v>
      </c>
      <c r="G30" s="82"/>
      <c r="H30" s="82"/>
      <c r="I30" s="82"/>
      <c r="J30" s="83"/>
      <c r="K30" s="76">
        <f t="shared" si="3"/>
        <v>0</v>
      </c>
      <c r="L30" s="84"/>
      <c r="M30" s="85"/>
    </row>
    <row r="31" spans="1:13" ht="15.95" customHeight="1">
      <c r="A31" s="81">
        <f t="shared" si="1"/>
        <v>42667</v>
      </c>
      <c r="B31" s="82"/>
      <c r="C31" s="82"/>
      <c r="D31" s="82"/>
      <c r="E31" s="82"/>
      <c r="F31" s="76">
        <f t="shared" si="2"/>
        <v>0</v>
      </c>
      <c r="G31" s="82"/>
      <c r="H31" s="82"/>
      <c r="I31" s="82"/>
      <c r="J31" s="83"/>
      <c r="K31" s="76">
        <f t="shared" si="3"/>
        <v>0</v>
      </c>
      <c r="L31" s="84"/>
      <c r="M31" s="85"/>
    </row>
    <row r="32" spans="1:13" ht="15.95" customHeight="1">
      <c r="A32" s="81">
        <f t="shared" si="1"/>
        <v>42668</v>
      </c>
      <c r="B32" s="82"/>
      <c r="C32" s="82"/>
      <c r="D32" s="82"/>
      <c r="E32" s="82"/>
      <c r="F32" s="76">
        <f t="shared" si="2"/>
        <v>0</v>
      </c>
      <c r="G32" s="82"/>
      <c r="H32" s="82"/>
      <c r="I32" s="82"/>
      <c r="J32" s="83"/>
      <c r="K32" s="76">
        <f t="shared" si="3"/>
        <v>0</v>
      </c>
      <c r="L32" s="84"/>
      <c r="M32" s="85"/>
    </row>
    <row r="33" spans="1:13" ht="15.95" customHeight="1">
      <c r="A33" s="81">
        <f t="shared" si="1"/>
        <v>42669</v>
      </c>
      <c r="B33" s="82"/>
      <c r="C33" s="82"/>
      <c r="D33" s="82"/>
      <c r="E33" s="82"/>
      <c r="F33" s="76">
        <f t="shared" si="2"/>
        <v>0</v>
      </c>
      <c r="G33" s="82"/>
      <c r="H33" s="82"/>
      <c r="I33" s="82"/>
      <c r="J33" s="83"/>
      <c r="K33" s="76">
        <f t="shared" si="3"/>
        <v>0</v>
      </c>
      <c r="L33" s="84"/>
      <c r="M33" s="85"/>
    </row>
    <row r="34" spans="1:13" ht="15.95" customHeight="1">
      <c r="A34" s="81">
        <f t="shared" si="1"/>
        <v>42670</v>
      </c>
      <c r="B34" s="82"/>
      <c r="C34" s="82"/>
      <c r="D34" s="82"/>
      <c r="E34" s="82"/>
      <c r="F34" s="76">
        <f t="shared" si="2"/>
        <v>0</v>
      </c>
      <c r="G34" s="82"/>
      <c r="H34" s="82"/>
      <c r="I34" s="82"/>
      <c r="J34" s="83"/>
      <c r="K34" s="76">
        <f t="shared" si="3"/>
        <v>0</v>
      </c>
      <c r="L34" s="84"/>
      <c r="M34" s="85"/>
    </row>
    <row r="35" spans="1:13" ht="15.95" customHeight="1">
      <c r="A35" s="81">
        <f t="shared" si="1"/>
        <v>42671</v>
      </c>
      <c r="B35" s="82"/>
      <c r="C35" s="82"/>
      <c r="D35" s="82"/>
      <c r="E35" s="82"/>
      <c r="F35" s="76">
        <f t="shared" si="2"/>
        <v>0</v>
      </c>
      <c r="G35" s="82"/>
      <c r="H35" s="82"/>
      <c r="I35" s="82"/>
      <c r="J35" s="83"/>
      <c r="K35" s="76">
        <f t="shared" si="3"/>
        <v>0</v>
      </c>
      <c r="L35" s="84"/>
      <c r="M35" s="85"/>
    </row>
    <row r="36" spans="1:13" ht="15.95" customHeight="1">
      <c r="A36" s="81">
        <f t="shared" si="1"/>
        <v>42672</v>
      </c>
      <c r="B36" s="82"/>
      <c r="C36" s="82"/>
      <c r="D36" s="82"/>
      <c r="E36" s="82"/>
      <c r="F36" s="76">
        <f t="shared" si="2"/>
        <v>0</v>
      </c>
      <c r="G36" s="82"/>
      <c r="H36" s="82"/>
      <c r="I36" s="82"/>
      <c r="J36" s="83"/>
      <c r="K36" s="76">
        <f t="shared" si="3"/>
        <v>0</v>
      </c>
      <c r="L36" s="84"/>
      <c r="M36" s="85"/>
    </row>
    <row r="37" spans="1:13" ht="15.95" customHeight="1">
      <c r="A37" s="81">
        <f t="shared" si="1"/>
        <v>42673</v>
      </c>
      <c r="B37" s="82"/>
      <c r="C37" s="82"/>
      <c r="D37" s="82"/>
      <c r="E37" s="82"/>
      <c r="F37" s="76">
        <f t="shared" si="2"/>
        <v>0</v>
      </c>
      <c r="G37" s="82"/>
      <c r="H37" s="82"/>
      <c r="I37" s="82"/>
      <c r="J37" s="83"/>
      <c r="K37" s="76">
        <f t="shared" si="3"/>
        <v>0</v>
      </c>
      <c r="L37" s="84"/>
      <c r="M37" s="85"/>
    </row>
    <row r="38" spans="1:13" ht="15.95" customHeight="1">
      <c r="A38" s="81">
        <f t="shared" si="1"/>
        <v>42674</v>
      </c>
      <c r="B38" s="82"/>
      <c r="C38" s="82"/>
      <c r="D38" s="82"/>
      <c r="E38" s="82"/>
      <c r="F38" s="76">
        <f t="shared" si="2"/>
        <v>0</v>
      </c>
      <c r="G38" s="82"/>
      <c r="H38" s="82"/>
      <c r="I38" s="82"/>
      <c r="J38" s="83"/>
      <c r="K38" s="76">
        <f t="shared" si="3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37"/>
  <sheetViews>
    <sheetView workbookViewId="0">
      <selection activeCell="I23" sqref="I23"/>
    </sheetView>
  </sheetViews>
  <sheetFormatPr defaultRowHeight="16.5"/>
  <cols>
    <col min="1" max="1" width="10" style="66" bestFit="1" customWidth="1"/>
    <col min="2" max="4" width="8.85546875" style="68" customWidth="1"/>
    <col min="5" max="5" width="11" style="71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45</v>
      </c>
      <c r="B1" s="88" t="s">
        <v>171</v>
      </c>
      <c r="C1" s="88" t="s">
        <v>60</v>
      </c>
      <c r="D1" s="88" t="s">
        <v>62</v>
      </c>
      <c r="E1" s="249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5.95" customHeight="1">
      <c r="A2" s="149">
        <v>42521</v>
      </c>
      <c r="B2" s="150">
        <v>0</v>
      </c>
      <c r="C2" s="150">
        <v>0</v>
      </c>
      <c r="D2" s="150">
        <v>0</v>
      </c>
      <c r="E2" s="151"/>
      <c r="F2" s="151">
        <v>0</v>
      </c>
      <c r="G2" s="150">
        <v>0</v>
      </c>
      <c r="H2" s="150">
        <v>0</v>
      </c>
      <c r="I2" s="150">
        <v>0</v>
      </c>
      <c r="J2" s="152"/>
      <c r="K2" s="151">
        <v>0</v>
      </c>
      <c r="L2" s="153"/>
      <c r="M2" s="154"/>
    </row>
    <row r="3" spans="1:13" s="155" customFormat="1" ht="15.95" customHeight="1">
      <c r="A3" s="149">
        <v>42551</v>
      </c>
      <c r="B3" s="150">
        <v>0</v>
      </c>
      <c r="C3" s="150">
        <v>0</v>
      </c>
      <c r="D3" s="150">
        <v>0</v>
      </c>
      <c r="E3" s="151"/>
      <c r="F3" s="151">
        <v>0</v>
      </c>
      <c r="G3" s="150">
        <v>0</v>
      </c>
      <c r="H3" s="150">
        <v>0</v>
      </c>
      <c r="I3" s="150">
        <v>0</v>
      </c>
      <c r="J3" s="152">
        <v>50135.5</v>
      </c>
      <c r="K3" s="151">
        <v>0</v>
      </c>
      <c r="L3" s="153"/>
      <c r="M3" s="154"/>
    </row>
    <row r="4" spans="1:13" s="155" customFormat="1" ht="15.95" customHeight="1">
      <c r="A4" s="149">
        <v>42582</v>
      </c>
      <c r="B4" s="150">
        <v>0</v>
      </c>
      <c r="C4" s="150">
        <v>0</v>
      </c>
      <c r="D4" s="150">
        <v>20</v>
      </c>
      <c r="E4" s="151"/>
      <c r="F4" s="151">
        <v>20</v>
      </c>
      <c r="G4" s="150">
        <v>0</v>
      </c>
      <c r="H4" s="150">
        <v>0</v>
      </c>
      <c r="I4" s="150">
        <v>29</v>
      </c>
      <c r="J4" s="152">
        <v>62936.3</v>
      </c>
      <c r="K4" s="151">
        <v>4.6100000000000003</v>
      </c>
      <c r="L4" s="153"/>
      <c r="M4" s="154"/>
    </row>
    <row r="5" spans="1:13" s="155" customFormat="1" ht="15.95" customHeight="1">
      <c r="A5" s="149">
        <v>42613</v>
      </c>
      <c r="B5" s="150">
        <v>1</v>
      </c>
      <c r="C5" s="150">
        <v>0</v>
      </c>
      <c r="D5" s="150">
        <v>4</v>
      </c>
      <c r="E5" s="151"/>
      <c r="F5" s="151">
        <v>4</v>
      </c>
      <c r="G5" s="150">
        <v>1</v>
      </c>
      <c r="H5" s="150">
        <v>0</v>
      </c>
      <c r="I5" s="150">
        <v>14</v>
      </c>
      <c r="J5" s="152">
        <v>84368.7</v>
      </c>
      <c r="K5" s="151">
        <v>1.66</v>
      </c>
      <c r="L5" s="153"/>
      <c r="M5" s="154"/>
    </row>
    <row r="6" spans="1:13" s="155" customFormat="1" ht="15.95" customHeight="1">
      <c r="A6" s="149">
        <v>42643</v>
      </c>
      <c r="B6" s="150">
        <v>0</v>
      </c>
      <c r="C6" s="150">
        <v>0</v>
      </c>
      <c r="D6" s="150">
        <v>12</v>
      </c>
      <c r="E6" s="151"/>
      <c r="F6" s="151">
        <f>IF(E6&gt;10000,D6/E6*10000,D6)</f>
        <v>12</v>
      </c>
      <c r="G6" s="150">
        <v>0</v>
      </c>
      <c r="H6" s="150">
        <v>0</v>
      </c>
      <c r="I6" s="150">
        <v>15</v>
      </c>
      <c r="J6" s="152">
        <v>50945.1</v>
      </c>
      <c r="K6" s="151">
        <f>IF(J6&gt;10000,I6/J6*10000,I6)</f>
        <v>2.9443459724291445</v>
      </c>
      <c r="L6" s="153"/>
      <c r="M6" s="154"/>
    </row>
    <row r="7" spans="1:13" ht="15.95" customHeight="1">
      <c r="A7" s="81">
        <f>A6+1</f>
        <v>42644</v>
      </c>
      <c r="B7" s="82">
        <v>0</v>
      </c>
      <c r="C7" s="82">
        <v>0</v>
      </c>
      <c r="D7" s="82">
        <v>0</v>
      </c>
      <c r="E7" s="104"/>
      <c r="F7" s="76">
        <f>IF(E7&gt;10000,D7/E7*10000,D7)</f>
        <v>0</v>
      </c>
      <c r="G7" s="243">
        <v>0</v>
      </c>
      <c r="H7" s="243">
        <v>0</v>
      </c>
      <c r="I7" s="243">
        <v>0</v>
      </c>
      <c r="J7" s="242"/>
      <c r="K7" s="76">
        <f>IF(J7&gt;10000,I7/J7*10000,I7)</f>
        <v>0</v>
      </c>
      <c r="L7" s="84"/>
      <c r="M7" s="85"/>
    </row>
    <row r="8" spans="1:13" ht="15.95" customHeight="1">
      <c r="A8" s="81">
        <f t="shared" ref="A8:A37" si="0">A7+1</f>
        <v>42645</v>
      </c>
      <c r="B8" s="82">
        <v>0</v>
      </c>
      <c r="C8" s="82">
        <v>0</v>
      </c>
      <c r="D8" s="82">
        <v>0</v>
      </c>
      <c r="E8" s="104"/>
      <c r="F8" s="76">
        <f t="shared" ref="F8:F37" si="1">IF(E8&gt;10000,D8/E8*10000,D8)</f>
        <v>0</v>
      </c>
      <c r="G8" s="82">
        <v>0</v>
      </c>
      <c r="H8" s="82">
        <v>0</v>
      </c>
      <c r="I8" s="82">
        <v>0</v>
      </c>
      <c r="J8" s="83"/>
      <c r="K8" s="76">
        <f t="shared" ref="K8:K37" si="2">IF(J8&gt;10000,I8/J8*10000,I8)</f>
        <v>0</v>
      </c>
      <c r="L8" s="84"/>
      <c r="M8" s="85"/>
    </row>
    <row r="9" spans="1:13" ht="15.95" customHeight="1">
      <c r="A9" s="81">
        <f t="shared" si="0"/>
        <v>42646</v>
      </c>
      <c r="B9" s="82">
        <v>2</v>
      </c>
      <c r="C9" s="82">
        <v>0</v>
      </c>
      <c r="D9" s="82">
        <v>0</v>
      </c>
      <c r="E9" s="104"/>
      <c r="F9" s="76">
        <f t="shared" si="1"/>
        <v>0</v>
      </c>
      <c r="G9" s="82">
        <v>2</v>
      </c>
      <c r="H9" s="82">
        <v>0</v>
      </c>
      <c r="I9" s="82">
        <v>1</v>
      </c>
      <c r="J9" s="83">
        <v>13279.3</v>
      </c>
      <c r="K9" s="76">
        <f t="shared" si="2"/>
        <v>0.75305174218520565</v>
      </c>
      <c r="L9" s="84"/>
      <c r="M9" s="85"/>
    </row>
    <row r="10" spans="1:13" ht="15.95" customHeight="1">
      <c r="A10" s="81">
        <f t="shared" si="0"/>
        <v>42647</v>
      </c>
      <c r="B10" s="82">
        <v>2</v>
      </c>
      <c r="C10" s="82">
        <v>0</v>
      </c>
      <c r="D10" s="82">
        <v>0</v>
      </c>
      <c r="E10" s="104"/>
      <c r="F10" s="76">
        <f t="shared" si="1"/>
        <v>0</v>
      </c>
      <c r="G10" s="82">
        <v>3</v>
      </c>
      <c r="H10" s="82">
        <v>0</v>
      </c>
      <c r="I10" s="82">
        <v>1</v>
      </c>
      <c r="J10" s="83">
        <v>18249.099999999999</v>
      </c>
      <c r="K10" s="76">
        <f t="shared" si="2"/>
        <v>0.54797222876744611</v>
      </c>
      <c r="L10" s="84"/>
      <c r="M10" s="85"/>
    </row>
    <row r="11" spans="1:13" ht="15.95" customHeight="1">
      <c r="A11" s="81">
        <f t="shared" si="0"/>
        <v>42648</v>
      </c>
      <c r="B11" s="82">
        <v>2</v>
      </c>
      <c r="C11" s="82">
        <v>0</v>
      </c>
      <c r="D11" s="82">
        <v>0</v>
      </c>
      <c r="E11" s="104"/>
      <c r="F11" s="76">
        <f t="shared" si="1"/>
        <v>0</v>
      </c>
      <c r="G11" s="82">
        <v>3</v>
      </c>
      <c r="H11" s="82">
        <v>0</v>
      </c>
      <c r="I11" s="82">
        <v>2</v>
      </c>
      <c r="J11" s="83">
        <v>19378</v>
      </c>
      <c r="K11" s="76">
        <f t="shared" si="2"/>
        <v>1.0320982557539478</v>
      </c>
      <c r="L11" s="84"/>
      <c r="M11" s="85"/>
    </row>
    <row r="12" spans="1:13" ht="15.95" customHeight="1">
      <c r="A12" s="81">
        <f t="shared" si="0"/>
        <v>42649</v>
      </c>
      <c r="B12" s="82">
        <v>5</v>
      </c>
      <c r="C12" s="82">
        <v>2</v>
      </c>
      <c r="D12" s="82">
        <v>3</v>
      </c>
      <c r="E12" s="104"/>
      <c r="F12" s="76">
        <f t="shared" si="1"/>
        <v>3</v>
      </c>
      <c r="G12" s="82">
        <v>5</v>
      </c>
      <c r="H12" s="82">
        <v>2</v>
      </c>
      <c r="I12" s="82">
        <v>4</v>
      </c>
      <c r="J12" s="83">
        <v>19378</v>
      </c>
      <c r="K12" s="76">
        <f t="shared" si="2"/>
        <v>2.0641965115078955</v>
      </c>
      <c r="L12" s="84"/>
      <c r="M12" s="85"/>
    </row>
    <row r="13" spans="1:13" ht="15.95" customHeight="1">
      <c r="A13" s="81">
        <f t="shared" si="0"/>
        <v>42650</v>
      </c>
      <c r="B13" s="82">
        <v>0</v>
      </c>
      <c r="C13" s="82">
        <v>0</v>
      </c>
      <c r="D13" s="82">
        <v>3</v>
      </c>
      <c r="E13" s="104"/>
      <c r="F13" s="76">
        <f t="shared" si="1"/>
        <v>3</v>
      </c>
      <c r="G13" s="82">
        <v>0</v>
      </c>
      <c r="H13" s="82">
        <v>0</v>
      </c>
      <c r="I13" s="82">
        <v>4</v>
      </c>
      <c r="J13" s="83">
        <v>19378</v>
      </c>
      <c r="K13" s="76">
        <f t="shared" si="2"/>
        <v>2.0641965115078955</v>
      </c>
      <c r="L13" s="84"/>
      <c r="M13" s="85"/>
    </row>
    <row r="14" spans="1:13" ht="15.95" customHeight="1">
      <c r="A14" s="81">
        <f t="shared" si="0"/>
        <v>42651</v>
      </c>
      <c r="B14" s="82">
        <v>1</v>
      </c>
      <c r="C14" s="82">
        <v>0</v>
      </c>
      <c r="D14" s="82">
        <v>3</v>
      </c>
      <c r="E14" s="104"/>
      <c r="F14" s="76">
        <f t="shared" si="1"/>
        <v>3</v>
      </c>
      <c r="G14" s="82">
        <v>1</v>
      </c>
      <c r="H14" s="82">
        <v>0</v>
      </c>
      <c r="I14" s="82">
        <v>4</v>
      </c>
      <c r="J14" s="83">
        <v>19378</v>
      </c>
      <c r="K14" s="76">
        <f t="shared" si="2"/>
        <v>2.0641965115078955</v>
      </c>
      <c r="L14" s="84"/>
      <c r="M14" s="85"/>
    </row>
    <row r="15" spans="1:13" ht="15.95" customHeight="1">
      <c r="A15" s="81">
        <f t="shared" si="0"/>
        <v>42652</v>
      </c>
      <c r="B15" s="82">
        <v>0</v>
      </c>
      <c r="C15" s="82">
        <v>0</v>
      </c>
      <c r="D15" s="82">
        <v>3</v>
      </c>
      <c r="E15" s="104"/>
      <c r="F15" s="76">
        <f t="shared" si="1"/>
        <v>3</v>
      </c>
      <c r="G15" s="82">
        <v>0</v>
      </c>
      <c r="H15" s="82">
        <v>0</v>
      </c>
      <c r="I15" s="82">
        <v>4</v>
      </c>
      <c r="J15" s="83">
        <v>19378</v>
      </c>
      <c r="K15" s="76">
        <f t="shared" si="2"/>
        <v>2.0641965115078955</v>
      </c>
      <c r="L15" s="84"/>
      <c r="M15" s="85"/>
    </row>
    <row r="16" spans="1:13" ht="15.95" customHeight="1">
      <c r="A16" s="81">
        <f t="shared" si="0"/>
        <v>42653</v>
      </c>
      <c r="B16" s="82">
        <v>1</v>
      </c>
      <c r="C16" s="82">
        <v>0</v>
      </c>
      <c r="D16" s="82">
        <v>3</v>
      </c>
      <c r="E16" s="104"/>
      <c r="F16" s="76">
        <f t="shared" si="1"/>
        <v>3</v>
      </c>
      <c r="G16" s="82">
        <v>1</v>
      </c>
      <c r="H16" s="82">
        <v>0</v>
      </c>
      <c r="I16" s="82">
        <v>4</v>
      </c>
      <c r="J16" s="83">
        <v>19378</v>
      </c>
      <c r="K16" s="76">
        <f t="shared" si="2"/>
        <v>2.0641965115078955</v>
      </c>
      <c r="L16" s="84"/>
      <c r="M16" s="85"/>
    </row>
    <row r="17" spans="1:13" ht="15.95" customHeight="1">
      <c r="A17" s="81">
        <f t="shared" si="0"/>
        <v>42654</v>
      </c>
      <c r="B17" s="82">
        <v>2</v>
      </c>
      <c r="C17" s="82">
        <v>0</v>
      </c>
      <c r="D17" s="82">
        <v>3</v>
      </c>
      <c r="E17" s="104"/>
      <c r="F17" s="76">
        <f t="shared" si="1"/>
        <v>3</v>
      </c>
      <c r="G17" s="82">
        <v>2</v>
      </c>
      <c r="H17" s="82">
        <v>0</v>
      </c>
      <c r="I17" s="82">
        <v>4</v>
      </c>
      <c r="J17" s="83">
        <v>19378</v>
      </c>
      <c r="K17" s="76">
        <f t="shared" si="2"/>
        <v>2.0641965115078955</v>
      </c>
      <c r="L17" s="84"/>
      <c r="M17" s="85"/>
    </row>
    <row r="18" spans="1:13" ht="15.95" customHeight="1">
      <c r="A18" s="81">
        <f t="shared" si="0"/>
        <v>42655</v>
      </c>
      <c r="B18" s="82">
        <v>2</v>
      </c>
      <c r="C18" s="82">
        <v>0</v>
      </c>
      <c r="D18" s="82">
        <v>3</v>
      </c>
      <c r="E18" s="104"/>
      <c r="F18" s="76">
        <f t="shared" si="1"/>
        <v>3</v>
      </c>
      <c r="G18" s="82">
        <v>2</v>
      </c>
      <c r="H18" s="82">
        <v>0</v>
      </c>
      <c r="I18" s="82">
        <v>4</v>
      </c>
      <c r="J18" s="83">
        <v>19418</v>
      </c>
      <c r="K18" s="76">
        <f t="shared" si="2"/>
        <v>2.0599443815016993</v>
      </c>
      <c r="L18" s="84"/>
      <c r="M18" s="85"/>
    </row>
    <row r="19" spans="1:13" ht="15.95" customHeight="1">
      <c r="A19" s="81">
        <f t="shared" si="0"/>
        <v>42656</v>
      </c>
      <c r="B19" s="82">
        <v>0</v>
      </c>
      <c r="C19" s="82">
        <v>0</v>
      </c>
      <c r="D19" s="82">
        <v>3</v>
      </c>
      <c r="E19" s="104"/>
      <c r="F19" s="76">
        <f t="shared" si="1"/>
        <v>3</v>
      </c>
      <c r="G19" s="82">
        <v>0</v>
      </c>
      <c r="H19" s="82">
        <v>0</v>
      </c>
      <c r="I19" s="82">
        <v>4</v>
      </c>
      <c r="J19" s="83">
        <v>19475</v>
      </c>
      <c r="K19" s="76">
        <f t="shared" si="2"/>
        <v>2.0539152759948651</v>
      </c>
      <c r="L19" s="84"/>
      <c r="M19" s="85"/>
    </row>
    <row r="20" spans="1:13" ht="15.95" customHeight="1">
      <c r="A20" s="81">
        <f t="shared" si="0"/>
        <v>42657</v>
      </c>
      <c r="B20" s="82">
        <v>0</v>
      </c>
      <c r="C20" s="82">
        <v>0</v>
      </c>
      <c r="D20" s="82">
        <v>3</v>
      </c>
      <c r="E20" s="104"/>
      <c r="F20" s="76">
        <f t="shared" si="1"/>
        <v>3</v>
      </c>
      <c r="G20" s="82">
        <v>0</v>
      </c>
      <c r="H20" s="82">
        <v>0</v>
      </c>
      <c r="I20" s="82">
        <v>4</v>
      </c>
      <c r="J20" s="83">
        <v>19557.099999999999</v>
      </c>
      <c r="K20" s="76">
        <f t="shared" si="2"/>
        <v>2.0452930137903884</v>
      </c>
      <c r="L20" s="84"/>
      <c r="M20" s="85"/>
    </row>
    <row r="21" spans="1:13" ht="15.95" customHeight="1">
      <c r="A21" s="81">
        <f t="shared" si="0"/>
        <v>42658</v>
      </c>
      <c r="B21" s="82"/>
      <c r="C21" s="82"/>
      <c r="D21" s="82"/>
      <c r="E21" s="104"/>
      <c r="F21" s="76">
        <f t="shared" si="1"/>
        <v>0</v>
      </c>
      <c r="G21" s="82"/>
      <c r="H21" s="82"/>
      <c r="I21" s="82"/>
      <c r="J21" s="83"/>
      <c r="K21" s="76">
        <f t="shared" si="2"/>
        <v>0</v>
      </c>
      <c r="L21" s="84"/>
      <c r="M21" s="85"/>
    </row>
    <row r="22" spans="1:13" ht="15.95" customHeight="1">
      <c r="A22" s="81">
        <f t="shared" si="0"/>
        <v>42659</v>
      </c>
      <c r="B22" s="82"/>
      <c r="C22" s="82"/>
      <c r="D22" s="82"/>
      <c r="E22" s="104"/>
      <c r="F22" s="76">
        <f t="shared" si="1"/>
        <v>0</v>
      </c>
      <c r="G22" s="82"/>
      <c r="H22" s="82"/>
      <c r="I22" s="82"/>
      <c r="J22" s="83"/>
      <c r="K22" s="76">
        <f t="shared" si="2"/>
        <v>0</v>
      </c>
      <c r="L22" s="84"/>
      <c r="M22" s="85"/>
    </row>
    <row r="23" spans="1:13" ht="15.95" customHeight="1">
      <c r="A23" s="81">
        <f t="shared" si="0"/>
        <v>42660</v>
      </c>
      <c r="B23" s="82"/>
      <c r="C23" s="82"/>
      <c r="D23" s="82"/>
      <c r="E23" s="104"/>
      <c r="F23" s="76">
        <f t="shared" si="1"/>
        <v>0</v>
      </c>
      <c r="G23" s="82"/>
      <c r="H23" s="82"/>
      <c r="I23" s="82"/>
      <c r="J23" s="83"/>
      <c r="K23" s="76">
        <f t="shared" si="2"/>
        <v>0</v>
      </c>
      <c r="L23" s="84"/>
      <c r="M23" s="85"/>
    </row>
    <row r="24" spans="1:13" ht="15.95" customHeight="1">
      <c r="A24" s="81">
        <f t="shared" si="0"/>
        <v>42661</v>
      </c>
      <c r="B24" s="82"/>
      <c r="C24" s="82"/>
      <c r="D24" s="82"/>
      <c r="E24" s="104"/>
      <c r="F24" s="76">
        <f t="shared" si="1"/>
        <v>0</v>
      </c>
      <c r="G24" s="82"/>
      <c r="H24" s="82"/>
      <c r="I24" s="82"/>
      <c r="J24" s="83"/>
      <c r="K24" s="76">
        <f t="shared" si="2"/>
        <v>0</v>
      </c>
      <c r="L24" s="84"/>
      <c r="M24" s="85"/>
    </row>
    <row r="25" spans="1:13" ht="15.95" customHeight="1">
      <c r="A25" s="81">
        <f t="shared" si="0"/>
        <v>42662</v>
      </c>
      <c r="B25" s="82"/>
      <c r="C25" s="82"/>
      <c r="D25" s="82"/>
      <c r="E25" s="104"/>
      <c r="F25" s="76">
        <f t="shared" si="1"/>
        <v>0</v>
      </c>
      <c r="G25" s="82"/>
      <c r="H25" s="82"/>
      <c r="I25" s="82"/>
      <c r="J25" s="83"/>
      <c r="K25" s="76">
        <f t="shared" si="2"/>
        <v>0</v>
      </c>
      <c r="L25" s="84"/>
      <c r="M25" s="85"/>
    </row>
    <row r="26" spans="1:13" ht="15.95" customHeight="1">
      <c r="A26" s="81">
        <f t="shared" si="0"/>
        <v>42663</v>
      </c>
      <c r="B26" s="82"/>
      <c r="C26" s="82"/>
      <c r="D26" s="82"/>
      <c r="E26" s="104"/>
      <c r="F26" s="76">
        <f t="shared" si="1"/>
        <v>0</v>
      </c>
      <c r="G26" s="82"/>
      <c r="H26" s="82"/>
      <c r="I26" s="82"/>
      <c r="J26" s="83"/>
      <c r="K26" s="76">
        <f t="shared" si="2"/>
        <v>0</v>
      </c>
      <c r="L26" s="84"/>
      <c r="M26" s="85"/>
    </row>
    <row r="27" spans="1:13" ht="15.95" customHeight="1">
      <c r="A27" s="81">
        <f t="shared" si="0"/>
        <v>42664</v>
      </c>
      <c r="B27" s="82"/>
      <c r="C27" s="82"/>
      <c r="D27" s="82"/>
      <c r="E27" s="104"/>
      <c r="F27" s="76">
        <f t="shared" si="1"/>
        <v>0</v>
      </c>
      <c r="G27" s="82"/>
      <c r="H27" s="82"/>
      <c r="I27" s="82"/>
      <c r="J27" s="83"/>
      <c r="K27" s="76">
        <f t="shared" si="2"/>
        <v>0</v>
      </c>
      <c r="L27" s="84"/>
      <c r="M27" s="85"/>
    </row>
    <row r="28" spans="1:13" ht="15.95" customHeight="1">
      <c r="A28" s="81">
        <f t="shared" si="0"/>
        <v>42665</v>
      </c>
      <c r="B28" s="82"/>
      <c r="C28" s="82"/>
      <c r="D28" s="82"/>
      <c r="E28" s="104"/>
      <c r="F28" s="76">
        <f t="shared" si="1"/>
        <v>0</v>
      </c>
      <c r="G28" s="82"/>
      <c r="H28" s="82"/>
      <c r="I28" s="82"/>
      <c r="J28" s="83"/>
      <c r="K28" s="76">
        <f t="shared" si="2"/>
        <v>0</v>
      </c>
      <c r="L28" s="84"/>
      <c r="M28" s="85"/>
    </row>
    <row r="29" spans="1:13" ht="15.95" customHeight="1">
      <c r="A29" s="81">
        <f t="shared" si="0"/>
        <v>42666</v>
      </c>
      <c r="B29" s="82"/>
      <c r="C29" s="82"/>
      <c r="D29" s="82"/>
      <c r="E29" s="104"/>
      <c r="F29" s="76">
        <f t="shared" si="1"/>
        <v>0</v>
      </c>
      <c r="G29" s="82"/>
      <c r="H29" s="82"/>
      <c r="I29" s="82"/>
      <c r="J29" s="83"/>
      <c r="K29" s="76">
        <f t="shared" si="2"/>
        <v>0</v>
      </c>
      <c r="L29" s="84"/>
      <c r="M29" s="85"/>
    </row>
    <row r="30" spans="1:13" ht="15.95" customHeight="1">
      <c r="A30" s="81">
        <f t="shared" si="0"/>
        <v>42667</v>
      </c>
      <c r="B30" s="82"/>
      <c r="C30" s="82"/>
      <c r="D30" s="82"/>
      <c r="E30" s="104"/>
      <c r="F30" s="76">
        <f t="shared" si="1"/>
        <v>0</v>
      </c>
      <c r="G30" s="82"/>
      <c r="H30" s="82"/>
      <c r="I30" s="82"/>
      <c r="J30" s="83"/>
      <c r="K30" s="76">
        <f t="shared" si="2"/>
        <v>0</v>
      </c>
      <c r="L30" s="84"/>
      <c r="M30" s="85"/>
    </row>
    <row r="31" spans="1:13" ht="15.95" customHeight="1">
      <c r="A31" s="81">
        <f t="shared" si="0"/>
        <v>42668</v>
      </c>
      <c r="B31" s="82"/>
      <c r="C31" s="82"/>
      <c r="D31" s="82"/>
      <c r="E31" s="104"/>
      <c r="F31" s="76">
        <f t="shared" si="1"/>
        <v>0</v>
      </c>
      <c r="G31" s="82"/>
      <c r="H31" s="82"/>
      <c r="I31" s="82"/>
      <c r="J31" s="83"/>
      <c r="K31" s="76">
        <f t="shared" si="2"/>
        <v>0</v>
      </c>
      <c r="L31" s="84"/>
      <c r="M31" s="85"/>
    </row>
    <row r="32" spans="1:13" ht="15.95" customHeight="1">
      <c r="A32" s="81">
        <f t="shared" si="0"/>
        <v>42669</v>
      </c>
      <c r="B32" s="82"/>
      <c r="C32" s="82"/>
      <c r="D32" s="82"/>
      <c r="E32" s="104"/>
      <c r="F32" s="76">
        <f t="shared" si="1"/>
        <v>0</v>
      </c>
      <c r="G32" s="82"/>
      <c r="H32" s="82"/>
      <c r="I32" s="82"/>
      <c r="J32" s="83"/>
      <c r="K32" s="76">
        <f t="shared" si="2"/>
        <v>0</v>
      </c>
      <c r="L32" s="84"/>
      <c r="M32" s="85"/>
    </row>
    <row r="33" spans="1:13" ht="15.95" customHeight="1">
      <c r="A33" s="81">
        <f t="shared" si="0"/>
        <v>42670</v>
      </c>
      <c r="B33" s="82"/>
      <c r="C33" s="82"/>
      <c r="D33" s="82"/>
      <c r="E33" s="104"/>
      <c r="F33" s="76">
        <f t="shared" si="1"/>
        <v>0</v>
      </c>
      <c r="G33" s="82"/>
      <c r="H33" s="82"/>
      <c r="I33" s="82"/>
      <c r="J33" s="83"/>
      <c r="K33" s="76">
        <f t="shared" si="2"/>
        <v>0</v>
      </c>
      <c r="L33" s="84"/>
      <c r="M33" s="85"/>
    </row>
    <row r="34" spans="1:13" ht="15.95" customHeight="1">
      <c r="A34" s="81">
        <f t="shared" si="0"/>
        <v>42671</v>
      </c>
      <c r="B34" s="82"/>
      <c r="C34" s="82"/>
      <c r="D34" s="82"/>
      <c r="E34" s="104"/>
      <c r="F34" s="76">
        <f t="shared" si="1"/>
        <v>0</v>
      </c>
      <c r="G34" s="82"/>
      <c r="H34" s="82"/>
      <c r="I34" s="82"/>
      <c r="J34" s="83"/>
      <c r="K34" s="76">
        <f t="shared" si="2"/>
        <v>0</v>
      </c>
      <c r="L34" s="84"/>
      <c r="M34" s="85"/>
    </row>
    <row r="35" spans="1:13" ht="15.95" customHeight="1">
      <c r="A35" s="81">
        <f t="shared" si="0"/>
        <v>42672</v>
      </c>
      <c r="B35" s="82"/>
      <c r="C35" s="82"/>
      <c r="D35" s="82"/>
      <c r="E35" s="104"/>
      <c r="F35" s="76">
        <f t="shared" si="1"/>
        <v>0</v>
      </c>
      <c r="G35" s="82"/>
      <c r="H35" s="82"/>
      <c r="I35" s="82"/>
      <c r="J35" s="83"/>
      <c r="K35" s="76">
        <f t="shared" si="2"/>
        <v>0</v>
      </c>
      <c r="L35" s="84"/>
      <c r="M35" s="85"/>
    </row>
    <row r="36" spans="1:13" ht="15.95" customHeight="1">
      <c r="A36" s="81">
        <f t="shared" si="0"/>
        <v>42673</v>
      </c>
      <c r="B36" s="82"/>
      <c r="C36" s="82"/>
      <c r="D36" s="82"/>
      <c r="E36" s="104"/>
      <c r="F36" s="76">
        <f t="shared" si="1"/>
        <v>0</v>
      </c>
      <c r="G36" s="82"/>
      <c r="H36" s="82"/>
      <c r="I36" s="82"/>
      <c r="J36" s="83"/>
      <c r="K36" s="76">
        <f t="shared" si="2"/>
        <v>0</v>
      </c>
      <c r="L36" s="84"/>
      <c r="M36" s="85"/>
    </row>
    <row r="37" spans="1:13" ht="15.95" customHeight="1">
      <c r="A37" s="81">
        <f t="shared" si="0"/>
        <v>42674</v>
      </c>
      <c r="B37" s="82"/>
      <c r="C37" s="82"/>
      <c r="D37" s="82"/>
      <c r="E37" s="104"/>
      <c r="F37" s="76">
        <f t="shared" si="1"/>
        <v>0</v>
      </c>
      <c r="G37" s="82"/>
      <c r="H37" s="82"/>
      <c r="I37" s="82"/>
      <c r="J37" s="83"/>
      <c r="K37" s="76">
        <f t="shared" si="2"/>
        <v>0</v>
      </c>
      <c r="L37" s="84"/>
      <c r="M37" s="8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80"/>
  <sheetViews>
    <sheetView showGridLines="0" workbookViewId="0">
      <pane ySplit="1" topLeftCell="A11" activePane="bottomLeft" state="frozen"/>
      <selection activeCell="O22" sqref="O22"/>
      <selection pane="bottomLeft" activeCell="J21" sqref="J21"/>
    </sheetView>
  </sheetViews>
  <sheetFormatPr defaultRowHeight="15.95" customHeight="1"/>
  <cols>
    <col min="1" max="1" width="14.140625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" width="9.140625" style="66"/>
    <col min="17" max="17" width="10.85546875" style="66" customWidth="1"/>
    <col min="18" max="16384" width="9.140625" style="66"/>
  </cols>
  <sheetData>
    <row r="1" spans="1:25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  <c r="P1"/>
      <c r="Q1"/>
      <c r="R1"/>
      <c r="S1"/>
      <c r="T1"/>
      <c r="U1"/>
      <c r="V1"/>
      <c r="W1"/>
      <c r="X1"/>
    </row>
    <row r="2" spans="1:25" s="155" customFormat="1" ht="16.5">
      <c r="A2" s="149">
        <v>42490</v>
      </c>
      <c r="B2" s="150">
        <v>4</v>
      </c>
      <c r="C2" s="150">
        <v>0</v>
      </c>
      <c r="D2" s="150">
        <v>29</v>
      </c>
      <c r="E2" s="150">
        <v>24407</v>
      </c>
      <c r="F2" s="151">
        <f t="shared" ref="F2:F4" si="0">IF(E2&gt;10000,D2/E2*10000,D2)</f>
        <v>11.881837177858811</v>
      </c>
      <c r="G2" s="150">
        <v>8</v>
      </c>
      <c r="H2" s="150">
        <v>1</v>
      </c>
      <c r="I2" s="150">
        <v>42</v>
      </c>
      <c r="J2" s="152">
        <v>477778.89</v>
      </c>
      <c r="K2" s="151">
        <f t="shared" ref="K2:K4" si="1">IF(J2&gt;10000,I2/J2*10000,I2)</f>
        <v>0.87906772105397968</v>
      </c>
      <c r="L2" s="153"/>
      <c r="M2" s="154"/>
      <c r="N2" s="180"/>
      <c r="O2" s="180"/>
      <c r="P2"/>
      <c r="Q2"/>
      <c r="R2"/>
      <c r="S2"/>
      <c r="T2"/>
      <c r="U2"/>
      <c r="V2"/>
      <c r="W2"/>
      <c r="X2"/>
      <c r="Y2" s="180"/>
    </row>
    <row r="3" spans="1:25" s="155" customFormat="1" ht="16.5">
      <c r="A3" s="149">
        <v>42521</v>
      </c>
      <c r="B3" s="150">
        <v>8</v>
      </c>
      <c r="C3" s="150">
        <v>2</v>
      </c>
      <c r="D3" s="150">
        <v>120</v>
      </c>
      <c r="E3" s="150">
        <v>33866</v>
      </c>
      <c r="F3" s="151">
        <f t="shared" si="0"/>
        <v>35.433768381267349</v>
      </c>
      <c r="G3" s="150">
        <v>12</v>
      </c>
      <c r="H3" s="150">
        <v>4</v>
      </c>
      <c r="I3" s="150">
        <v>165</v>
      </c>
      <c r="J3" s="152">
        <v>742862.97</v>
      </c>
      <c r="K3" s="151">
        <f t="shared" si="1"/>
        <v>2.2211364230471737</v>
      </c>
      <c r="L3" s="153"/>
      <c r="M3" s="154"/>
      <c r="N3" s="180"/>
      <c r="O3" s="180"/>
      <c r="P3"/>
      <c r="Q3"/>
      <c r="R3"/>
      <c r="S3"/>
      <c r="T3"/>
      <c r="U3"/>
      <c r="V3"/>
      <c r="W3"/>
      <c r="X3"/>
      <c r="Y3" s="180"/>
    </row>
    <row r="4" spans="1:25" s="155" customFormat="1" ht="16.5">
      <c r="A4" s="149">
        <v>42551</v>
      </c>
      <c r="B4" s="150">
        <v>2</v>
      </c>
      <c r="C4" s="150">
        <v>1</v>
      </c>
      <c r="D4" s="150">
        <v>34</v>
      </c>
      <c r="E4" s="150">
        <v>17481</v>
      </c>
      <c r="F4" s="151">
        <f t="shared" si="0"/>
        <v>19.44968823293862</v>
      </c>
      <c r="G4" s="150">
        <v>3</v>
      </c>
      <c r="H4" s="150">
        <v>1</v>
      </c>
      <c r="I4" s="150">
        <v>48</v>
      </c>
      <c r="J4" s="152">
        <v>310182.31</v>
      </c>
      <c r="K4" s="151">
        <f t="shared" si="1"/>
        <v>1.5474770305244034</v>
      </c>
      <c r="L4" s="153"/>
      <c r="M4" s="154"/>
      <c r="N4" s="180"/>
      <c r="O4" s="180"/>
      <c r="P4"/>
      <c r="Q4"/>
      <c r="R4"/>
      <c r="S4"/>
      <c r="T4"/>
      <c r="U4"/>
      <c r="V4"/>
      <c r="W4"/>
      <c r="X4"/>
      <c r="Y4" s="180"/>
    </row>
    <row r="5" spans="1:25" s="155" customFormat="1" ht="16.5">
      <c r="A5" s="149">
        <v>42582</v>
      </c>
      <c r="B5" s="150">
        <v>2</v>
      </c>
      <c r="C5" s="150">
        <v>0</v>
      </c>
      <c r="D5" s="150">
        <v>46</v>
      </c>
      <c r="E5" s="150">
        <v>31653</v>
      </c>
      <c r="F5" s="151">
        <v>14.53</v>
      </c>
      <c r="G5" s="150">
        <v>3</v>
      </c>
      <c r="H5" s="150">
        <v>0</v>
      </c>
      <c r="I5" s="150">
        <v>57</v>
      </c>
      <c r="J5" s="152">
        <v>581206.1</v>
      </c>
      <c r="K5" s="151">
        <v>0.98</v>
      </c>
      <c r="L5" s="153"/>
      <c r="M5" s="154"/>
      <c r="N5" s="180"/>
      <c r="O5" s="180"/>
      <c r="P5"/>
      <c r="Q5"/>
      <c r="R5"/>
      <c r="S5"/>
      <c r="T5"/>
      <c r="U5"/>
      <c r="V5"/>
      <c r="W5"/>
      <c r="X5"/>
      <c r="Y5" s="180"/>
    </row>
    <row r="6" spans="1:25" s="155" customFormat="1" ht="16.5">
      <c r="A6" s="149">
        <v>42613</v>
      </c>
      <c r="B6" s="150">
        <v>6</v>
      </c>
      <c r="C6" s="150">
        <v>4</v>
      </c>
      <c r="D6" s="150">
        <v>69</v>
      </c>
      <c r="E6" s="150">
        <v>27321</v>
      </c>
      <c r="F6" s="151">
        <v>25.255298122323484</v>
      </c>
      <c r="G6" s="150">
        <v>7</v>
      </c>
      <c r="H6" s="150">
        <v>4</v>
      </c>
      <c r="I6" s="150">
        <v>110</v>
      </c>
      <c r="J6" s="152">
        <v>625214.55000000005</v>
      </c>
      <c r="K6" s="151">
        <v>1.7593960345292667</v>
      </c>
      <c r="L6" s="153"/>
      <c r="M6" s="154"/>
      <c r="N6" s="180"/>
      <c r="O6" s="180"/>
      <c r="P6" s="47"/>
      <c r="Q6" s="47"/>
      <c r="R6" s="47"/>
      <c r="S6" s="47"/>
      <c r="T6" s="47"/>
      <c r="U6" s="47"/>
      <c r="V6" s="47"/>
      <c r="W6" s="47"/>
      <c r="X6" s="47"/>
      <c r="Y6" s="180"/>
    </row>
    <row r="7" spans="1:25" s="155" customFormat="1" ht="16.5">
      <c r="A7" s="149">
        <v>42643</v>
      </c>
      <c r="B7" s="150">
        <v>2</v>
      </c>
      <c r="C7" s="150">
        <v>2</v>
      </c>
      <c r="D7" s="150">
        <v>79</v>
      </c>
      <c r="E7" s="150">
        <v>19232</v>
      </c>
      <c r="F7" s="151">
        <f>IF(E7&gt;10000,D7/E7*10000,D7)</f>
        <v>41.077371048252907</v>
      </c>
      <c r="G7" s="150">
        <v>3</v>
      </c>
      <c r="H7" s="150">
        <v>2</v>
      </c>
      <c r="I7" s="150">
        <v>124</v>
      </c>
      <c r="J7" s="152">
        <v>423932.46</v>
      </c>
      <c r="K7" s="151">
        <f>IF(J7&gt;10000,I7/J7*10000,I7)</f>
        <v>2.9249942313924251</v>
      </c>
      <c r="L7" s="153"/>
      <c r="M7" s="154"/>
      <c r="N7" s="180"/>
      <c r="O7" s="180"/>
      <c r="P7" s="47"/>
      <c r="Q7" s="47"/>
      <c r="R7" s="47"/>
      <c r="S7" s="47"/>
      <c r="T7" s="47"/>
      <c r="U7" s="47"/>
      <c r="V7" s="47"/>
      <c r="W7" s="47"/>
      <c r="X7" s="47"/>
      <c r="Y7" s="180"/>
    </row>
    <row r="8" spans="1:25" ht="16.5">
      <c r="A8" s="81">
        <f>A7+1</f>
        <v>42644</v>
      </c>
      <c r="B8" s="82">
        <v>0</v>
      </c>
      <c r="C8" s="82">
        <v>0</v>
      </c>
      <c r="D8" s="82">
        <v>0</v>
      </c>
      <c r="E8" s="82"/>
      <c r="F8" s="76">
        <f>IF(E8&gt;10000,D8/E8*10000,D8)</f>
        <v>0</v>
      </c>
      <c r="G8" s="243">
        <v>1</v>
      </c>
      <c r="H8" s="243">
        <v>0</v>
      </c>
      <c r="I8" s="243">
        <v>0</v>
      </c>
      <c r="J8" s="242"/>
      <c r="K8" s="76">
        <f>IF(J8&gt;10000,I8/J8*10000,I8)</f>
        <v>0</v>
      </c>
      <c r="L8" s="84"/>
      <c r="M8" s="85"/>
      <c r="P8"/>
      <c r="Q8"/>
      <c r="R8"/>
      <c r="S8"/>
      <c r="T8"/>
      <c r="U8"/>
      <c r="V8"/>
      <c r="W8"/>
      <c r="X8"/>
    </row>
    <row r="9" spans="1:25" ht="16.5">
      <c r="A9" s="81">
        <f t="shared" ref="A9:A38" si="2">A8+1</f>
        <v>42645</v>
      </c>
      <c r="B9" s="82">
        <v>0</v>
      </c>
      <c r="C9" s="82">
        <v>0</v>
      </c>
      <c r="D9" s="82">
        <v>0</v>
      </c>
      <c r="E9" s="82"/>
      <c r="F9" s="76">
        <f t="shared" ref="F9:F38" si="3">IF(E9&gt;10000,D9/E9*10000,D9)</f>
        <v>0</v>
      </c>
      <c r="G9" s="82">
        <v>1</v>
      </c>
      <c r="H9" s="82">
        <v>0</v>
      </c>
      <c r="I9" s="82">
        <v>1</v>
      </c>
      <c r="J9" s="83"/>
      <c r="K9" s="76">
        <f t="shared" ref="K9:K38" si="4">IF(J9&gt;10000,I9/J9*10000,I9)</f>
        <v>1</v>
      </c>
      <c r="L9" s="84"/>
      <c r="M9" s="85"/>
      <c r="P9"/>
      <c r="Q9"/>
      <c r="R9"/>
      <c r="S9"/>
      <c r="T9"/>
      <c r="U9"/>
      <c r="V9"/>
      <c r="W9"/>
      <c r="X9"/>
    </row>
    <row r="10" spans="1:25" ht="16.5">
      <c r="A10" s="81">
        <f t="shared" si="2"/>
        <v>42646</v>
      </c>
      <c r="B10" s="82">
        <v>0</v>
      </c>
      <c r="C10" s="82">
        <v>0</v>
      </c>
      <c r="D10" s="82">
        <v>0</v>
      </c>
      <c r="E10" s="82"/>
      <c r="F10" s="76">
        <f t="shared" si="3"/>
        <v>0</v>
      </c>
      <c r="G10" s="82">
        <v>0</v>
      </c>
      <c r="H10" s="82">
        <v>0</v>
      </c>
      <c r="I10" s="82">
        <v>1</v>
      </c>
      <c r="J10" s="83"/>
      <c r="K10" s="76">
        <f t="shared" si="4"/>
        <v>1</v>
      </c>
      <c r="L10" s="84"/>
      <c r="M10" s="85"/>
      <c r="P10"/>
      <c r="Q10"/>
      <c r="R10"/>
      <c r="S10"/>
      <c r="T10"/>
      <c r="U10"/>
      <c r="V10"/>
      <c r="W10"/>
      <c r="X10"/>
    </row>
    <row r="11" spans="1:25" ht="16.5">
      <c r="A11" s="81">
        <f t="shared" si="2"/>
        <v>42647</v>
      </c>
      <c r="B11" s="82">
        <v>0</v>
      </c>
      <c r="C11" s="82">
        <v>0</v>
      </c>
      <c r="D11" s="82">
        <v>0</v>
      </c>
      <c r="E11" s="82"/>
      <c r="F11" s="76">
        <f t="shared" si="3"/>
        <v>0</v>
      </c>
      <c r="G11" s="82">
        <v>1</v>
      </c>
      <c r="H11" s="82">
        <v>1</v>
      </c>
      <c r="I11" s="82">
        <v>2</v>
      </c>
      <c r="J11" s="83"/>
      <c r="K11" s="76">
        <f t="shared" si="4"/>
        <v>2</v>
      </c>
      <c r="L11" s="84"/>
      <c r="M11" s="85"/>
    </row>
    <row r="12" spans="1:25" ht="16.5">
      <c r="A12" s="81">
        <f t="shared" si="2"/>
        <v>42648</v>
      </c>
      <c r="B12" s="82">
        <v>0</v>
      </c>
      <c r="C12" s="82">
        <v>0</v>
      </c>
      <c r="D12" s="82">
        <v>1</v>
      </c>
      <c r="E12" s="82"/>
      <c r="F12" s="76">
        <f t="shared" si="3"/>
        <v>1</v>
      </c>
      <c r="G12" s="82">
        <v>0</v>
      </c>
      <c r="H12" s="82">
        <v>0</v>
      </c>
      <c r="I12" s="82">
        <v>2</v>
      </c>
      <c r="J12" s="83"/>
      <c r="K12" s="76">
        <f t="shared" si="4"/>
        <v>2</v>
      </c>
      <c r="L12" s="84"/>
      <c r="M12" s="85"/>
    </row>
    <row r="13" spans="1:25" ht="15.95" customHeight="1">
      <c r="A13" s="81">
        <f t="shared" si="2"/>
        <v>42649</v>
      </c>
      <c r="B13" s="82">
        <v>0</v>
      </c>
      <c r="C13" s="82">
        <v>0</v>
      </c>
      <c r="D13" s="82">
        <v>1</v>
      </c>
      <c r="E13" s="82"/>
      <c r="F13" s="76">
        <f t="shared" si="3"/>
        <v>1</v>
      </c>
      <c r="G13" s="82">
        <v>1</v>
      </c>
      <c r="H13" s="82">
        <v>0</v>
      </c>
      <c r="I13" s="82">
        <v>2</v>
      </c>
      <c r="J13" s="83"/>
      <c r="K13" s="76">
        <f t="shared" si="4"/>
        <v>2</v>
      </c>
      <c r="L13" s="84"/>
      <c r="M13" s="85"/>
    </row>
    <row r="14" spans="1:25" ht="15.95" customHeight="1">
      <c r="A14" s="81">
        <f t="shared" si="2"/>
        <v>42650</v>
      </c>
      <c r="B14" s="82">
        <v>0</v>
      </c>
      <c r="C14" s="82">
        <v>0</v>
      </c>
      <c r="D14" s="82">
        <v>1</v>
      </c>
      <c r="E14" s="82"/>
      <c r="F14" s="76">
        <f t="shared" si="3"/>
        <v>1</v>
      </c>
      <c r="G14" s="82">
        <v>1</v>
      </c>
      <c r="H14" s="82">
        <v>0</v>
      </c>
      <c r="I14" s="82">
        <v>2</v>
      </c>
      <c r="J14" s="83"/>
      <c r="K14" s="76">
        <f t="shared" si="4"/>
        <v>2</v>
      </c>
      <c r="L14" s="84"/>
      <c r="M14" s="85"/>
    </row>
    <row r="15" spans="1:25" ht="15.95" customHeight="1">
      <c r="A15" s="81">
        <f t="shared" si="2"/>
        <v>42651</v>
      </c>
      <c r="B15" s="82">
        <v>0</v>
      </c>
      <c r="C15" s="82">
        <v>0</v>
      </c>
      <c r="D15" s="82">
        <v>2</v>
      </c>
      <c r="E15" s="82"/>
      <c r="F15" s="76">
        <f t="shared" si="3"/>
        <v>2</v>
      </c>
      <c r="G15" s="82">
        <v>2</v>
      </c>
      <c r="H15" s="82">
        <v>1</v>
      </c>
      <c r="I15" s="82">
        <v>4</v>
      </c>
      <c r="J15" s="83"/>
      <c r="K15" s="76">
        <f t="shared" si="4"/>
        <v>4</v>
      </c>
      <c r="L15" s="84"/>
      <c r="M15" s="85"/>
    </row>
    <row r="16" spans="1:25" ht="15.95" customHeight="1">
      <c r="A16" s="81">
        <f t="shared" si="2"/>
        <v>42652</v>
      </c>
      <c r="B16" s="82">
        <v>0</v>
      </c>
      <c r="C16" s="82">
        <v>0</v>
      </c>
      <c r="D16" s="82">
        <v>2</v>
      </c>
      <c r="E16" s="82"/>
      <c r="F16" s="76">
        <f t="shared" si="3"/>
        <v>2</v>
      </c>
      <c r="G16" s="82">
        <v>0</v>
      </c>
      <c r="H16" s="82">
        <v>0</v>
      </c>
      <c r="I16" s="82">
        <v>4</v>
      </c>
      <c r="J16" s="83"/>
      <c r="K16" s="76">
        <f t="shared" si="4"/>
        <v>4</v>
      </c>
      <c r="L16" s="84"/>
      <c r="M16" s="85"/>
    </row>
    <row r="17" spans="1:13" ht="15.95" customHeight="1">
      <c r="A17" s="81">
        <f t="shared" si="2"/>
        <v>42653</v>
      </c>
      <c r="B17" s="82">
        <v>0</v>
      </c>
      <c r="C17" s="82">
        <v>0</v>
      </c>
      <c r="D17" s="82">
        <v>2</v>
      </c>
      <c r="E17" s="82"/>
      <c r="F17" s="76">
        <f t="shared" si="3"/>
        <v>2</v>
      </c>
      <c r="G17" s="82">
        <v>0</v>
      </c>
      <c r="H17" s="82">
        <v>0</v>
      </c>
      <c r="I17" s="82">
        <v>5</v>
      </c>
      <c r="J17" s="83"/>
      <c r="K17" s="76">
        <f t="shared" si="4"/>
        <v>5</v>
      </c>
      <c r="L17" s="84"/>
      <c r="M17" s="85"/>
    </row>
    <row r="18" spans="1:13" ht="15.95" customHeight="1">
      <c r="A18" s="81">
        <f t="shared" si="2"/>
        <v>42654</v>
      </c>
      <c r="B18" s="82">
        <v>0</v>
      </c>
      <c r="C18" s="82">
        <v>0</v>
      </c>
      <c r="D18" s="82">
        <v>2</v>
      </c>
      <c r="E18" s="82"/>
      <c r="F18" s="76">
        <f t="shared" si="3"/>
        <v>2</v>
      </c>
      <c r="G18" s="82">
        <v>0</v>
      </c>
      <c r="H18" s="82">
        <v>0</v>
      </c>
      <c r="I18" s="82">
        <v>5</v>
      </c>
      <c r="J18" s="83"/>
      <c r="K18" s="76">
        <f t="shared" si="4"/>
        <v>5</v>
      </c>
      <c r="L18" s="84"/>
      <c r="M18" s="85"/>
    </row>
    <row r="19" spans="1:13" ht="15.95" customHeight="1">
      <c r="A19" s="81">
        <f t="shared" si="2"/>
        <v>42655</v>
      </c>
      <c r="B19" s="82">
        <v>0</v>
      </c>
      <c r="C19" s="82">
        <v>0</v>
      </c>
      <c r="D19" s="82">
        <v>2</v>
      </c>
      <c r="E19" s="82"/>
      <c r="F19" s="76">
        <f t="shared" si="3"/>
        <v>2</v>
      </c>
      <c r="G19" s="82">
        <v>0</v>
      </c>
      <c r="H19" s="82">
        <v>0</v>
      </c>
      <c r="I19" s="82">
        <v>5</v>
      </c>
      <c r="J19" s="83"/>
      <c r="K19" s="76">
        <f t="shared" si="4"/>
        <v>5</v>
      </c>
      <c r="L19" s="84"/>
      <c r="M19" s="85"/>
    </row>
    <row r="20" spans="1:13" ht="15.95" customHeight="1">
      <c r="A20" s="81">
        <f t="shared" si="2"/>
        <v>42656</v>
      </c>
      <c r="B20" s="82">
        <v>1</v>
      </c>
      <c r="C20" s="82">
        <v>1</v>
      </c>
      <c r="D20" s="82">
        <v>4</v>
      </c>
      <c r="E20" s="82"/>
      <c r="F20" s="76">
        <f t="shared" si="3"/>
        <v>4</v>
      </c>
      <c r="G20" s="82">
        <v>1</v>
      </c>
      <c r="H20" s="82">
        <v>1</v>
      </c>
      <c r="I20" s="82">
        <v>6</v>
      </c>
      <c r="J20" s="83"/>
      <c r="K20" s="76">
        <f t="shared" si="4"/>
        <v>6</v>
      </c>
      <c r="L20" s="84"/>
      <c r="M20" s="85"/>
    </row>
    <row r="21" spans="1:13" ht="15.95" customHeight="1">
      <c r="A21" s="81">
        <f t="shared" si="2"/>
        <v>42657</v>
      </c>
      <c r="B21" s="82">
        <v>0</v>
      </c>
      <c r="C21" s="82">
        <v>0</v>
      </c>
      <c r="D21" s="82">
        <v>4</v>
      </c>
      <c r="E21" s="82"/>
      <c r="F21" s="76">
        <f t="shared" si="3"/>
        <v>4</v>
      </c>
      <c r="G21" s="82">
        <v>0</v>
      </c>
      <c r="H21" s="82">
        <v>0</v>
      </c>
      <c r="I21" s="82">
        <v>6</v>
      </c>
      <c r="J21" s="83"/>
      <c r="K21" s="76">
        <f t="shared" si="4"/>
        <v>6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>IF(J32&gt;10000,I32/J32*10000,I32)</f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>IF(J33&gt;10000,I33/J33*10000,I33)</f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46" spans="1:13" ht="15.95" customHeight="1">
      <c r="A46"/>
      <c r="B46"/>
      <c r="C46"/>
      <c r="D46"/>
      <c r="E46"/>
      <c r="F46"/>
      <c r="G46" s="271"/>
      <c r="H46" s="271"/>
      <c r="I46" s="271"/>
      <c r="J46"/>
      <c r="K46"/>
    </row>
    <row r="47" spans="1:13" ht="15.95" customHeight="1">
      <c r="A47"/>
      <c r="B47"/>
      <c r="C47"/>
      <c r="D47"/>
      <c r="E47"/>
      <c r="F47"/>
      <c r="G47" s="271"/>
      <c r="H47" s="271"/>
      <c r="I47" s="271"/>
      <c r="J47"/>
      <c r="K47"/>
    </row>
    <row r="48" spans="1:13" ht="15.95" customHeight="1">
      <c r="A48"/>
      <c r="B48"/>
      <c r="C48"/>
      <c r="D48"/>
      <c r="E48"/>
      <c r="F48"/>
      <c r="G48" s="271"/>
      <c r="H48" s="271"/>
      <c r="I48" s="271"/>
      <c r="J48"/>
      <c r="K48"/>
    </row>
    <row r="49" spans="1:11" ht="15.95" customHeight="1">
      <c r="A49"/>
      <c r="B49"/>
      <c r="C49"/>
      <c r="D49"/>
      <c r="E49"/>
      <c r="F49"/>
      <c r="G49" s="271"/>
      <c r="H49" s="271"/>
      <c r="I49" s="271"/>
      <c r="J49"/>
      <c r="K49"/>
    </row>
    <row r="50" spans="1:11" ht="15.95" customHeight="1">
      <c r="A50"/>
      <c r="B50"/>
      <c r="C50"/>
      <c r="D50"/>
      <c r="E50"/>
      <c r="F50"/>
      <c r="G50" s="271"/>
      <c r="H50" s="271"/>
      <c r="I50" s="271"/>
      <c r="J50"/>
      <c r="K50"/>
    </row>
    <row r="51" spans="1:11" ht="15.95" customHeight="1">
      <c r="A51"/>
      <c r="B51"/>
      <c r="C51"/>
      <c r="D51"/>
      <c r="E51"/>
      <c r="F51"/>
      <c r="G51" s="271"/>
      <c r="H51" s="271"/>
      <c r="I51" s="271"/>
      <c r="J51"/>
      <c r="K51"/>
    </row>
    <row r="52" spans="1:11" ht="15.95" customHeight="1">
      <c r="A52"/>
      <c r="B52"/>
      <c r="C52"/>
      <c r="D52"/>
      <c r="E52"/>
      <c r="F52"/>
      <c r="G52" s="271"/>
      <c r="H52" s="271"/>
      <c r="I52" s="271"/>
      <c r="J52"/>
      <c r="K52"/>
    </row>
    <row r="53" spans="1:11" ht="15.95" customHeight="1">
      <c r="A53"/>
      <c r="B53"/>
      <c r="C53"/>
      <c r="D53"/>
      <c r="E53"/>
      <c r="F53"/>
      <c r="G53" s="271"/>
      <c r="H53" s="271"/>
      <c r="I53" s="271"/>
      <c r="J53"/>
      <c r="K53"/>
    </row>
    <row r="54" spans="1:11" ht="15.95" customHeight="1">
      <c r="A54"/>
      <c r="B54"/>
      <c r="C54"/>
      <c r="D54"/>
      <c r="E54"/>
      <c r="F54"/>
      <c r="G54" s="271"/>
      <c r="H54" s="271"/>
      <c r="I54" s="271"/>
      <c r="J54"/>
      <c r="K54"/>
    </row>
    <row r="55" spans="1:11" ht="15.95" customHeight="1">
      <c r="A55"/>
      <c r="B55"/>
      <c r="C55"/>
      <c r="D55"/>
      <c r="E55"/>
      <c r="F55"/>
      <c r="G55" s="271"/>
      <c r="H55" s="271"/>
      <c r="I55" s="271"/>
      <c r="J55"/>
      <c r="K55"/>
    </row>
    <row r="56" spans="1:11" ht="15.95" customHeight="1">
      <c r="A56"/>
      <c r="B56"/>
      <c r="C56"/>
      <c r="D56"/>
      <c r="E56"/>
      <c r="F56"/>
      <c r="G56" s="271"/>
      <c r="H56" s="271"/>
      <c r="I56" s="271"/>
      <c r="J56"/>
      <c r="K56"/>
    </row>
    <row r="57" spans="1:11" ht="15.95" customHeight="1">
      <c r="A57"/>
      <c r="B57"/>
      <c r="C57"/>
      <c r="D57"/>
      <c r="E57"/>
      <c r="F57"/>
      <c r="G57" s="271"/>
      <c r="H57" s="271"/>
      <c r="I57" s="271"/>
      <c r="J57"/>
      <c r="K57"/>
    </row>
    <row r="58" spans="1:11" ht="15.95" customHeight="1">
      <c r="A58"/>
      <c r="B58"/>
      <c r="C58"/>
      <c r="D58"/>
      <c r="E58"/>
      <c r="F58"/>
      <c r="G58" s="271"/>
      <c r="H58" s="271"/>
      <c r="I58" s="271"/>
      <c r="J58"/>
      <c r="K58"/>
    </row>
    <row r="59" spans="1:11" ht="15.95" customHeight="1">
      <c r="A59"/>
      <c r="B59"/>
      <c r="C59"/>
      <c r="D59"/>
      <c r="E59"/>
      <c r="F59"/>
      <c r="G59" s="271"/>
      <c r="H59" s="271"/>
      <c r="I59" s="271"/>
      <c r="J59"/>
      <c r="K59"/>
    </row>
    <row r="60" spans="1:11" ht="15.95" customHeight="1">
      <c r="A60"/>
      <c r="B60"/>
      <c r="C60"/>
      <c r="D60"/>
      <c r="E60"/>
      <c r="F60"/>
      <c r="G60" s="271"/>
      <c r="H60" s="271"/>
      <c r="I60" s="271"/>
      <c r="J60"/>
      <c r="K60"/>
    </row>
    <row r="61" spans="1:11" ht="15.95" customHeight="1">
      <c r="A61"/>
      <c r="B61"/>
      <c r="C61"/>
      <c r="D61"/>
      <c r="E61"/>
      <c r="F61"/>
      <c r="G61" s="271"/>
      <c r="H61" s="271"/>
      <c r="I61" s="271"/>
      <c r="J61"/>
      <c r="K61"/>
    </row>
    <row r="62" spans="1:11" ht="15.95" customHeight="1">
      <c r="A62"/>
      <c r="B62"/>
      <c r="C62"/>
      <c r="D62"/>
      <c r="E62"/>
      <c r="F62"/>
      <c r="G62" s="271"/>
      <c r="H62" s="271"/>
      <c r="I62" s="271"/>
      <c r="J62"/>
      <c r="K62"/>
    </row>
    <row r="63" spans="1:11" ht="15.95" customHeight="1">
      <c r="A63"/>
      <c r="B63"/>
      <c r="C63"/>
      <c r="D63"/>
      <c r="E63"/>
      <c r="F63"/>
      <c r="G63" s="271"/>
      <c r="H63" s="271"/>
      <c r="I63" s="271"/>
      <c r="J63"/>
      <c r="K63"/>
    </row>
    <row r="64" spans="1:11" ht="15.95" customHeight="1">
      <c r="A64"/>
      <c r="B64"/>
      <c r="C64"/>
      <c r="D64"/>
      <c r="E64"/>
      <c r="F64"/>
      <c r="G64" s="271"/>
      <c r="H64" s="271"/>
      <c r="I64" s="271"/>
      <c r="J64"/>
      <c r="K64"/>
    </row>
    <row r="65" spans="1:11" ht="15.95" customHeight="1">
      <c r="A65"/>
      <c r="B65"/>
      <c r="C65"/>
      <c r="D65"/>
      <c r="E65"/>
      <c r="F65"/>
      <c r="G65" s="271"/>
      <c r="H65" s="271"/>
      <c r="I65" s="271"/>
      <c r="J65"/>
      <c r="K65"/>
    </row>
    <row r="66" spans="1:11" ht="15.95" customHeight="1">
      <c r="A66"/>
      <c r="B66"/>
      <c r="C66"/>
      <c r="D66"/>
      <c r="E66"/>
      <c r="F66"/>
      <c r="G66" s="271"/>
      <c r="H66" s="271"/>
      <c r="I66" s="271"/>
      <c r="J66"/>
      <c r="K66"/>
    </row>
    <row r="67" spans="1:11" ht="15.95" customHeight="1">
      <c r="A67"/>
      <c r="B67"/>
      <c r="C67"/>
      <c r="D67"/>
      <c r="E67"/>
      <c r="F67"/>
      <c r="G67" s="271"/>
      <c r="H67" s="271"/>
      <c r="I67" s="271"/>
      <c r="J67"/>
      <c r="K67"/>
    </row>
    <row r="68" spans="1:11" ht="15.95" customHeight="1">
      <c r="A68"/>
      <c r="B68"/>
      <c r="C68"/>
      <c r="D68"/>
      <c r="E68"/>
      <c r="F68"/>
      <c r="G68" s="271"/>
      <c r="H68" s="271"/>
      <c r="I68" s="271"/>
      <c r="J68"/>
      <c r="K68"/>
    </row>
    <row r="69" spans="1:11" ht="15.95" customHeight="1">
      <c r="A69"/>
      <c r="B69"/>
      <c r="C69"/>
      <c r="D69"/>
      <c r="E69"/>
      <c r="F69"/>
      <c r="G69" s="271"/>
      <c r="H69" s="271"/>
      <c r="I69" s="271"/>
      <c r="J69"/>
      <c r="K69"/>
    </row>
    <row r="70" spans="1:11" ht="15.95" customHeight="1">
      <c r="A70"/>
      <c r="B70"/>
      <c r="C70"/>
      <c r="D70"/>
      <c r="E70"/>
      <c r="F70"/>
      <c r="G70" s="271"/>
      <c r="H70" s="271"/>
      <c r="I70" s="271"/>
      <c r="J70"/>
      <c r="K70"/>
    </row>
    <row r="71" spans="1:11" ht="15.95" customHeight="1">
      <c r="A71"/>
      <c r="B71"/>
      <c r="C71"/>
      <c r="D71"/>
      <c r="E71"/>
      <c r="F71"/>
      <c r="G71" s="271"/>
      <c r="H71" s="271"/>
      <c r="I71" s="271"/>
      <c r="J71"/>
      <c r="K71"/>
    </row>
    <row r="72" spans="1:11" ht="15.95" customHeight="1">
      <c r="A72"/>
      <c r="B72"/>
      <c r="C72"/>
      <c r="D72"/>
      <c r="E72"/>
      <c r="F72"/>
      <c r="G72" s="271"/>
      <c r="H72" s="271"/>
      <c r="I72" s="271"/>
      <c r="J72"/>
      <c r="K72"/>
    </row>
    <row r="73" spans="1:11" ht="15.95" customHeight="1">
      <c r="A73"/>
      <c r="B73"/>
      <c r="C73"/>
      <c r="D73"/>
      <c r="E73"/>
      <c r="F73"/>
      <c r="G73" s="271"/>
      <c r="H73" s="271"/>
      <c r="I73" s="271"/>
      <c r="J73"/>
      <c r="K73"/>
    </row>
    <row r="74" spans="1:11" ht="15.95" customHeight="1">
      <c r="A74"/>
      <c r="B74"/>
      <c r="C74"/>
      <c r="D74"/>
      <c r="E74"/>
      <c r="F74"/>
      <c r="G74" s="271"/>
      <c r="H74" s="271"/>
      <c r="I74" s="271"/>
      <c r="J74"/>
      <c r="K74"/>
    </row>
    <row r="75" spans="1:11" ht="15.95" customHeight="1">
      <c r="A75"/>
      <c r="B75"/>
      <c r="C75"/>
      <c r="D75"/>
      <c r="E75"/>
      <c r="F75"/>
      <c r="G75" s="271"/>
      <c r="H75" s="271"/>
      <c r="I75" s="271"/>
      <c r="J75"/>
      <c r="K75"/>
    </row>
    <row r="76" spans="1:11" ht="15.95" customHeight="1">
      <c r="A76"/>
      <c r="B76"/>
      <c r="C76"/>
      <c r="D76"/>
      <c r="E76"/>
      <c r="F76"/>
      <c r="G76" s="271"/>
      <c r="H76" s="271"/>
      <c r="I76" s="271"/>
      <c r="J76"/>
      <c r="K76"/>
    </row>
    <row r="77" spans="1:11" ht="15.95" customHeight="1">
      <c r="A77"/>
      <c r="B77"/>
      <c r="C77"/>
      <c r="D77"/>
      <c r="E77"/>
      <c r="F77"/>
      <c r="G77" s="271"/>
      <c r="H77" s="271"/>
      <c r="I77" s="271"/>
      <c r="J77"/>
      <c r="K77"/>
    </row>
    <row r="78" spans="1:11" ht="15.95" customHeight="1">
      <c r="A78"/>
      <c r="B78"/>
      <c r="C78"/>
      <c r="D78"/>
      <c r="E78"/>
      <c r="F78"/>
      <c r="G78" s="271"/>
      <c r="H78" s="271"/>
      <c r="I78" s="271"/>
      <c r="J78"/>
      <c r="K78"/>
    </row>
    <row r="79" spans="1:11" ht="15.95" customHeight="1">
      <c r="A79"/>
      <c r="B79"/>
      <c r="C79"/>
      <c r="D79"/>
      <c r="E79"/>
      <c r="F79"/>
      <c r="G79" s="271"/>
      <c r="H79" s="271"/>
      <c r="I79" s="271"/>
      <c r="J79"/>
      <c r="K79"/>
    </row>
    <row r="80" spans="1:11" ht="15.95" customHeight="1">
      <c r="A80"/>
      <c r="B80"/>
      <c r="C80"/>
      <c r="D80"/>
      <c r="E80"/>
      <c r="F80"/>
      <c r="G80" s="271"/>
      <c r="H80" s="271"/>
      <c r="I80" s="271"/>
      <c r="J80"/>
      <c r="K80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39"/>
  <sheetViews>
    <sheetView showGridLines="0" workbookViewId="0">
      <pane xSplit="1" ySplit="1" topLeftCell="B2" activePane="bottomRight" state="frozen"/>
      <selection activeCell="P29" sqref="P29"/>
      <selection pane="topRight" activeCell="P29" sqref="P29"/>
      <selection pane="bottomLeft" activeCell="P29" sqref="P29"/>
      <selection pane="bottomRight" activeCell="P29" sqref="P29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105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99</v>
      </c>
      <c r="M1" s="87" t="s">
        <v>59</v>
      </c>
    </row>
    <row r="2" spans="1:13" ht="16.5">
      <c r="A2" s="74">
        <v>42185</v>
      </c>
      <c r="B2" s="75">
        <v>6</v>
      </c>
      <c r="C2" s="75">
        <v>6</v>
      </c>
      <c r="D2" s="75">
        <v>153</v>
      </c>
      <c r="E2" s="75">
        <v>51987</v>
      </c>
      <c r="F2" s="76">
        <f t="shared" ref="F2:F24" si="0">IF(E2&gt;10000,D2/E2*10000,D2)</f>
        <v>29.430434531709849</v>
      </c>
      <c r="G2" s="77">
        <v>8</v>
      </c>
      <c r="H2" s="77">
        <v>8</v>
      </c>
      <c r="I2" s="77">
        <v>181</v>
      </c>
      <c r="J2" s="78">
        <v>319810.78999999998</v>
      </c>
      <c r="K2" s="76">
        <f t="shared" ref="K2:K24" si="1">IF(J2&gt;10000,I2/J2*10000,I2)</f>
        <v>5.6595964132417169</v>
      </c>
      <c r="L2" s="79"/>
      <c r="M2" s="80"/>
    </row>
    <row r="3" spans="1:13" s="67" customFormat="1" ht="16.5">
      <c r="A3" s="74">
        <v>42216</v>
      </c>
      <c r="B3" s="75">
        <v>0</v>
      </c>
      <c r="C3" s="75">
        <v>0</v>
      </c>
      <c r="D3" s="75">
        <v>46</v>
      </c>
      <c r="E3" s="75">
        <v>28002</v>
      </c>
      <c r="F3" s="76">
        <f t="shared" si="0"/>
        <v>16.427398042996927</v>
      </c>
      <c r="G3" s="77">
        <v>0</v>
      </c>
      <c r="H3" s="77">
        <v>0</v>
      </c>
      <c r="I3" s="77">
        <v>64</v>
      </c>
      <c r="J3" s="78">
        <v>300734.61</v>
      </c>
      <c r="K3" s="76">
        <f t="shared" si="1"/>
        <v>2.1281222005009668</v>
      </c>
      <c r="L3" s="79"/>
      <c r="M3" s="80"/>
    </row>
    <row r="4" spans="1:13" ht="16.5">
      <c r="A4" s="74">
        <v>42247</v>
      </c>
      <c r="B4" s="75">
        <v>1</v>
      </c>
      <c r="C4" s="75">
        <v>0</v>
      </c>
      <c r="D4" s="75">
        <v>13</v>
      </c>
      <c r="E4" s="75">
        <v>13</v>
      </c>
      <c r="F4" s="76">
        <f t="shared" si="0"/>
        <v>13</v>
      </c>
      <c r="G4" s="77">
        <v>1</v>
      </c>
      <c r="H4" s="77">
        <v>0</v>
      </c>
      <c r="I4" s="77">
        <v>20</v>
      </c>
      <c r="J4" s="78">
        <v>45561.34</v>
      </c>
      <c r="K4" s="76">
        <f t="shared" si="1"/>
        <v>4.3896865193165961</v>
      </c>
      <c r="L4" s="79"/>
      <c r="M4" s="80"/>
    </row>
    <row r="5" spans="1:13" ht="16.5">
      <c r="A5" s="74">
        <v>42277</v>
      </c>
      <c r="B5" s="75">
        <v>6</v>
      </c>
      <c r="C5" s="75">
        <v>5</v>
      </c>
      <c r="D5" s="75">
        <v>110</v>
      </c>
      <c r="E5" s="75">
        <v>23775</v>
      </c>
      <c r="F5" s="76">
        <f>IF(E5&gt;10000,D5/E5*10000,D5)</f>
        <v>46.267087276550996</v>
      </c>
      <c r="G5" s="77">
        <v>9</v>
      </c>
      <c r="H5" s="77">
        <v>8</v>
      </c>
      <c r="I5" s="77">
        <v>136</v>
      </c>
      <c r="J5" s="78">
        <v>435798.54</v>
      </c>
      <c r="K5" s="76">
        <f>IF(J5&gt;10000,I5/J5*10000,I5)</f>
        <v>3.1207080225647381</v>
      </c>
      <c r="L5" s="79"/>
      <c r="M5" s="80"/>
    </row>
    <row r="6" spans="1:13" ht="16.5">
      <c r="A6" s="74">
        <v>42308</v>
      </c>
      <c r="B6" s="75">
        <v>3</v>
      </c>
      <c r="C6" s="75">
        <v>0</v>
      </c>
      <c r="D6" s="75">
        <v>48</v>
      </c>
      <c r="E6" s="75">
        <v>14642</v>
      </c>
      <c r="F6" s="76">
        <f>IF(E6&gt;10000,D6/E6*10000,D6)</f>
        <v>32.782406775030729</v>
      </c>
      <c r="G6" s="77">
        <v>5</v>
      </c>
      <c r="H6" s="77">
        <v>0</v>
      </c>
      <c r="I6" s="77">
        <v>85</v>
      </c>
      <c r="J6" s="78">
        <v>307982.74</v>
      </c>
      <c r="K6" s="76">
        <f>IF(J6&gt;10000,I6/J6*10000,I6)</f>
        <v>2.7598949213842308</v>
      </c>
      <c r="L6" s="79"/>
      <c r="M6" s="80"/>
    </row>
    <row r="7" spans="1:13" ht="16.5">
      <c r="A7" s="74">
        <v>42338</v>
      </c>
      <c r="B7" s="75">
        <v>20</v>
      </c>
      <c r="C7" s="75">
        <v>19</v>
      </c>
      <c r="D7" s="75">
        <v>415</v>
      </c>
      <c r="E7" s="75">
        <v>55626</v>
      </c>
      <c r="F7" s="76">
        <v>74.605400352353215</v>
      </c>
      <c r="G7" s="77">
        <v>29</v>
      </c>
      <c r="H7" s="77">
        <v>28</v>
      </c>
      <c r="I7" s="77">
        <v>509</v>
      </c>
      <c r="J7" s="78">
        <v>997957.34</v>
      </c>
      <c r="K7" s="76">
        <v>5.1004184206912093</v>
      </c>
      <c r="L7" s="79"/>
      <c r="M7" s="80"/>
    </row>
    <row r="8" spans="1:13" ht="16.5">
      <c r="A8" s="74">
        <v>42369</v>
      </c>
      <c r="B8" s="75">
        <v>4</v>
      </c>
      <c r="C8" s="75">
        <v>2</v>
      </c>
      <c r="D8" s="75">
        <v>171</v>
      </c>
      <c r="E8" s="75">
        <v>62689</v>
      </c>
      <c r="F8" s="76">
        <f t="shared" si="0"/>
        <v>27.277512801288903</v>
      </c>
      <c r="G8" s="77">
        <v>15</v>
      </c>
      <c r="H8" s="77">
        <v>5</v>
      </c>
      <c r="I8" s="77">
        <v>249</v>
      </c>
      <c r="J8" s="78">
        <v>1332857.21</v>
      </c>
      <c r="K8" s="76">
        <f t="shared" si="1"/>
        <v>1.868167108463179</v>
      </c>
      <c r="L8" s="79"/>
      <c r="M8" s="80"/>
    </row>
    <row r="9" spans="1:13" ht="15.95" hidden="1" customHeight="1">
      <c r="A9" s="81">
        <v>42370</v>
      </c>
      <c r="B9" s="82"/>
      <c r="C9" s="82"/>
      <c r="D9" s="82"/>
      <c r="E9" s="82"/>
      <c r="F9" s="76">
        <f t="shared" si="0"/>
        <v>0</v>
      </c>
      <c r="G9" s="82"/>
      <c r="H9" s="82"/>
      <c r="I9" s="82"/>
      <c r="J9" s="83"/>
      <c r="K9" s="76">
        <f t="shared" si="1"/>
        <v>0</v>
      </c>
      <c r="L9" s="84"/>
      <c r="M9" s="85"/>
    </row>
    <row r="10" spans="1:13" ht="15.95" customHeight="1">
      <c r="A10" s="81">
        <f>A9+1</f>
        <v>42371</v>
      </c>
      <c r="B10" s="82">
        <v>35</v>
      </c>
      <c r="C10" s="82">
        <v>29</v>
      </c>
      <c r="D10" s="82">
        <v>31</v>
      </c>
      <c r="E10" s="82"/>
      <c r="F10" s="76">
        <f t="shared" si="0"/>
        <v>31</v>
      </c>
      <c r="G10" s="82">
        <v>53</v>
      </c>
      <c r="H10" s="82">
        <v>43</v>
      </c>
      <c r="I10" s="82">
        <v>50</v>
      </c>
      <c r="J10" s="83">
        <v>129522.1</v>
      </c>
      <c r="K10" s="76">
        <f t="shared" si="1"/>
        <v>3.8603450685249849</v>
      </c>
      <c r="L10" s="84"/>
      <c r="M10" s="85"/>
    </row>
    <row r="11" spans="1:13" ht="15.95" hidden="1" customHeight="1">
      <c r="A11" s="81">
        <f t="shared" ref="A11:A39" si="2">A10+1</f>
        <v>42372</v>
      </c>
      <c r="B11" s="82"/>
      <c r="C11" s="82"/>
      <c r="D11" s="82"/>
      <c r="E11" s="82"/>
      <c r="F11" s="76">
        <f t="shared" si="0"/>
        <v>0</v>
      </c>
      <c r="G11" s="82"/>
      <c r="H11" s="82"/>
      <c r="I11" s="82"/>
      <c r="J11" s="83"/>
      <c r="K11" s="76">
        <f t="shared" si="1"/>
        <v>0</v>
      </c>
      <c r="L11" s="84"/>
      <c r="M11" s="85"/>
    </row>
    <row r="12" spans="1:13" ht="15.95" hidden="1" customHeight="1">
      <c r="A12" s="81">
        <f t="shared" si="2"/>
        <v>42373</v>
      </c>
      <c r="B12" s="82"/>
      <c r="C12" s="82"/>
      <c r="D12" s="82"/>
      <c r="E12" s="82"/>
      <c r="F12" s="76">
        <f t="shared" si="0"/>
        <v>0</v>
      </c>
      <c r="G12" s="82"/>
      <c r="H12" s="82"/>
      <c r="I12" s="82"/>
      <c r="J12" s="83"/>
      <c r="K12" s="76">
        <f t="shared" si="1"/>
        <v>0</v>
      </c>
      <c r="L12" s="84"/>
      <c r="M12" s="85"/>
    </row>
    <row r="13" spans="1:13" ht="15.95" hidden="1" customHeight="1">
      <c r="A13" s="81">
        <f t="shared" si="2"/>
        <v>42374</v>
      </c>
      <c r="B13" s="82"/>
      <c r="C13" s="82"/>
      <c r="D13" s="82"/>
      <c r="E13" s="82"/>
      <c r="F13" s="76">
        <f t="shared" si="0"/>
        <v>0</v>
      </c>
      <c r="G13" s="82"/>
      <c r="H13" s="82"/>
      <c r="I13" s="82"/>
      <c r="J13" s="83"/>
      <c r="K13" s="76">
        <f t="shared" si="1"/>
        <v>0</v>
      </c>
      <c r="L13" s="84"/>
      <c r="M13" s="85"/>
    </row>
    <row r="14" spans="1:13" ht="15.95" customHeight="1">
      <c r="A14" s="81">
        <f t="shared" si="2"/>
        <v>42375</v>
      </c>
      <c r="B14" s="82">
        <v>16</v>
      </c>
      <c r="C14" s="82">
        <v>8</v>
      </c>
      <c r="D14" s="82">
        <v>93</v>
      </c>
      <c r="E14" s="82">
        <v>12450</v>
      </c>
      <c r="F14" s="76">
        <f t="shared" si="0"/>
        <v>74.698795180722897</v>
      </c>
      <c r="G14" s="82">
        <v>31</v>
      </c>
      <c r="H14" s="82">
        <v>13</v>
      </c>
      <c r="I14" s="82">
        <v>133</v>
      </c>
      <c r="J14" s="83">
        <v>270980.61</v>
      </c>
      <c r="K14" s="76">
        <f t="shared" si="1"/>
        <v>4.9081002511581922</v>
      </c>
      <c r="L14" s="84"/>
      <c r="M14" s="85"/>
    </row>
    <row r="15" spans="1:13" ht="15.95" hidden="1" customHeight="1">
      <c r="A15" s="81">
        <f t="shared" si="2"/>
        <v>42376</v>
      </c>
      <c r="B15" s="82"/>
      <c r="C15" s="82"/>
      <c r="D15" s="82"/>
      <c r="E15" s="82"/>
      <c r="F15" s="76">
        <f t="shared" si="0"/>
        <v>0</v>
      </c>
      <c r="G15" s="82"/>
      <c r="H15" s="82"/>
      <c r="I15" s="82"/>
      <c r="J15" s="83"/>
      <c r="K15" s="76">
        <f t="shared" si="1"/>
        <v>0</v>
      </c>
      <c r="L15" s="84"/>
      <c r="M15" s="85"/>
    </row>
    <row r="16" spans="1:13" ht="15.95" hidden="1" customHeight="1">
      <c r="A16" s="81">
        <f t="shared" si="2"/>
        <v>42377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1"/>
        <v>0</v>
      </c>
      <c r="L16" s="84"/>
      <c r="M16" s="85"/>
    </row>
    <row r="17" spans="1:13" ht="15.95" hidden="1" customHeight="1">
      <c r="A17" s="81">
        <f t="shared" si="2"/>
        <v>42378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1"/>
        <v>0</v>
      </c>
      <c r="L17" s="84"/>
      <c r="M17" s="85"/>
    </row>
    <row r="18" spans="1:13" ht="15.95" hidden="1" customHeight="1">
      <c r="A18" s="81">
        <f t="shared" si="2"/>
        <v>42379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1"/>
        <v>0</v>
      </c>
      <c r="L18" s="84"/>
      <c r="M18" s="85"/>
    </row>
    <row r="19" spans="1:13" ht="15.95" customHeight="1">
      <c r="A19" s="81">
        <f t="shared" si="2"/>
        <v>42380</v>
      </c>
      <c r="B19" s="82">
        <v>6</v>
      </c>
      <c r="C19" s="82">
        <v>2</v>
      </c>
      <c r="D19" s="82">
        <v>114</v>
      </c>
      <c r="E19" s="82">
        <v>16695</v>
      </c>
      <c r="F19" s="76">
        <f t="shared" si="0"/>
        <v>68.283917340521114</v>
      </c>
      <c r="G19" s="82">
        <v>10</v>
      </c>
      <c r="H19" s="82">
        <v>4</v>
      </c>
      <c r="I19" s="82">
        <v>165</v>
      </c>
      <c r="J19" s="83">
        <v>331745.93</v>
      </c>
      <c r="K19" s="76">
        <f t="shared" si="1"/>
        <v>4.9736857359485924</v>
      </c>
      <c r="L19" s="84"/>
      <c r="M19" s="85"/>
    </row>
    <row r="20" spans="1:13" ht="15.95" hidden="1" customHeight="1">
      <c r="A20" s="81">
        <f t="shared" si="2"/>
        <v>42381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1"/>
        <v>0</v>
      </c>
      <c r="L20" s="84"/>
      <c r="M20" s="85"/>
    </row>
    <row r="21" spans="1:13" ht="15.95" hidden="1" customHeight="1">
      <c r="A21" s="81">
        <f t="shared" si="2"/>
        <v>42382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1"/>
        <v>0</v>
      </c>
      <c r="L21" s="84"/>
      <c r="M21" s="85"/>
    </row>
    <row r="22" spans="1:13" ht="15.95" hidden="1" customHeight="1">
      <c r="A22" s="81">
        <f t="shared" si="2"/>
        <v>42383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83"/>
      <c r="K22" s="76">
        <f t="shared" si="1"/>
        <v>0</v>
      </c>
      <c r="L22" s="84"/>
      <c r="M22" s="85"/>
    </row>
    <row r="23" spans="1:13" ht="15.95" hidden="1" customHeight="1">
      <c r="A23" s="81">
        <f t="shared" si="2"/>
        <v>42384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1"/>
        <v>0</v>
      </c>
      <c r="L23" s="84"/>
      <c r="M23" s="85"/>
    </row>
    <row r="24" spans="1:13" ht="15.95" hidden="1" customHeight="1">
      <c r="A24" s="81">
        <f t="shared" si="2"/>
        <v>42385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1"/>
        <v>0</v>
      </c>
      <c r="L24" s="84"/>
      <c r="M24" s="85"/>
    </row>
    <row r="25" spans="1:13" ht="15.95" hidden="1" customHeight="1">
      <c r="A25" s="81">
        <f t="shared" si="2"/>
        <v>42386</v>
      </c>
      <c r="B25" s="82">
        <v>14</v>
      </c>
      <c r="C25" s="82">
        <v>6</v>
      </c>
      <c r="D25" s="82">
        <v>166</v>
      </c>
      <c r="E25" s="82">
        <v>32002</v>
      </c>
      <c r="F25" s="76">
        <f t="shared" ref="F25:F39" si="3">IF(E25&gt;10000,D25/E25*10000,D25)</f>
        <v>51.871758015124058</v>
      </c>
      <c r="G25" s="82">
        <v>22</v>
      </c>
      <c r="H25" s="82">
        <v>9</v>
      </c>
      <c r="I25" s="82">
        <v>228</v>
      </c>
      <c r="J25" s="83">
        <v>640737.91</v>
      </c>
      <c r="K25" s="76">
        <f t="shared" ref="K25:K39" si="4">IF(J25&gt;10000,I25/J25*10000,I25)</f>
        <v>3.5583972236011441</v>
      </c>
      <c r="L25" s="84"/>
      <c r="M25" s="85"/>
    </row>
    <row r="26" spans="1:13" ht="15.95" customHeight="1">
      <c r="A26" s="81">
        <f t="shared" si="2"/>
        <v>42387</v>
      </c>
      <c r="B26" s="82">
        <v>20</v>
      </c>
      <c r="C26" s="82">
        <v>6</v>
      </c>
      <c r="D26" s="82">
        <v>173</v>
      </c>
      <c r="E26" s="82">
        <v>33820</v>
      </c>
      <c r="F26" s="76">
        <f t="shared" si="3"/>
        <v>51.153163808397402</v>
      </c>
      <c r="G26" s="82">
        <v>27</v>
      </c>
      <c r="H26" s="82">
        <v>8</v>
      </c>
      <c r="I26" s="82">
        <v>237</v>
      </c>
      <c r="J26" s="83">
        <v>675660.18</v>
      </c>
      <c r="K26" s="76">
        <f t="shared" si="4"/>
        <v>3.5076804437402243</v>
      </c>
      <c r="L26" s="84"/>
      <c r="M26" s="85"/>
    </row>
    <row r="27" spans="1:13" ht="15.95" hidden="1" customHeight="1">
      <c r="A27" s="81">
        <f t="shared" si="2"/>
        <v>42388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42389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42390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42391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42392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42393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42394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42395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>A34+1</f>
        <v>42396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42397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42398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42399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39" spans="1:13" ht="15.95" customHeight="1">
      <c r="A39" s="81">
        <f t="shared" si="2"/>
        <v>42400</v>
      </c>
      <c r="B39" s="82"/>
      <c r="C39" s="82"/>
      <c r="D39" s="82"/>
      <c r="E39" s="82"/>
      <c r="F39" s="76">
        <f t="shared" si="3"/>
        <v>0</v>
      </c>
      <c r="G39" s="82"/>
      <c r="H39" s="82"/>
      <c r="I39" s="82"/>
      <c r="J39" s="83"/>
      <c r="K39" s="76">
        <f t="shared" si="4"/>
        <v>0</v>
      </c>
      <c r="L39" s="84"/>
      <c r="M39" s="85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51"/>
  <sheetViews>
    <sheetView showGridLines="0" workbookViewId="0">
      <pane xSplit="1" ySplit="1" topLeftCell="B8" activePane="bottomRight" state="frozen"/>
      <selection activeCell="O22" sqref="O22"/>
      <selection pane="topRight" activeCell="O22" sqref="O22"/>
      <selection pane="bottomLeft" activeCell="O22" sqref="O22"/>
      <selection pane="bottomRight" activeCell="J22" sqref="J22"/>
    </sheetView>
  </sheetViews>
  <sheetFormatPr defaultRowHeight="15.95" customHeight="1"/>
  <cols>
    <col min="1" max="1" width="14.140625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6.5">
      <c r="A2" s="149">
        <v>42490</v>
      </c>
      <c r="B2" s="150">
        <v>0</v>
      </c>
      <c r="C2" s="150">
        <v>0</v>
      </c>
      <c r="D2" s="150">
        <v>4</v>
      </c>
      <c r="E2" s="150"/>
      <c r="F2" s="151">
        <f t="shared" ref="F2:F3" si="0">IF(E2&gt;10000,D2/E2*10000,D2)</f>
        <v>4</v>
      </c>
      <c r="G2" s="150">
        <v>0</v>
      </c>
      <c r="H2" s="150">
        <v>0</v>
      </c>
      <c r="I2" s="150">
        <v>5</v>
      </c>
      <c r="J2" s="152">
        <v>54417</v>
      </c>
      <c r="K2" s="151">
        <f t="shared" ref="K2:K3" si="1">IF(J2&gt;10000,I2/J2*10000,I2)</f>
        <v>0.91883051252365988</v>
      </c>
      <c r="L2" s="153"/>
      <c r="M2" s="154"/>
    </row>
    <row r="3" spans="1:13" s="155" customFormat="1" ht="16.5">
      <c r="A3" s="149">
        <v>42521</v>
      </c>
      <c r="B3" s="150">
        <v>0</v>
      </c>
      <c r="C3" s="150">
        <v>0</v>
      </c>
      <c r="D3" s="150">
        <v>3</v>
      </c>
      <c r="E3" s="150"/>
      <c r="F3" s="151">
        <f t="shared" si="0"/>
        <v>3</v>
      </c>
      <c r="G3" s="150">
        <v>1</v>
      </c>
      <c r="H3" s="150">
        <v>0</v>
      </c>
      <c r="I3" s="150">
        <v>3</v>
      </c>
      <c r="J3" s="152">
        <v>33355.9</v>
      </c>
      <c r="K3" s="151">
        <f t="shared" si="1"/>
        <v>0.89939111221702905</v>
      </c>
      <c r="L3" s="153"/>
      <c r="M3" s="154"/>
    </row>
    <row r="4" spans="1:13" s="155" customFormat="1" ht="16.5">
      <c r="A4" s="163">
        <v>42551</v>
      </c>
      <c r="B4" s="150">
        <v>0</v>
      </c>
      <c r="C4" s="150">
        <v>0</v>
      </c>
      <c r="D4" s="150">
        <v>4</v>
      </c>
      <c r="E4" s="150"/>
      <c r="F4" s="151">
        <v>4</v>
      </c>
      <c r="G4" s="150">
        <v>0</v>
      </c>
      <c r="H4" s="150">
        <v>0</v>
      </c>
      <c r="I4" s="150">
        <v>5</v>
      </c>
      <c r="J4" s="152">
        <v>83470.899999999994</v>
      </c>
      <c r="K4" s="151">
        <v>0.6</v>
      </c>
      <c r="L4" s="153"/>
      <c r="M4" s="154"/>
    </row>
    <row r="5" spans="1:13" s="155" customFormat="1" ht="16.5">
      <c r="A5" s="149">
        <v>42582</v>
      </c>
      <c r="B5" s="150">
        <v>0</v>
      </c>
      <c r="C5" s="150">
        <v>0</v>
      </c>
      <c r="D5" s="150">
        <v>3</v>
      </c>
      <c r="E5" s="150"/>
      <c r="F5" s="151">
        <v>3</v>
      </c>
      <c r="G5" s="150">
        <v>0</v>
      </c>
      <c r="H5" s="150">
        <v>0</v>
      </c>
      <c r="I5" s="150">
        <v>6</v>
      </c>
      <c r="J5" s="152">
        <v>109286.3</v>
      </c>
      <c r="K5" s="151">
        <v>0.55000000000000004</v>
      </c>
      <c r="L5" s="153"/>
      <c r="M5" s="154"/>
    </row>
    <row r="6" spans="1:13" s="155" customFormat="1" ht="16.5">
      <c r="A6" s="149">
        <v>42613</v>
      </c>
      <c r="B6" s="150">
        <v>2</v>
      </c>
      <c r="C6" s="150">
        <v>0</v>
      </c>
      <c r="D6" s="150">
        <v>5</v>
      </c>
      <c r="E6" s="150"/>
      <c r="F6" s="151">
        <v>5</v>
      </c>
      <c r="G6" s="150">
        <v>2</v>
      </c>
      <c r="H6" s="150">
        <v>0</v>
      </c>
      <c r="I6" s="150">
        <v>13</v>
      </c>
      <c r="J6" s="152">
        <v>85295.4</v>
      </c>
      <c r="K6" s="151">
        <v>1.52</v>
      </c>
      <c r="L6" s="153"/>
      <c r="M6" s="154"/>
    </row>
    <row r="7" spans="1:13" s="155" customFormat="1" ht="16.5">
      <c r="A7" s="149">
        <v>42643</v>
      </c>
      <c r="B7" s="150">
        <v>2</v>
      </c>
      <c r="C7" s="150">
        <v>2</v>
      </c>
      <c r="D7" s="150">
        <v>10</v>
      </c>
      <c r="E7" s="150"/>
      <c r="F7" s="151">
        <f>IF(E7&gt;10000,D7/E7*10000,D7)</f>
        <v>10</v>
      </c>
      <c r="G7" s="150">
        <v>2</v>
      </c>
      <c r="H7" s="150">
        <v>2</v>
      </c>
      <c r="I7" s="150">
        <v>12</v>
      </c>
      <c r="J7" s="152">
        <v>99906.1</v>
      </c>
      <c r="K7" s="151">
        <f>IF(J7&gt;10000,I7/J7*10000,I7)</f>
        <v>1.2011278590596568</v>
      </c>
      <c r="L7" s="153"/>
      <c r="M7" s="154"/>
    </row>
    <row r="8" spans="1:13" ht="16.5">
      <c r="A8" s="81">
        <f>A7+1</f>
        <v>42644</v>
      </c>
      <c r="B8" s="82">
        <v>0</v>
      </c>
      <c r="C8" s="82">
        <v>0</v>
      </c>
      <c r="D8" s="82">
        <v>0</v>
      </c>
      <c r="E8" s="82"/>
      <c r="F8" s="76">
        <f>IF(E8&gt;10000,D8/E8*10000,D8)</f>
        <v>0</v>
      </c>
      <c r="G8" s="82">
        <v>0</v>
      </c>
      <c r="H8" s="82">
        <v>0</v>
      </c>
      <c r="I8" s="82">
        <v>0</v>
      </c>
      <c r="J8" s="82"/>
      <c r="K8" s="76">
        <f>IF(J8&gt;10000,I8/J8*10000,I8)</f>
        <v>0</v>
      </c>
      <c r="L8" s="84"/>
      <c r="M8" s="85"/>
    </row>
    <row r="9" spans="1:13" ht="16.5">
      <c r="A9" s="81">
        <f t="shared" ref="A9:A38" si="2">A8+1</f>
        <v>42645</v>
      </c>
      <c r="B9" s="82">
        <v>0</v>
      </c>
      <c r="C9" s="82">
        <v>0</v>
      </c>
      <c r="D9" s="82">
        <v>0</v>
      </c>
      <c r="E9" s="82"/>
      <c r="F9" s="76">
        <f t="shared" ref="F9:F38" si="3">IF(E9&gt;10000,D9/E9*10000,D9)</f>
        <v>0</v>
      </c>
      <c r="G9" s="82">
        <v>0</v>
      </c>
      <c r="H9" s="82">
        <v>0</v>
      </c>
      <c r="I9" s="82">
        <v>0</v>
      </c>
      <c r="J9" s="82"/>
      <c r="K9" s="76">
        <f t="shared" ref="K9:K38" si="4">IF(J9&gt;10000,I9/J9*10000,I9)</f>
        <v>0</v>
      </c>
      <c r="L9" s="84"/>
      <c r="M9" s="85"/>
    </row>
    <row r="10" spans="1:13" ht="16.5">
      <c r="A10" s="81">
        <f t="shared" si="2"/>
        <v>42646</v>
      </c>
      <c r="B10" s="82">
        <v>0</v>
      </c>
      <c r="C10" s="82">
        <v>0</v>
      </c>
      <c r="D10" s="82">
        <v>0</v>
      </c>
      <c r="E10" s="82"/>
      <c r="F10" s="76">
        <f t="shared" si="3"/>
        <v>0</v>
      </c>
      <c r="G10" s="82">
        <v>0</v>
      </c>
      <c r="H10" s="82">
        <v>0</v>
      </c>
      <c r="I10" s="82">
        <v>0</v>
      </c>
      <c r="J10" s="83">
        <v>13845.9</v>
      </c>
      <c r="K10" s="76">
        <f t="shared" si="4"/>
        <v>0</v>
      </c>
      <c r="L10" s="84"/>
      <c r="M10" s="85"/>
    </row>
    <row r="11" spans="1:13" ht="16.5">
      <c r="A11" s="81">
        <f t="shared" si="2"/>
        <v>42647</v>
      </c>
      <c r="B11" s="82">
        <v>0</v>
      </c>
      <c r="C11" s="82">
        <v>0</v>
      </c>
      <c r="D11" s="82">
        <v>0</v>
      </c>
      <c r="E11" s="82"/>
      <c r="F11" s="76">
        <f t="shared" si="3"/>
        <v>0</v>
      </c>
      <c r="G11" s="82">
        <v>0</v>
      </c>
      <c r="H11" s="82">
        <v>0</v>
      </c>
      <c r="I11" s="82">
        <v>0</v>
      </c>
      <c r="J11" s="83">
        <v>17482.599999999999</v>
      </c>
      <c r="K11" s="76">
        <f t="shared" si="4"/>
        <v>0</v>
      </c>
      <c r="L11" s="84"/>
      <c r="M11" s="85"/>
    </row>
    <row r="12" spans="1:13" ht="16.5">
      <c r="A12" s="81">
        <f t="shared" si="2"/>
        <v>42648</v>
      </c>
      <c r="B12" s="82">
        <v>0</v>
      </c>
      <c r="C12" s="82">
        <v>0</v>
      </c>
      <c r="D12" s="82">
        <v>0</v>
      </c>
      <c r="E12" s="82"/>
      <c r="F12" s="76">
        <f t="shared" si="3"/>
        <v>0</v>
      </c>
      <c r="G12" s="82">
        <v>0</v>
      </c>
      <c r="H12" s="82">
        <v>0</v>
      </c>
      <c r="I12" s="82">
        <v>0</v>
      </c>
      <c r="J12" s="83">
        <v>22482.6</v>
      </c>
      <c r="K12" s="76">
        <f t="shared" si="4"/>
        <v>0</v>
      </c>
      <c r="L12" s="84"/>
      <c r="M12" s="85"/>
    </row>
    <row r="13" spans="1:13" ht="15.95" customHeight="1">
      <c r="A13" s="81">
        <f t="shared" si="2"/>
        <v>42649</v>
      </c>
      <c r="B13" s="82">
        <v>0</v>
      </c>
      <c r="C13" s="82">
        <v>0</v>
      </c>
      <c r="D13" s="82">
        <v>0</v>
      </c>
      <c r="E13" s="82"/>
      <c r="F13" s="76">
        <f t="shared" si="3"/>
        <v>0</v>
      </c>
      <c r="G13" s="82">
        <v>0</v>
      </c>
      <c r="H13" s="82">
        <v>0</v>
      </c>
      <c r="I13" s="82">
        <v>0</v>
      </c>
      <c r="J13" s="83">
        <v>25892.9</v>
      </c>
      <c r="K13" s="76">
        <f t="shared" si="4"/>
        <v>0</v>
      </c>
      <c r="L13" s="84"/>
      <c r="M13" s="85"/>
    </row>
    <row r="14" spans="1:13" ht="15.95" customHeight="1">
      <c r="A14" s="81">
        <f t="shared" si="2"/>
        <v>42650</v>
      </c>
      <c r="B14" s="82">
        <v>0</v>
      </c>
      <c r="C14" s="82">
        <v>0</v>
      </c>
      <c r="D14" s="82">
        <v>0</v>
      </c>
      <c r="E14" s="82"/>
      <c r="F14" s="76">
        <f t="shared" si="3"/>
        <v>0</v>
      </c>
      <c r="G14" s="82">
        <v>0</v>
      </c>
      <c r="H14" s="82">
        <v>0</v>
      </c>
      <c r="I14" s="82">
        <v>0</v>
      </c>
      <c r="J14" s="83">
        <v>30891.1</v>
      </c>
      <c r="K14" s="76">
        <f t="shared" si="4"/>
        <v>0</v>
      </c>
      <c r="L14" s="84"/>
      <c r="M14" s="85"/>
    </row>
    <row r="15" spans="1:13" ht="15.95" customHeight="1">
      <c r="A15" s="81">
        <f t="shared" si="2"/>
        <v>42651</v>
      </c>
      <c r="B15" s="82">
        <v>0</v>
      </c>
      <c r="C15" s="82">
        <v>0</v>
      </c>
      <c r="D15" s="82">
        <v>0</v>
      </c>
      <c r="E15" s="82"/>
      <c r="F15" s="76">
        <f t="shared" si="3"/>
        <v>0</v>
      </c>
      <c r="G15" s="82">
        <v>0</v>
      </c>
      <c r="H15" s="82">
        <v>0</v>
      </c>
      <c r="I15" s="82">
        <v>0</v>
      </c>
      <c r="J15" s="83">
        <v>35889.5</v>
      </c>
      <c r="K15" s="76">
        <f t="shared" si="4"/>
        <v>0</v>
      </c>
      <c r="L15" s="84"/>
      <c r="M15" s="85"/>
    </row>
    <row r="16" spans="1:13" ht="15.95" customHeight="1">
      <c r="A16" s="81">
        <f t="shared" si="2"/>
        <v>42652</v>
      </c>
      <c r="B16" s="82">
        <v>1</v>
      </c>
      <c r="C16" s="82">
        <v>0</v>
      </c>
      <c r="D16" s="82">
        <v>0</v>
      </c>
      <c r="E16" s="82"/>
      <c r="F16" s="76">
        <f t="shared" si="3"/>
        <v>0</v>
      </c>
      <c r="G16" s="82">
        <v>2</v>
      </c>
      <c r="H16" s="82">
        <v>0</v>
      </c>
      <c r="I16" s="82">
        <v>0</v>
      </c>
      <c r="J16" s="83">
        <v>40889.4</v>
      </c>
      <c r="K16" s="76">
        <f t="shared" si="4"/>
        <v>0</v>
      </c>
      <c r="L16" s="84"/>
      <c r="M16" s="85"/>
    </row>
    <row r="17" spans="1:13" ht="15.95" customHeight="1">
      <c r="A17" s="81">
        <f t="shared" si="2"/>
        <v>42653</v>
      </c>
      <c r="B17" s="82">
        <v>0</v>
      </c>
      <c r="C17" s="82">
        <v>0</v>
      </c>
      <c r="D17" s="82">
        <v>0</v>
      </c>
      <c r="E17" s="82"/>
      <c r="F17" s="76">
        <f t="shared" si="3"/>
        <v>0</v>
      </c>
      <c r="G17" s="82">
        <v>0</v>
      </c>
      <c r="H17" s="82">
        <v>0</v>
      </c>
      <c r="I17" s="82">
        <v>0</v>
      </c>
      <c r="J17" s="83">
        <v>45259</v>
      </c>
      <c r="K17" s="76">
        <f t="shared" si="4"/>
        <v>0</v>
      </c>
      <c r="L17" s="84"/>
      <c r="M17" s="85"/>
    </row>
    <row r="18" spans="1:13" ht="15.95" customHeight="1">
      <c r="A18" s="81">
        <f t="shared" si="2"/>
        <v>42654</v>
      </c>
      <c r="B18" s="82">
        <v>0</v>
      </c>
      <c r="C18" s="82">
        <v>0</v>
      </c>
      <c r="D18" s="82">
        <v>0</v>
      </c>
      <c r="E18" s="82"/>
      <c r="F18" s="76">
        <f t="shared" si="3"/>
        <v>0</v>
      </c>
      <c r="G18" s="82">
        <v>1</v>
      </c>
      <c r="H18" s="82">
        <v>0</v>
      </c>
      <c r="I18" s="82">
        <v>0</v>
      </c>
      <c r="J18" s="83">
        <v>48832.800000000003</v>
      </c>
      <c r="K18" s="76">
        <f t="shared" si="4"/>
        <v>0</v>
      </c>
      <c r="L18" s="84"/>
      <c r="M18" s="85"/>
    </row>
    <row r="19" spans="1:13" ht="15.95" customHeight="1">
      <c r="A19" s="81">
        <f t="shared" si="2"/>
        <v>42655</v>
      </c>
      <c r="B19" s="82">
        <v>1</v>
      </c>
      <c r="C19" s="82">
        <v>0</v>
      </c>
      <c r="D19" s="82">
        <v>0</v>
      </c>
      <c r="E19" s="82"/>
      <c r="F19" s="76">
        <f t="shared" si="3"/>
        <v>0</v>
      </c>
      <c r="G19" s="82">
        <v>2</v>
      </c>
      <c r="H19" s="82">
        <v>0</v>
      </c>
      <c r="I19" s="82">
        <v>1</v>
      </c>
      <c r="J19" s="83">
        <v>53699.1</v>
      </c>
      <c r="K19" s="76">
        <f t="shared" si="4"/>
        <v>0.18622286034589036</v>
      </c>
      <c r="L19" s="84"/>
      <c r="M19" s="85"/>
    </row>
    <row r="20" spans="1:13" ht="15.95" customHeight="1">
      <c r="A20" s="81">
        <f t="shared" si="2"/>
        <v>42656</v>
      </c>
      <c r="B20" s="82">
        <v>2</v>
      </c>
      <c r="C20" s="82">
        <v>1</v>
      </c>
      <c r="D20" s="82">
        <v>1</v>
      </c>
      <c r="E20" s="82"/>
      <c r="F20" s="76">
        <f t="shared" si="3"/>
        <v>1</v>
      </c>
      <c r="G20" s="82">
        <v>3</v>
      </c>
      <c r="H20" s="82">
        <v>1</v>
      </c>
      <c r="I20" s="82">
        <v>2</v>
      </c>
      <c r="J20" s="83">
        <v>58696.6</v>
      </c>
      <c r="K20" s="76">
        <f t="shared" si="4"/>
        <v>0.34073523849763016</v>
      </c>
      <c r="L20" s="84"/>
      <c r="M20" s="85"/>
    </row>
    <row r="21" spans="1:13" ht="15.95" customHeight="1">
      <c r="A21" s="81">
        <f t="shared" si="2"/>
        <v>42657</v>
      </c>
      <c r="B21" s="82">
        <v>0</v>
      </c>
      <c r="C21" s="82">
        <v>0</v>
      </c>
      <c r="D21" s="82">
        <v>1</v>
      </c>
      <c r="E21" s="82"/>
      <c r="F21" s="76">
        <f t="shared" si="3"/>
        <v>1</v>
      </c>
      <c r="G21" s="82">
        <v>0</v>
      </c>
      <c r="H21" s="82">
        <v>0</v>
      </c>
      <c r="I21" s="82">
        <v>2</v>
      </c>
      <c r="J21" s="83">
        <v>63696.6</v>
      </c>
      <c r="K21" s="76">
        <f t="shared" si="4"/>
        <v>0.31398850174106624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44" spans="1:13" ht="15.95" customHeight="1">
      <c r="A44"/>
      <c r="B44"/>
      <c r="C44"/>
      <c r="D44"/>
      <c r="E44"/>
      <c r="F44"/>
      <c r="G44"/>
      <c r="H44"/>
      <c r="I44"/>
      <c r="J44"/>
    </row>
    <row r="45" spans="1:13" ht="15.95" customHeight="1">
      <c r="A45"/>
      <c r="B45"/>
      <c r="C45"/>
      <c r="D45"/>
      <c r="E45"/>
      <c r="F45"/>
      <c r="G45"/>
      <c r="H45"/>
      <c r="I45"/>
      <c r="J45"/>
    </row>
    <row r="46" spans="1:13" ht="15.95" customHeight="1">
      <c r="A46"/>
      <c r="B46"/>
      <c r="C46"/>
      <c r="D46"/>
      <c r="E46"/>
      <c r="F46"/>
      <c r="G46"/>
      <c r="H46"/>
      <c r="I46"/>
      <c r="J46"/>
    </row>
    <row r="47" spans="1:13" ht="15.95" customHeight="1">
      <c r="A47"/>
      <c r="B47"/>
      <c r="C47"/>
      <c r="D47"/>
      <c r="E47"/>
      <c r="F47"/>
      <c r="G47"/>
      <c r="H47"/>
      <c r="I47"/>
      <c r="J47"/>
    </row>
    <row r="48" spans="1:13" ht="15.95" customHeight="1">
      <c r="A48"/>
      <c r="B48"/>
      <c r="C48"/>
      <c r="D48"/>
      <c r="E48"/>
      <c r="F48"/>
      <c r="G48"/>
      <c r="H48"/>
      <c r="I48"/>
      <c r="J48"/>
    </row>
    <row r="49" spans="1:10" ht="15.95" customHeight="1">
      <c r="A49"/>
      <c r="B49"/>
      <c r="C49"/>
      <c r="D49"/>
      <c r="E49"/>
      <c r="F49"/>
      <c r="G49"/>
      <c r="H49"/>
      <c r="I49"/>
      <c r="J49"/>
    </row>
    <row r="50" spans="1:10" ht="15.95" customHeight="1">
      <c r="A50" s="181"/>
    </row>
    <row r="51" spans="1:10" ht="15.95" customHeight="1">
      <c r="A51" s="18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39"/>
  <sheetViews>
    <sheetView showGridLines="0" workbookViewId="0">
      <pane xSplit="1" ySplit="1" topLeftCell="B2" activePane="bottomRight" state="frozen"/>
      <selection activeCell="R19" sqref="R19"/>
      <selection pane="topRight" activeCell="R19" sqref="R19"/>
      <selection pane="bottomLeft" activeCell="R19" sqref="R19"/>
      <selection pane="bottomRight" activeCell="R19" sqref="R19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105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ht="16.5">
      <c r="A2" s="74">
        <v>42185</v>
      </c>
      <c r="B2" s="75">
        <v>17</v>
      </c>
      <c r="C2" s="75">
        <v>17</v>
      </c>
      <c r="D2" s="75">
        <v>130</v>
      </c>
      <c r="E2" s="75">
        <v>66101</v>
      </c>
      <c r="F2" s="76">
        <f t="shared" ref="F2:F24" si="0">IF(E2&gt;10000,D2/E2*10000,D2)</f>
        <v>19.666873420976991</v>
      </c>
      <c r="G2" s="77">
        <v>18</v>
      </c>
      <c r="H2" s="77">
        <v>18</v>
      </c>
      <c r="I2" s="77">
        <v>143</v>
      </c>
      <c r="J2" s="78">
        <v>331116.82</v>
      </c>
      <c r="K2" s="76">
        <f t="shared" ref="K2:K24" si="1">IF(J2&gt;10000,I2/J2*10000,I2)</f>
        <v>4.3187174846629652</v>
      </c>
      <c r="L2" s="79"/>
      <c r="M2" s="80"/>
    </row>
    <row r="3" spans="1:13" s="67" customFormat="1" ht="16.5">
      <c r="A3" s="74">
        <v>42216</v>
      </c>
      <c r="B3" s="75">
        <v>8</v>
      </c>
      <c r="C3" s="75">
        <v>6</v>
      </c>
      <c r="D3" s="75">
        <v>150</v>
      </c>
      <c r="E3" s="75">
        <v>70816</v>
      </c>
      <c r="F3" s="76">
        <f t="shared" si="0"/>
        <v>21.181653863533665</v>
      </c>
      <c r="G3" s="77">
        <v>9</v>
      </c>
      <c r="H3" s="77">
        <v>7</v>
      </c>
      <c r="I3" s="77">
        <v>189</v>
      </c>
      <c r="J3" s="78">
        <v>855217.91</v>
      </c>
      <c r="K3" s="76">
        <f t="shared" si="1"/>
        <v>2.2099630724524935</v>
      </c>
      <c r="L3" s="79"/>
      <c r="M3" s="80"/>
    </row>
    <row r="4" spans="1:13" ht="16.5">
      <c r="A4" s="74">
        <v>42247</v>
      </c>
      <c r="B4" s="75">
        <v>22</v>
      </c>
      <c r="C4" s="75">
        <v>7</v>
      </c>
      <c r="D4" s="75">
        <v>289</v>
      </c>
      <c r="E4" s="75">
        <v>94366</v>
      </c>
      <c r="F4" s="76">
        <f t="shared" si="0"/>
        <v>30.625437127779076</v>
      </c>
      <c r="G4" s="77">
        <v>25</v>
      </c>
      <c r="H4" s="77">
        <v>8</v>
      </c>
      <c r="I4" s="77">
        <v>343</v>
      </c>
      <c r="J4" s="78">
        <v>1144068.31</v>
      </c>
      <c r="K4" s="76">
        <f t="shared" si="1"/>
        <v>2.9980727287166968</v>
      </c>
      <c r="L4" s="79"/>
      <c r="M4" s="80"/>
    </row>
    <row r="5" spans="1:13" ht="16.5">
      <c r="A5" s="74">
        <v>42277</v>
      </c>
      <c r="B5" s="75">
        <v>7</v>
      </c>
      <c r="C5" s="75">
        <v>2</v>
      </c>
      <c r="D5" s="75">
        <v>116</v>
      </c>
      <c r="E5" s="75">
        <v>44845</v>
      </c>
      <c r="F5" s="76">
        <f>IF(E5&gt;10000,D5/E5*10000,D5)</f>
        <v>25.866874790946593</v>
      </c>
      <c r="G5" s="77">
        <v>10</v>
      </c>
      <c r="H5" s="77">
        <v>3</v>
      </c>
      <c r="I5" s="77">
        <v>144</v>
      </c>
      <c r="J5" s="78">
        <v>662428.06000000006</v>
      </c>
      <c r="K5" s="76">
        <f>IF(J5&gt;10000,I5/J5*10000,I5)</f>
        <v>2.173820958007123</v>
      </c>
      <c r="L5" s="79"/>
      <c r="M5" s="80"/>
    </row>
    <row r="6" spans="1:13" ht="16.5">
      <c r="A6" s="74">
        <v>42308</v>
      </c>
      <c r="B6" s="75">
        <v>14</v>
      </c>
      <c r="C6" s="75">
        <v>12</v>
      </c>
      <c r="D6" s="75">
        <v>327</v>
      </c>
      <c r="E6" s="75">
        <v>64333</v>
      </c>
      <c r="F6" s="76">
        <f>IF(E6&gt;10000,D6/E6*10000,D6)</f>
        <v>50.829278908180868</v>
      </c>
      <c r="G6" s="77">
        <v>14</v>
      </c>
      <c r="H6" s="77">
        <v>12</v>
      </c>
      <c r="I6" s="77">
        <v>421</v>
      </c>
      <c r="J6" s="78">
        <v>1101714.94</v>
      </c>
      <c r="K6" s="76">
        <f>IF(J6&gt;10000,I6/J6*10000,I6)</f>
        <v>3.821315157984515</v>
      </c>
      <c r="L6" s="79"/>
      <c r="M6" s="80"/>
    </row>
    <row r="7" spans="1:13" ht="16.5">
      <c r="A7" s="74">
        <v>42338</v>
      </c>
      <c r="B7" s="75">
        <v>13</v>
      </c>
      <c r="C7" s="75">
        <v>6</v>
      </c>
      <c r="D7" s="75">
        <v>351</v>
      </c>
      <c r="E7" s="75">
        <v>99757</v>
      </c>
      <c r="F7" s="76">
        <v>35.185500766863477</v>
      </c>
      <c r="G7" s="77">
        <v>18</v>
      </c>
      <c r="H7" s="77">
        <v>7</v>
      </c>
      <c r="I7" s="77">
        <v>460</v>
      </c>
      <c r="J7" s="78">
        <v>2022286.31</v>
      </c>
      <c r="K7" s="76">
        <v>2.2746531869663893</v>
      </c>
      <c r="L7" s="79"/>
      <c r="M7" s="80"/>
    </row>
    <row r="8" spans="1:13" ht="16.5">
      <c r="A8" s="74">
        <v>42369</v>
      </c>
      <c r="B8" s="75">
        <v>10</v>
      </c>
      <c r="C8" s="75">
        <v>7</v>
      </c>
      <c r="D8" s="75">
        <v>356</v>
      </c>
      <c r="E8" s="75">
        <v>75702</v>
      </c>
      <c r="F8" s="76">
        <f t="shared" si="0"/>
        <v>47.026498639401865</v>
      </c>
      <c r="G8" s="77">
        <v>11</v>
      </c>
      <c r="H8" s="77">
        <v>8</v>
      </c>
      <c r="I8" s="77">
        <v>465</v>
      </c>
      <c r="J8" s="78">
        <v>851507.42</v>
      </c>
      <c r="K8" s="76">
        <f t="shared" si="1"/>
        <v>5.460903675977363</v>
      </c>
      <c r="L8" s="79"/>
      <c r="M8" s="80"/>
    </row>
    <row r="9" spans="1:13" ht="15.95" hidden="1" customHeight="1">
      <c r="A9" s="81">
        <v>42370</v>
      </c>
      <c r="B9" s="82"/>
      <c r="C9" s="82"/>
      <c r="D9" s="82"/>
      <c r="E9" s="82"/>
      <c r="F9" s="76">
        <f t="shared" si="0"/>
        <v>0</v>
      </c>
      <c r="G9" s="82"/>
      <c r="H9" s="82"/>
      <c r="I9" s="82"/>
      <c r="J9" s="83"/>
      <c r="K9" s="76">
        <f t="shared" si="1"/>
        <v>0</v>
      </c>
      <c r="L9" s="84"/>
      <c r="M9" s="85"/>
    </row>
    <row r="10" spans="1:13" ht="15.95" customHeight="1">
      <c r="A10" s="81">
        <f>A9+1</f>
        <v>42371</v>
      </c>
      <c r="B10" s="82"/>
      <c r="C10" s="82"/>
      <c r="D10" s="82"/>
      <c r="E10" s="82"/>
      <c r="F10" s="76">
        <f t="shared" si="0"/>
        <v>0</v>
      </c>
      <c r="G10" s="82"/>
      <c r="H10" s="82"/>
      <c r="I10" s="82"/>
      <c r="J10" s="83"/>
      <c r="K10" s="76">
        <f t="shared" si="1"/>
        <v>0</v>
      </c>
      <c r="L10" s="84"/>
      <c r="M10" s="85"/>
    </row>
    <row r="11" spans="1:13" ht="15.95" hidden="1" customHeight="1">
      <c r="A11" s="81">
        <f t="shared" ref="A11:A39" si="2">A10+1</f>
        <v>42372</v>
      </c>
      <c r="B11" s="82"/>
      <c r="C11" s="82"/>
      <c r="D11" s="82"/>
      <c r="E11" s="82"/>
      <c r="F11" s="76">
        <f t="shared" si="0"/>
        <v>0</v>
      </c>
      <c r="G11" s="82"/>
      <c r="H11" s="82"/>
      <c r="I11" s="82"/>
      <c r="J11" s="83"/>
      <c r="K11" s="76">
        <f t="shared" si="1"/>
        <v>0</v>
      </c>
      <c r="L11" s="84"/>
      <c r="M11" s="85"/>
    </row>
    <row r="12" spans="1:13" ht="15.95" hidden="1" customHeight="1">
      <c r="A12" s="81">
        <f t="shared" si="2"/>
        <v>42373</v>
      </c>
      <c r="B12" s="82"/>
      <c r="C12" s="82"/>
      <c r="D12" s="82"/>
      <c r="E12" s="82"/>
      <c r="F12" s="76">
        <f t="shared" si="0"/>
        <v>0</v>
      </c>
      <c r="G12" s="82"/>
      <c r="H12" s="82"/>
      <c r="I12" s="82"/>
      <c r="J12" s="83"/>
      <c r="K12" s="76">
        <f t="shared" si="1"/>
        <v>0</v>
      </c>
      <c r="L12" s="84"/>
      <c r="M12" s="85"/>
    </row>
    <row r="13" spans="1:13" ht="15.95" hidden="1" customHeight="1">
      <c r="A13" s="81">
        <f t="shared" si="2"/>
        <v>42374</v>
      </c>
      <c r="B13" s="82"/>
      <c r="C13" s="82"/>
      <c r="D13" s="82"/>
      <c r="E13" s="82"/>
      <c r="F13" s="76">
        <f t="shared" si="0"/>
        <v>0</v>
      </c>
      <c r="G13" s="82"/>
      <c r="H13" s="82"/>
      <c r="I13" s="82"/>
      <c r="J13" s="83"/>
      <c r="K13" s="76">
        <f t="shared" si="1"/>
        <v>0</v>
      </c>
      <c r="L13" s="84"/>
      <c r="M13" s="85"/>
    </row>
    <row r="14" spans="1:13" ht="15.95" customHeight="1">
      <c r="A14" s="81">
        <f t="shared" si="2"/>
        <v>42375</v>
      </c>
      <c r="B14" s="82"/>
      <c r="C14" s="82"/>
      <c r="D14" s="82"/>
      <c r="E14" s="82"/>
      <c r="F14" s="76">
        <f t="shared" si="0"/>
        <v>0</v>
      </c>
      <c r="G14" s="82"/>
      <c r="H14" s="82"/>
      <c r="I14" s="82"/>
      <c r="J14" s="83"/>
      <c r="K14" s="76">
        <f t="shared" si="1"/>
        <v>0</v>
      </c>
      <c r="L14" s="84"/>
      <c r="M14" s="85"/>
    </row>
    <row r="15" spans="1:13" ht="15.95" hidden="1" customHeight="1">
      <c r="A15" s="81">
        <f t="shared" si="2"/>
        <v>42376</v>
      </c>
      <c r="B15" s="82"/>
      <c r="C15" s="82"/>
      <c r="D15" s="82"/>
      <c r="E15" s="82"/>
      <c r="F15" s="76">
        <f t="shared" si="0"/>
        <v>0</v>
      </c>
      <c r="G15" s="82"/>
      <c r="H15" s="82"/>
      <c r="I15" s="82"/>
      <c r="J15" s="83"/>
      <c r="K15" s="76">
        <f t="shared" si="1"/>
        <v>0</v>
      </c>
      <c r="L15" s="84"/>
      <c r="M15" s="85"/>
    </row>
    <row r="16" spans="1:13" ht="15.95" hidden="1" customHeight="1">
      <c r="A16" s="81">
        <f t="shared" si="2"/>
        <v>42377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1"/>
        <v>0</v>
      </c>
      <c r="L16" s="84"/>
      <c r="M16" s="85"/>
    </row>
    <row r="17" spans="1:13" ht="15.95" hidden="1" customHeight="1">
      <c r="A17" s="81">
        <f t="shared" si="2"/>
        <v>42378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1"/>
        <v>0</v>
      </c>
      <c r="L17" s="84"/>
      <c r="M17" s="85"/>
    </row>
    <row r="18" spans="1:13" ht="15.95" hidden="1" customHeight="1">
      <c r="A18" s="81">
        <f t="shared" si="2"/>
        <v>42379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1"/>
        <v>0</v>
      </c>
      <c r="L18" s="84"/>
      <c r="M18" s="85"/>
    </row>
    <row r="19" spans="1:13" ht="15.95" customHeight="1">
      <c r="A19" s="81">
        <f t="shared" si="2"/>
        <v>42380</v>
      </c>
      <c r="B19" s="82"/>
      <c r="C19" s="82"/>
      <c r="D19" s="82"/>
      <c r="E19" s="82"/>
      <c r="F19" s="76">
        <f t="shared" si="0"/>
        <v>0</v>
      </c>
      <c r="G19" s="82"/>
      <c r="H19" s="82"/>
      <c r="I19" s="82"/>
      <c r="J19" s="83"/>
      <c r="K19" s="76">
        <f t="shared" si="1"/>
        <v>0</v>
      </c>
      <c r="L19" s="84"/>
      <c r="M19" s="85"/>
    </row>
    <row r="20" spans="1:13" ht="15.95" hidden="1" customHeight="1">
      <c r="A20" s="81">
        <f t="shared" si="2"/>
        <v>42381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1"/>
        <v>0</v>
      </c>
      <c r="L20" s="84"/>
      <c r="M20" s="85"/>
    </row>
    <row r="21" spans="1:13" ht="15.95" hidden="1" customHeight="1">
      <c r="A21" s="81">
        <f t="shared" si="2"/>
        <v>42382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1"/>
        <v>0</v>
      </c>
      <c r="L21" s="84"/>
      <c r="M21" s="85"/>
    </row>
    <row r="22" spans="1:13" ht="15.95" hidden="1" customHeight="1">
      <c r="A22" s="81">
        <f t="shared" si="2"/>
        <v>42383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83"/>
      <c r="K22" s="76">
        <f t="shared" si="1"/>
        <v>0</v>
      </c>
      <c r="L22" s="84"/>
      <c r="M22" s="85"/>
    </row>
    <row r="23" spans="1:13" ht="15.95" hidden="1" customHeight="1">
      <c r="A23" s="81">
        <f t="shared" si="2"/>
        <v>42384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1"/>
        <v>0</v>
      </c>
      <c r="L23" s="84"/>
      <c r="M23" s="85"/>
    </row>
    <row r="24" spans="1:13" ht="15.95" hidden="1" customHeight="1">
      <c r="A24" s="81">
        <f t="shared" si="2"/>
        <v>42385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1"/>
        <v>0</v>
      </c>
      <c r="L24" s="84"/>
      <c r="M24" s="85"/>
    </row>
    <row r="25" spans="1:13" ht="15.95" customHeight="1">
      <c r="A25" s="81">
        <f t="shared" si="2"/>
        <v>42386</v>
      </c>
      <c r="B25" s="82"/>
      <c r="C25" s="82"/>
      <c r="D25" s="82"/>
      <c r="E25" s="82"/>
      <c r="F25" s="76">
        <f t="shared" ref="F25:F39" si="3">IF(E25&gt;10000,D25/E25*10000,D25)</f>
        <v>0</v>
      </c>
      <c r="G25" s="82"/>
      <c r="H25" s="82"/>
      <c r="I25" s="82"/>
      <c r="J25" s="83"/>
      <c r="K25" s="76">
        <f t="shared" ref="K25:K39" si="4">IF(J25&gt;10000,I25/J25*10000,I25)</f>
        <v>0</v>
      </c>
      <c r="L25" s="84"/>
      <c r="M25" s="85"/>
    </row>
    <row r="26" spans="1:13" ht="15.95" customHeight="1">
      <c r="A26" s="81">
        <f t="shared" si="2"/>
        <v>42387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42388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42389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42390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42391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42392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42393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42394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42395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>A34+1</f>
        <v>42396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42397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42398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42399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39" spans="1:13" ht="15.95" customHeight="1">
      <c r="A39" s="81">
        <f t="shared" si="2"/>
        <v>42400</v>
      </c>
      <c r="B39" s="82"/>
      <c r="C39" s="82"/>
      <c r="D39" s="82"/>
      <c r="E39" s="82"/>
      <c r="F39" s="76">
        <f t="shared" si="3"/>
        <v>0</v>
      </c>
      <c r="G39" s="82"/>
      <c r="H39" s="82"/>
      <c r="I39" s="82"/>
      <c r="J39" s="83"/>
      <c r="K39" s="76">
        <f t="shared" si="4"/>
        <v>0</v>
      </c>
      <c r="L39" s="84"/>
      <c r="M39" s="85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8"/>
  <sheetViews>
    <sheetView showGridLines="0" topLeftCell="C1" workbookViewId="0">
      <pane ySplit="1" topLeftCell="A5" activePane="bottomLeft" state="frozen"/>
      <selection activeCell="O22" sqref="O22"/>
      <selection pane="bottomLeft" activeCell="H24" sqref="H24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4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  <c r="N1" s="93" t="s">
        <v>67</v>
      </c>
    </row>
    <row r="2" spans="1:14" s="155" customFormat="1" ht="16.5">
      <c r="A2" s="149">
        <v>42490</v>
      </c>
      <c r="B2" s="150">
        <v>2</v>
      </c>
      <c r="C2" s="150">
        <v>0</v>
      </c>
      <c r="D2" s="150">
        <v>35</v>
      </c>
      <c r="E2" s="150">
        <v>16378</v>
      </c>
      <c r="F2" s="151">
        <f t="shared" ref="F2:F3" si="0">IF(E2&gt;10000,D2/E2*10000,D2)</f>
        <v>21.370130663084627</v>
      </c>
      <c r="G2" s="150">
        <v>3</v>
      </c>
      <c r="H2" s="150">
        <v>0</v>
      </c>
      <c r="I2" s="150">
        <v>39</v>
      </c>
      <c r="J2" s="152">
        <v>232976.6</v>
      </c>
      <c r="K2" s="151">
        <f t="shared" ref="K2:K3" si="1">IF(J2&gt;10000,I2/J2*10000,I2)</f>
        <v>1.673987859724968</v>
      </c>
      <c r="L2" s="153"/>
      <c r="M2" s="154"/>
    </row>
    <row r="3" spans="1:14" s="155" customFormat="1" ht="16.5">
      <c r="A3" s="149">
        <v>42521</v>
      </c>
      <c r="B3" s="150">
        <v>3</v>
      </c>
      <c r="C3" s="150">
        <v>0</v>
      </c>
      <c r="D3" s="150">
        <v>35</v>
      </c>
      <c r="E3" s="150">
        <v>27399</v>
      </c>
      <c r="F3" s="151">
        <f t="shared" si="0"/>
        <v>12.774188839008723</v>
      </c>
      <c r="G3" s="150">
        <v>5</v>
      </c>
      <c r="H3" s="150">
        <v>0</v>
      </c>
      <c r="I3" s="150">
        <v>40</v>
      </c>
      <c r="J3" s="152">
        <v>453290.3</v>
      </c>
      <c r="K3" s="151">
        <f t="shared" si="1"/>
        <v>0.88243670777865746</v>
      </c>
      <c r="L3" s="153"/>
      <c r="M3" s="154"/>
    </row>
    <row r="4" spans="1:14" s="155" customFormat="1" ht="15.95" customHeight="1">
      <c r="A4" s="149">
        <v>42551</v>
      </c>
      <c r="B4" s="150">
        <v>2</v>
      </c>
      <c r="C4" s="150">
        <v>0</v>
      </c>
      <c r="D4" s="150">
        <v>15</v>
      </c>
      <c r="E4" s="150">
        <v>21494</v>
      </c>
      <c r="F4" s="151">
        <v>6.98</v>
      </c>
      <c r="G4" s="150">
        <v>3</v>
      </c>
      <c r="H4" s="150">
        <v>0</v>
      </c>
      <c r="I4" s="150">
        <v>21</v>
      </c>
      <c r="J4" s="152">
        <v>313239.7</v>
      </c>
      <c r="K4" s="151">
        <v>0.67</v>
      </c>
      <c r="L4" s="153"/>
      <c r="M4" s="154"/>
    </row>
    <row r="5" spans="1:14" s="155" customFormat="1" ht="15.95" customHeight="1">
      <c r="A5" s="149">
        <v>42582</v>
      </c>
      <c r="B5" s="150">
        <v>4</v>
      </c>
      <c r="C5" s="150">
        <v>0</v>
      </c>
      <c r="D5" s="150">
        <v>54</v>
      </c>
      <c r="E5" s="150">
        <v>32314</v>
      </c>
      <c r="F5" s="151">
        <v>16.71</v>
      </c>
      <c r="G5" s="150">
        <v>7</v>
      </c>
      <c r="H5" s="150">
        <v>0</v>
      </c>
      <c r="I5" s="150">
        <v>68</v>
      </c>
      <c r="J5" s="152">
        <v>648877.80000000005</v>
      </c>
      <c r="K5" s="151">
        <v>1.05</v>
      </c>
      <c r="L5" s="153"/>
      <c r="M5" s="154"/>
    </row>
    <row r="6" spans="1:14" s="155" customFormat="1" ht="15.95" customHeight="1">
      <c r="A6" s="149">
        <v>42613</v>
      </c>
      <c r="B6" s="150">
        <v>6</v>
      </c>
      <c r="C6" s="150">
        <v>3</v>
      </c>
      <c r="D6" s="150">
        <v>34</v>
      </c>
      <c r="E6" s="150">
        <v>13711</v>
      </c>
      <c r="F6" s="151">
        <v>24.8</v>
      </c>
      <c r="G6" s="150">
        <v>6</v>
      </c>
      <c r="H6" s="150">
        <v>3</v>
      </c>
      <c r="I6" s="150">
        <v>52</v>
      </c>
      <c r="J6" s="152">
        <v>302223.5</v>
      </c>
      <c r="K6" s="151">
        <v>1.72</v>
      </c>
      <c r="L6" s="153"/>
      <c r="M6" s="154"/>
    </row>
    <row r="7" spans="1:14" s="155" customFormat="1" ht="15.95" customHeight="1">
      <c r="A7" s="149">
        <v>42643</v>
      </c>
      <c r="B7" s="150">
        <v>2</v>
      </c>
      <c r="C7" s="150">
        <v>0</v>
      </c>
      <c r="D7" s="150">
        <v>59</v>
      </c>
      <c r="E7" s="150">
        <v>22891</v>
      </c>
      <c r="F7" s="151">
        <f>IF(E7&gt;10000,D7/E7*10000,D7)</f>
        <v>25.774321785854703</v>
      </c>
      <c r="G7" s="150">
        <v>6</v>
      </c>
      <c r="H7" s="150">
        <v>2</v>
      </c>
      <c r="I7" s="150">
        <v>84</v>
      </c>
      <c r="J7" s="152">
        <v>469684</v>
      </c>
      <c r="K7" s="151">
        <f t="shared" ref="K7:K38" si="2">IF(J7&gt;10000,I7/J7*10000,I7)</f>
        <v>1.7884364806976605</v>
      </c>
      <c r="L7" s="153"/>
      <c r="M7" s="154"/>
    </row>
    <row r="8" spans="1:14" ht="16.5">
      <c r="A8" s="81">
        <f>A7+1</f>
        <v>42644</v>
      </c>
      <c r="B8" s="82">
        <v>1</v>
      </c>
      <c r="C8" s="82">
        <v>0</v>
      </c>
      <c r="D8" s="82">
        <v>0</v>
      </c>
      <c r="E8" s="82"/>
      <c r="F8" s="76">
        <f>IF(E8&gt;10000,D8/E8*10000,D8)</f>
        <v>0</v>
      </c>
      <c r="G8" s="243">
        <v>2</v>
      </c>
      <c r="H8" s="243">
        <v>0</v>
      </c>
      <c r="I8" s="243">
        <v>0</v>
      </c>
      <c r="J8" s="242"/>
      <c r="K8" s="76">
        <f t="shared" si="2"/>
        <v>0</v>
      </c>
      <c r="L8" s="84"/>
      <c r="M8" s="85"/>
    </row>
    <row r="9" spans="1:14" ht="16.5">
      <c r="A9" s="81">
        <f t="shared" ref="A9:A38" si="3">A8+1</f>
        <v>42645</v>
      </c>
      <c r="B9" s="82">
        <v>5</v>
      </c>
      <c r="C9" s="82">
        <v>2</v>
      </c>
      <c r="D9" s="82">
        <v>2</v>
      </c>
      <c r="E9" s="82"/>
      <c r="F9" s="76">
        <f t="shared" ref="F9:F38" si="4">IF(E9&gt;10000,D9/E9*10000,D9)</f>
        <v>2</v>
      </c>
      <c r="G9" s="82">
        <v>5</v>
      </c>
      <c r="H9" s="82">
        <v>2</v>
      </c>
      <c r="I9" s="82">
        <v>3</v>
      </c>
      <c r="J9" s="83">
        <v>17000.7</v>
      </c>
      <c r="K9" s="76">
        <f t="shared" si="2"/>
        <v>1.7646332209850182</v>
      </c>
      <c r="L9" s="84"/>
      <c r="M9" s="85"/>
    </row>
    <row r="10" spans="1:14" ht="16.5">
      <c r="A10" s="81">
        <f t="shared" si="3"/>
        <v>42646</v>
      </c>
      <c r="B10" s="82">
        <v>5</v>
      </c>
      <c r="C10" s="82">
        <v>0</v>
      </c>
      <c r="D10" s="82">
        <v>2</v>
      </c>
      <c r="E10" s="82"/>
      <c r="F10" s="76">
        <f t="shared" si="4"/>
        <v>2</v>
      </c>
      <c r="G10" s="82">
        <v>7</v>
      </c>
      <c r="H10" s="82">
        <v>0</v>
      </c>
      <c r="I10" s="82">
        <v>3</v>
      </c>
      <c r="J10" s="83">
        <v>25343.7</v>
      </c>
      <c r="K10" s="76">
        <f t="shared" si="2"/>
        <v>1.1837261331218409</v>
      </c>
      <c r="L10" s="84"/>
      <c r="M10" s="85"/>
    </row>
    <row r="11" spans="1:14" ht="16.5">
      <c r="A11" s="81">
        <f t="shared" si="3"/>
        <v>42647</v>
      </c>
      <c r="B11" s="82">
        <v>4</v>
      </c>
      <c r="C11" s="82">
        <v>1</v>
      </c>
      <c r="D11" s="82">
        <v>3</v>
      </c>
      <c r="E11" s="82"/>
      <c r="F11" s="76">
        <f t="shared" si="4"/>
        <v>3</v>
      </c>
      <c r="G11" s="82">
        <v>6</v>
      </c>
      <c r="H11" s="82">
        <v>1</v>
      </c>
      <c r="I11" s="82">
        <v>4</v>
      </c>
      <c r="J11" s="83">
        <v>30935</v>
      </c>
      <c r="K11" s="76">
        <f t="shared" si="2"/>
        <v>1.2930337805075158</v>
      </c>
      <c r="L11" s="84"/>
      <c r="M11" s="85"/>
    </row>
    <row r="12" spans="1:14" ht="15.95" customHeight="1">
      <c r="A12" s="81">
        <f t="shared" si="3"/>
        <v>42648</v>
      </c>
      <c r="B12" s="82">
        <v>1</v>
      </c>
      <c r="C12" s="82">
        <v>0</v>
      </c>
      <c r="D12" s="82">
        <v>4</v>
      </c>
      <c r="E12" s="82"/>
      <c r="F12" s="76">
        <f t="shared" si="4"/>
        <v>4</v>
      </c>
      <c r="G12" s="82">
        <v>2</v>
      </c>
      <c r="H12" s="82">
        <v>0</v>
      </c>
      <c r="I12" s="82">
        <v>5</v>
      </c>
      <c r="J12" s="83">
        <v>32917.800000000003</v>
      </c>
      <c r="K12" s="76">
        <f t="shared" si="2"/>
        <v>1.5189350442617668</v>
      </c>
      <c r="L12" s="84"/>
      <c r="M12" s="85"/>
    </row>
    <row r="13" spans="1:14" ht="15.95" customHeight="1">
      <c r="A13" s="81">
        <f t="shared" si="3"/>
        <v>42649</v>
      </c>
      <c r="B13" s="82">
        <v>0</v>
      </c>
      <c r="C13" s="82">
        <v>0</v>
      </c>
      <c r="D13" s="82">
        <v>4</v>
      </c>
      <c r="E13" s="82"/>
      <c r="F13" s="76">
        <f t="shared" si="4"/>
        <v>4</v>
      </c>
      <c r="G13" s="82">
        <v>0</v>
      </c>
      <c r="H13" s="82">
        <v>0</v>
      </c>
      <c r="I13" s="82">
        <v>5</v>
      </c>
      <c r="J13" s="83">
        <v>35165.699999999997</v>
      </c>
      <c r="K13" s="76">
        <f t="shared" si="2"/>
        <v>1.4218400316217223</v>
      </c>
      <c r="L13" s="84"/>
      <c r="M13" s="85"/>
    </row>
    <row r="14" spans="1:14" ht="15.95" customHeight="1">
      <c r="A14" s="81">
        <f t="shared" si="3"/>
        <v>42650</v>
      </c>
      <c r="B14" s="82">
        <v>3</v>
      </c>
      <c r="C14" s="82">
        <v>1</v>
      </c>
      <c r="D14" s="82">
        <v>6</v>
      </c>
      <c r="E14" s="82"/>
      <c r="F14" s="76">
        <f t="shared" si="4"/>
        <v>6</v>
      </c>
      <c r="G14" s="82">
        <v>3</v>
      </c>
      <c r="H14" s="82">
        <v>1</v>
      </c>
      <c r="I14" s="82">
        <v>6</v>
      </c>
      <c r="J14" s="83">
        <v>36871.5</v>
      </c>
      <c r="K14" s="76">
        <f t="shared" si="2"/>
        <v>1.627273097107522</v>
      </c>
      <c r="L14" s="84"/>
      <c r="M14" s="85"/>
    </row>
    <row r="15" spans="1:14" ht="15.95" customHeight="1">
      <c r="A15" s="81">
        <f t="shared" si="3"/>
        <v>42651</v>
      </c>
      <c r="B15" s="82">
        <v>1</v>
      </c>
      <c r="C15" s="82">
        <v>0</v>
      </c>
      <c r="D15" s="82">
        <v>6</v>
      </c>
      <c r="E15" s="82"/>
      <c r="F15" s="76">
        <f t="shared" si="4"/>
        <v>6</v>
      </c>
      <c r="G15" s="82">
        <v>1</v>
      </c>
      <c r="H15" s="82">
        <v>0</v>
      </c>
      <c r="I15" s="82">
        <v>6</v>
      </c>
      <c r="J15" s="162">
        <v>42393.1</v>
      </c>
      <c r="K15" s="76">
        <f t="shared" si="2"/>
        <v>1.4153246636834769</v>
      </c>
      <c r="L15" s="84"/>
      <c r="M15" s="85"/>
    </row>
    <row r="16" spans="1:14" ht="15.95" customHeight="1">
      <c r="A16" s="81">
        <f t="shared" si="3"/>
        <v>42652</v>
      </c>
      <c r="B16" s="82">
        <v>2</v>
      </c>
      <c r="C16" s="82">
        <v>0</v>
      </c>
      <c r="D16" s="82">
        <v>6</v>
      </c>
      <c r="E16" s="82"/>
      <c r="F16" s="76">
        <f t="shared" si="4"/>
        <v>6</v>
      </c>
      <c r="G16" s="82">
        <v>3</v>
      </c>
      <c r="H16" s="82">
        <v>0</v>
      </c>
      <c r="I16" s="82">
        <v>6</v>
      </c>
      <c r="J16" s="162">
        <v>55734.400000000001</v>
      </c>
      <c r="K16" s="76">
        <f t="shared" si="2"/>
        <v>1.076534420393868</v>
      </c>
      <c r="L16" s="84"/>
      <c r="M16" s="85"/>
    </row>
    <row r="17" spans="1:13" ht="15.95" customHeight="1">
      <c r="A17" s="81">
        <f t="shared" si="3"/>
        <v>42653</v>
      </c>
      <c r="B17" s="82">
        <v>5</v>
      </c>
      <c r="C17" s="82">
        <v>2</v>
      </c>
      <c r="D17" s="82">
        <v>8</v>
      </c>
      <c r="E17" s="82"/>
      <c r="F17" s="76">
        <f t="shared" si="4"/>
        <v>8</v>
      </c>
      <c r="G17" s="82">
        <v>7</v>
      </c>
      <c r="H17" s="82">
        <v>2</v>
      </c>
      <c r="I17" s="82">
        <v>9</v>
      </c>
      <c r="J17" s="162">
        <v>66279.7</v>
      </c>
      <c r="K17" s="76">
        <f t="shared" si="2"/>
        <v>1.3578818250535232</v>
      </c>
      <c r="L17" s="84"/>
      <c r="M17" s="85"/>
    </row>
    <row r="18" spans="1:13" ht="15.95" customHeight="1">
      <c r="A18" s="81">
        <f t="shared" si="3"/>
        <v>42654</v>
      </c>
      <c r="B18" s="82">
        <v>3</v>
      </c>
      <c r="C18" s="82">
        <v>0</v>
      </c>
      <c r="D18" s="82">
        <v>8</v>
      </c>
      <c r="E18" s="82"/>
      <c r="F18" s="76">
        <f t="shared" si="4"/>
        <v>8</v>
      </c>
      <c r="G18" s="82">
        <v>5</v>
      </c>
      <c r="H18" s="82">
        <v>1</v>
      </c>
      <c r="I18" s="82">
        <v>10</v>
      </c>
      <c r="J18" s="83">
        <v>74957.399999999994</v>
      </c>
      <c r="K18" s="76">
        <f t="shared" si="2"/>
        <v>1.3340910970764728</v>
      </c>
      <c r="L18" s="84"/>
      <c r="M18" s="85"/>
    </row>
    <row r="19" spans="1:13" ht="15.95" customHeight="1">
      <c r="A19" s="81">
        <f t="shared" si="3"/>
        <v>42655</v>
      </c>
      <c r="B19" s="82">
        <v>2</v>
      </c>
      <c r="C19" s="82">
        <v>0</v>
      </c>
      <c r="D19" s="82">
        <v>8</v>
      </c>
      <c r="E19" s="82"/>
      <c r="F19" s="76">
        <f t="shared" si="4"/>
        <v>8</v>
      </c>
      <c r="G19" s="82">
        <v>3</v>
      </c>
      <c r="H19" s="82">
        <v>0</v>
      </c>
      <c r="I19" s="82">
        <v>10</v>
      </c>
      <c r="J19" s="83">
        <v>82820.800000000003</v>
      </c>
      <c r="K19" s="76">
        <f t="shared" si="2"/>
        <v>1.2074261538164326</v>
      </c>
      <c r="L19" s="84"/>
      <c r="M19" s="85"/>
    </row>
    <row r="20" spans="1:13" ht="15.95" customHeight="1">
      <c r="A20" s="81">
        <f t="shared" si="3"/>
        <v>42656</v>
      </c>
      <c r="B20" s="82">
        <v>4</v>
      </c>
      <c r="C20" s="82">
        <v>2</v>
      </c>
      <c r="D20" s="82">
        <v>11</v>
      </c>
      <c r="E20" s="82"/>
      <c r="F20" s="76">
        <f t="shared" si="4"/>
        <v>11</v>
      </c>
      <c r="G20" s="82">
        <v>6</v>
      </c>
      <c r="H20" s="82">
        <v>2</v>
      </c>
      <c r="I20" s="82">
        <v>13</v>
      </c>
      <c r="J20" s="83">
        <v>91254.9</v>
      </c>
      <c r="K20" s="76">
        <f t="shared" si="2"/>
        <v>1.4245810361964126</v>
      </c>
      <c r="L20" s="84"/>
      <c r="M20" s="85"/>
    </row>
    <row r="21" spans="1:13" ht="15.95" customHeight="1">
      <c r="A21" s="81">
        <f t="shared" si="3"/>
        <v>42657</v>
      </c>
      <c r="B21" s="82">
        <v>4</v>
      </c>
      <c r="C21" s="82">
        <v>1</v>
      </c>
      <c r="D21" s="82">
        <v>12</v>
      </c>
      <c r="E21" s="82"/>
      <c r="F21" s="76">
        <f t="shared" si="4"/>
        <v>12</v>
      </c>
      <c r="G21" s="82">
        <v>8</v>
      </c>
      <c r="H21" s="82">
        <v>3</v>
      </c>
      <c r="I21" s="82">
        <v>16</v>
      </c>
      <c r="J21" s="83">
        <v>100650</v>
      </c>
      <c r="K21" s="76">
        <f t="shared" si="2"/>
        <v>1.5896671634376554</v>
      </c>
      <c r="L21" s="84"/>
      <c r="M21" s="85"/>
    </row>
    <row r="22" spans="1:13" ht="15.95" customHeight="1">
      <c r="A22" s="81">
        <f t="shared" si="3"/>
        <v>42658</v>
      </c>
      <c r="B22" s="82"/>
      <c r="C22" s="82"/>
      <c r="D22" s="82"/>
      <c r="E22" s="82"/>
      <c r="F22" s="76">
        <f t="shared" si="4"/>
        <v>0</v>
      </c>
      <c r="G22" s="82"/>
      <c r="H22" s="82"/>
      <c r="I22" s="82"/>
      <c r="J22" s="83"/>
      <c r="K22" s="76">
        <f t="shared" si="2"/>
        <v>0</v>
      </c>
      <c r="L22" s="84"/>
      <c r="M22" s="85"/>
    </row>
    <row r="23" spans="1:13" ht="15.95" customHeight="1">
      <c r="A23" s="81">
        <f t="shared" si="3"/>
        <v>42659</v>
      </c>
      <c r="B23" s="82"/>
      <c r="C23" s="82"/>
      <c r="D23" s="82"/>
      <c r="E23" s="82"/>
      <c r="F23" s="76">
        <f t="shared" si="4"/>
        <v>0</v>
      </c>
      <c r="G23" s="82"/>
      <c r="H23" s="82"/>
      <c r="I23" s="82"/>
      <c r="J23" s="83"/>
      <c r="K23" s="76">
        <f t="shared" si="2"/>
        <v>0</v>
      </c>
      <c r="L23" s="84"/>
      <c r="M23" s="85"/>
    </row>
    <row r="24" spans="1:13" ht="15.95" customHeight="1">
      <c r="A24" s="81">
        <f t="shared" si="3"/>
        <v>42660</v>
      </c>
      <c r="B24" s="82"/>
      <c r="C24" s="82"/>
      <c r="D24" s="82"/>
      <c r="E24" s="82"/>
      <c r="F24" s="76">
        <f t="shared" si="4"/>
        <v>0</v>
      </c>
      <c r="G24" s="82"/>
      <c r="H24" s="82"/>
      <c r="I24" s="82"/>
      <c r="J24" s="83"/>
      <c r="K24" s="76">
        <f t="shared" si="2"/>
        <v>0</v>
      </c>
      <c r="L24" s="84"/>
      <c r="M24" s="85"/>
    </row>
    <row r="25" spans="1:13" ht="15.95" customHeight="1">
      <c r="A25" s="81">
        <f t="shared" si="3"/>
        <v>42661</v>
      </c>
      <c r="B25" s="82"/>
      <c r="C25" s="82"/>
      <c r="D25" s="82"/>
      <c r="E25" s="82"/>
      <c r="F25" s="76">
        <f t="shared" si="4"/>
        <v>0</v>
      </c>
      <c r="G25" s="82"/>
      <c r="H25" s="82"/>
      <c r="I25" s="82"/>
      <c r="J25" s="83"/>
      <c r="K25" s="76">
        <f t="shared" si="2"/>
        <v>0</v>
      </c>
      <c r="L25" s="84"/>
      <c r="M25" s="85"/>
    </row>
    <row r="26" spans="1:13" ht="15.95" customHeight="1">
      <c r="A26" s="81">
        <f t="shared" si="3"/>
        <v>42662</v>
      </c>
      <c r="B26" s="82"/>
      <c r="C26" s="82"/>
      <c r="D26" s="82"/>
      <c r="E26" s="82"/>
      <c r="F26" s="76">
        <f t="shared" si="4"/>
        <v>0</v>
      </c>
      <c r="G26" s="82"/>
      <c r="H26" s="82"/>
      <c r="I26" s="82"/>
      <c r="J26" s="83"/>
      <c r="K26" s="76">
        <f t="shared" si="2"/>
        <v>0</v>
      </c>
      <c r="L26" s="84"/>
      <c r="M26" s="85"/>
    </row>
    <row r="27" spans="1:13" ht="15.95" customHeight="1">
      <c r="A27" s="81">
        <f t="shared" si="3"/>
        <v>42663</v>
      </c>
      <c r="B27" s="82"/>
      <c r="C27" s="82"/>
      <c r="D27" s="82"/>
      <c r="E27" s="82"/>
      <c r="F27" s="76">
        <f t="shared" si="4"/>
        <v>0</v>
      </c>
      <c r="G27" s="82"/>
      <c r="H27" s="82"/>
      <c r="I27" s="82"/>
      <c r="J27" s="83"/>
      <c r="K27" s="76">
        <f t="shared" si="2"/>
        <v>0</v>
      </c>
      <c r="L27" s="84"/>
      <c r="M27" s="85"/>
    </row>
    <row r="28" spans="1:13" ht="15.95" customHeight="1">
      <c r="A28" s="81">
        <f t="shared" si="3"/>
        <v>42664</v>
      </c>
      <c r="B28" s="82"/>
      <c r="C28" s="82"/>
      <c r="D28" s="82"/>
      <c r="E28" s="82"/>
      <c r="F28" s="76">
        <f t="shared" si="4"/>
        <v>0</v>
      </c>
      <c r="G28" s="82"/>
      <c r="H28" s="82"/>
      <c r="I28" s="82"/>
      <c r="J28" s="83"/>
      <c r="K28" s="76">
        <f t="shared" si="2"/>
        <v>0</v>
      </c>
      <c r="L28" s="84"/>
      <c r="M28" s="85"/>
    </row>
    <row r="29" spans="1:13" ht="15.95" customHeight="1">
      <c r="A29" s="81">
        <f t="shared" si="3"/>
        <v>42665</v>
      </c>
      <c r="B29" s="82"/>
      <c r="C29" s="82"/>
      <c r="D29" s="82"/>
      <c r="E29" s="82"/>
      <c r="F29" s="76">
        <f t="shared" si="4"/>
        <v>0</v>
      </c>
      <c r="G29" s="82"/>
      <c r="H29" s="82"/>
      <c r="I29" s="82"/>
      <c r="J29" s="83"/>
      <c r="K29" s="76">
        <f t="shared" si="2"/>
        <v>0</v>
      </c>
      <c r="L29" s="84"/>
      <c r="M29" s="85"/>
    </row>
    <row r="30" spans="1:13" ht="15.95" customHeight="1">
      <c r="A30" s="81">
        <f t="shared" si="3"/>
        <v>42666</v>
      </c>
      <c r="B30" s="82"/>
      <c r="C30" s="82"/>
      <c r="D30" s="82"/>
      <c r="E30" s="82"/>
      <c r="F30" s="76">
        <f t="shared" si="4"/>
        <v>0</v>
      </c>
      <c r="G30" s="82"/>
      <c r="H30" s="82"/>
      <c r="I30" s="82"/>
      <c r="J30" s="83"/>
      <c r="K30" s="76">
        <f t="shared" si="2"/>
        <v>0</v>
      </c>
      <c r="L30" s="84"/>
      <c r="M30" s="85"/>
    </row>
    <row r="31" spans="1:13" ht="15.95" customHeight="1">
      <c r="A31" s="81">
        <f t="shared" si="3"/>
        <v>42667</v>
      </c>
      <c r="B31" s="82"/>
      <c r="C31" s="82"/>
      <c r="D31" s="82"/>
      <c r="E31" s="82"/>
      <c r="F31" s="76">
        <f t="shared" si="4"/>
        <v>0</v>
      </c>
      <c r="G31" s="82"/>
      <c r="H31" s="82"/>
      <c r="I31" s="82"/>
      <c r="J31" s="83"/>
      <c r="K31" s="76">
        <f t="shared" si="2"/>
        <v>0</v>
      </c>
      <c r="L31" s="84"/>
      <c r="M31" s="85"/>
    </row>
    <row r="32" spans="1:13" ht="15.95" customHeight="1">
      <c r="A32" s="81">
        <f t="shared" si="3"/>
        <v>42668</v>
      </c>
      <c r="B32" s="82"/>
      <c r="C32" s="82"/>
      <c r="D32" s="82"/>
      <c r="E32" s="82"/>
      <c r="F32" s="76">
        <f t="shared" si="4"/>
        <v>0</v>
      </c>
      <c r="G32" s="82"/>
      <c r="H32" s="82"/>
      <c r="I32" s="82"/>
      <c r="J32" s="83"/>
      <c r="K32" s="76">
        <f t="shared" si="2"/>
        <v>0</v>
      </c>
      <c r="L32" s="84"/>
      <c r="M32" s="85"/>
    </row>
    <row r="33" spans="1:13" ht="15.95" customHeight="1">
      <c r="A33" s="81">
        <f t="shared" si="3"/>
        <v>42669</v>
      </c>
      <c r="B33" s="82"/>
      <c r="C33" s="82"/>
      <c r="D33" s="82"/>
      <c r="E33" s="82"/>
      <c r="F33" s="76">
        <f t="shared" si="4"/>
        <v>0</v>
      </c>
      <c r="G33" s="82"/>
      <c r="H33" s="82"/>
      <c r="I33" s="82"/>
      <c r="J33" s="83"/>
      <c r="K33" s="76">
        <f t="shared" si="2"/>
        <v>0</v>
      </c>
      <c r="L33" s="84"/>
      <c r="M33" s="85"/>
    </row>
    <row r="34" spans="1:13" ht="15.95" customHeight="1">
      <c r="A34" s="81">
        <f t="shared" si="3"/>
        <v>42670</v>
      </c>
      <c r="B34" s="82"/>
      <c r="C34" s="82"/>
      <c r="D34" s="82"/>
      <c r="E34" s="82"/>
      <c r="F34" s="76">
        <f t="shared" si="4"/>
        <v>0</v>
      </c>
      <c r="G34" s="82"/>
      <c r="H34" s="82"/>
      <c r="I34" s="82"/>
      <c r="J34" s="83"/>
      <c r="K34" s="76">
        <f t="shared" si="2"/>
        <v>0</v>
      </c>
      <c r="L34" s="84"/>
      <c r="M34" s="85"/>
    </row>
    <row r="35" spans="1:13" ht="15.95" customHeight="1">
      <c r="A35" s="81">
        <f t="shared" si="3"/>
        <v>42671</v>
      </c>
      <c r="B35" s="82"/>
      <c r="C35" s="82"/>
      <c r="D35" s="82"/>
      <c r="E35" s="82"/>
      <c r="F35" s="76">
        <f t="shared" si="4"/>
        <v>0</v>
      </c>
      <c r="G35" s="82"/>
      <c r="H35" s="82"/>
      <c r="I35" s="82"/>
      <c r="J35" s="83"/>
      <c r="K35" s="76">
        <f t="shared" si="2"/>
        <v>0</v>
      </c>
      <c r="L35" s="84"/>
      <c r="M35" s="85"/>
    </row>
    <row r="36" spans="1:13" ht="15.95" customHeight="1">
      <c r="A36" s="81">
        <f t="shared" si="3"/>
        <v>42672</v>
      </c>
      <c r="B36" s="82"/>
      <c r="C36" s="82"/>
      <c r="D36" s="82"/>
      <c r="E36" s="82"/>
      <c r="F36" s="76">
        <f t="shared" si="4"/>
        <v>0</v>
      </c>
      <c r="G36" s="82"/>
      <c r="H36" s="82"/>
      <c r="I36" s="82"/>
      <c r="J36" s="83"/>
      <c r="K36" s="76">
        <f t="shared" si="2"/>
        <v>0</v>
      </c>
      <c r="L36" s="84"/>
      <c r="M36" s="85"/>
    </row>
    <row r="37" spans="1:13" ht="15.95" customHeight="1">
      <c r="A37" s="81">
        <f t="shared" si="3"/>
        <v>42673</v>
      </c>
      <c r="B37" s="82"/>
      <c r="C37" s="82"/>
      <c r="D37" s="82"/>
      <c r="E37" s="82"/>
      <c r="F37" s="76">
        <f t="shared" si="4"/>
        <v>0</v>
      </c>
      <c r="G37" s="82"/>
      <c r="H37" s="82"/>
      <c r="I37" s="82"/>
      <c r="J37" s="83"/>
      <c r="K37" s="76">
        <f t="shared" si="2"/>
        <v>0</v>
      </c>
      <c r="L37" s="84"/>
      <c r="M37" s="85"/>
    </row>
    <row r="38" spans="1:13" ht="15.95" customHeight="1">
      <c r="A38" s="81">
        <f t="shared" si="3"/>
        <v>42674</v>
      </c>
      <c r="B38" s="82"/>
      <c r="C38" s="82"/>
      <c r="D38" s="82"/>
      <c r="E38" s="82"/>
      <c r="F38" s="76">
        <f t="shared" si="4"/>
        <v>0</v>
      </c>
      <c r="G38" s="82"/>
      <c r="H38" s="82"/>
      <c r="I38" s="82"/>
      <c r="J38" s="83"/>
      <c r="K38" s="76">
        <f t="shared" si="2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38"/>
  <sheetViews>
    <sheetView workbookViewId="0">
      <selection activeCell="O13" sqref="O13"/>
    </sheetView>
  </sheetViews>
  <sheetFormatPr defaultRowHeight="12.75"/>
  <cols>
    <col min="10" max="10" width="11.85546875" bestFit="1" customWidth="1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6" customFormat="1" ht="16.5">
      <c r="A2" s="149">
        <v>42490</v>
      </c>
      <c r="B2" s="150">
        <v>0</v>
      </c>
      <c r="C2" s="150">
        <v>0</v>
      </c>
      <c r="D2" s="150">
        <v>4</v>
      </c>
      <c r="E2" s="150"/>
      <c r="F2" s="151">
        <f t="shared" ref="F2:F3" si="0">IF(E2&gt;10000,D2/E2*10000,D2)</f>
        <v>4</v>
      </c>
      <c r="G2" s="150">
        <v>0</v>
      </c>
      <c r="H2" s="150">
        <v>0</v>
      </c>
      <c r="I2" s="150">
        <v>6</v>
      </c>
      <c r="J2" s="152">
        <v>73289.05</v>
      </c>
      <c r="K2" s="151">
        <f t="shared" ref="K2:K3" si="1">IF(J2&gt;10000,I2/J2*10000,I2)</f>
        <v>0.8186761869610808</v>
      </c>
      <c r="L2" s="153"/>
      <c r="M2" s="154"/>
    </row>
    <row r="3" spans="1:13" s="156" customFormat="1" ht="16.5">
      <c r="A3" s="149">
        <v>42521</v>
      </c>
      <c r="B3" s="150">
        <v>0</v>
      </c>
      <c r="C3" s="150">
        <v>0</v>
      </c>
      <c r="D3" s="150">
        <v>3</v>
      </c>
      <c r="E3" s="150"/>
      <c r="F3" s="151">
        <f t="shared" si="0"/>
        <v>3</v>
      </c>
      <c r="G3" s="150">
        <v>0</v>
      </c>
      <c r="H3" s="150">
        <v>0</v>
      </c>
      <c r="I3" s="150">
        <v>5</v>
      </c>
      <c r="J3" s="152">
        <v>53239.51</v>
      </c>
      <c r="K3" s="151">
        <f t="shared" si="1"/>
        <v>0.93915214471357822</v>
      </c>
      <c r="L3" s="153"/>
      <c r="M3" s="154"/>
    </row>
    <row r="4" spans="1:13" s="156" customFormat="1" ht="16.5">
      <c r="A4" s="149">
        <v>42551</v>
      </c>
      <c r="B4" s="150">
        <v>0</v>
      </c>
      <c r="C4" s="150">
        <v>0</v>
      </c>
      <c r="D4" s="150">
        <v>5</v>
      </c>
      <c r="E4" s="150"/>
      <c r="F4" s="151">
        <v>5</v>
      </c>
      <c r="G4" s="150">
        <v>0</v>
      </c>
      <c r="H4" s="150">
        <v>0</v>
      </c>
      <c r="I4" s="150">
        <v>8</v>
      </c>
      <c r="J4" s="152">
        <v>79494.720000000001</v>
      </c>
      <c r="K4" s="151">
        <v>1.01</v>
      </c>
      <c r="L4" s="153"/>
      <c r="M4" s="154"/>
    </row>
    <row r="5" spans="1:13" s="156" customFormat="1" ht="16.5">
      <c r="A5" s="149">
        <v>42582</v>
      </c>
      <c r="B5" s="150">
        <v>0</v>
      </c>
      <c r="C5" s="150">
        <v>0</v>
      </c>
      <c r="D5" s="150">
        <v>7</v>
      </c>
      <c r="E5" s="150"/>
      <c r="F5" s="151">
        <v>7</v>
      </c>
      <c r="G5" s="150">
        <v>1</v>
      </c>
      <c r="H5" s="150">
        <v>0</v>
      </c>
      <c r="I5" s="150">
        <v>9</v>
      </c>
      <c r="J5" s="152">
        <v>106870.01</v>
      </c>
      <c r="K5" s="151">
        <v>0.84</v>
      </c>
      <c r="L5" s="153"/>
      <c r="M5" s="154"/>
    </row>
    <row r="6" spans="1:13" s="156" customFormat="1" ht="16.5">
      <c r="A6" s="149">
        <v>42613</v>
      </c>
      <c r="B6" s="150">
        <v>0</v>
      </c>
      <c r="C6" s="150">
        <v>0</v>
      </c>
      <c r="D6" s="150">
        <v>7</v>
      </c>
      <c r="E6" s="150"/>
      <c r="F6" s="151">
        <v>7</v>
      </c>
      <c r="G6" s="150">
        <v>0</v>
      </c>
      <c r="H6" s="150">
        <v>0</v>
      </c>
      <c r="I6" s="150">
        <v>13</v>
      </c>
      <c r="J6" s="152">
        <v>97777.11</v>
      </c>
      <c r="K6" s="151">
        <v>1.33</v>
      </c>
      <c r="L6" s="153"/>
      <c r="M6" s="154"/>
    </row>
    <row r="7" spans="1:13" s="156" customFormat="1" ht="16.5">
      <c r="A7" s="149">
        <v>42643</v>
      </c>
      <c r="B7" s="150"/>
      <c r="C7" s="150"/>
      <c r="D7" s="150"/>
      <c r="E7" s="150"/>
      <c r="F7" s="151"/>
      <c r="G7" s="150"/>
      <c r="H7" s="150"/>
      <c r="I7" s="150"/>
      <c r="J7" s="152"/>
      <c r="K7" s="151"/>
      <c r="L7" s="153"/>
      <c r="M7" s="154"/>
    </row>
    <row r="8" spans="1:13" ht="16.5">
      <c r="A8" s="81">
        <f>A7+1</f>
        <v>42644</v>
      </c>
      <c r="B8" s="82"/>
      <c r="C8" s="82"/>
      <c r="D8" s="82"/>
      <c r="E8" s="82"/>
      <c r="F8" s="76">
        <f>IF(E8&gt;10000,D8/E8*10000,D8)</f>
        <v>0</v>
      </c>
      <c r="G8" s="82"/>
      <c r="H8" s="82"/>
      <c r="I8" s="82"/>
      <c r="J8" s="82"/>
      <c r="K8" s="76">
        <f>IF(J8&gt;10000,I8/J8*10000,I8)</f>
        <v>0</v>
      </c>
      <c r="L8" s="84"/>
      <c r="M8" s="85"/>
    </row>
    <row r="9" spans="1:13" ht="16.5">
      <c r="A9" s="81">
        <f t="shared" ref="A9:A38" si="2">A8+1</f>
        <v>42645</v>
      </c>
      <c r="B9" s="82"/>
      <c r="C9" s="82"/>
      <c r="D9" s="82"/>
      <c r="E9" s="82"/>
      <c r="F9" s="76">
        <f t="shared" ref="F9:F38" si="3">IF(E9&gt;10000,D9/E9*10000,D9)</f>
        <v>0</v>
      </c>
      <c r="G9" s="82"/>
      <c r="H9" s="82"/>
      <c r="I9" s="82"/>
      <c r="J9" s="82"/>
      <c r="K9" s="76">
        <f t="shared" ref="K9:K38" si="4">IF(J9&gt;10000,I9/J9*10000,I9)</f>
        <v>0</v>
      </c>
      <c r="L9" s="84"/>
      <c r="M9" s="85"/>
    </row>
    <row r="10" spans="1:13" ht="16.5">
      <c r="A10" s="81">
        <f t="shared" si="2"/>
        <v>42646</v>
      </c>
      <c r="B10" s="82"/>
      <c r="C10" s="82"/>
      <c r="D10" s="82"/>
      <c r="E10" s="82"/>
      <c r="F10" s="76">
        <f t="shared" si="3"/>
        <v>0</v>
      </c>
      <c r="G10" s="82"/>
      <c r="H10" s="82"/>
      <c r="I10" s="82"/>
      <c r="J10" s="82"/>
      <c r="K10" s="76">
        <f t="shared" si="4"/>
        <v>0</v>
      </c>
      <c r="L10" s="84"/>
      <c r="M10" s="85"/>
    </row>
    <row r="11" spans="1:13" ht="16.5">
      <c r="A11" s="81">
        <f t="shared" si="2"/>
        <v>42647</v>
      </c>
      <c r="B11" s="82"/>
      <c r="C11" s="82"/>
      <c r="D11" s="82"/>
      <c r="E11" s="82"/>
      <c r="F11" s="76">
        <f t="shared" si="3"/>
        <v>0</v>
      </c>
      <c r="G11" s="82"/>
      <c r="H11" s="82"/>
      <c r="I11" s="82"/>
      <c r="J11" s="83"/>
      <c r="K11" s="76">
        <f t="shared" si="4"/>
        <v>0</v>
      </c>
      <c r="L11" s="84"/>
      <c r="M11" s="85"/>
    </row>
    <row r="12" spans="1:13" ht="16.5">
      <c r="A12" s="81">
        <f t="shared" si="2"/>
        <v>42648</v>
      </c>
      <c r="B12" s="82"/>
      <c r="C12" s="82"/>
      <c r="D12" s="82"/>
      <c r="E12" s="82"/>
      <c r="F12" s="76">
        <f t="shared" si="3"/>
        <v>0</v>
      </c>
      <c r="G12" s="82"/>
      <c r="H12" s="82"/>
      <c r="I12" s="82"/>
      <c r="J12" s="83"/>
      <c r="K12" s="76">
        <f t="shared" si="4"/>
        <v>0</v>
      </c>
      <c r="L12" s="84"/>
      <c r="M12" s="85"/>
    </row>
    <row r="13" spans="1:13" ht="16.5">
      <c r="A13" s="81">
        <f t="shared" si="2"/>
        <v>42649</v>
      </c>
      <c r="B13" s="82"/>
      <c r="C13" s="82"/>
      <c r="D13" s="82"/>
      <c r="E13" s="82"/>
      <c r="F13" s="76">
        <f t="shared" si="3"/>
        <v>0</v>
      </c>
      <c r="G13" s="82"/>
      <c r="H13" s="82"/>
      <c r="I13" s="82"/>
      <c r="J13" s="83"/>
      <c r="K13" s="76">
        <f t="shared" si="4"/>
        <v>0</v>
      </c>
      <c r="L13" s="84"/>
      <c r="M13" s="85"/>
    </row>
    <row r="14" spans="1:13" ht="16.5">
      <c r="A14" s="81">
        <f t="shared" si="2"/>
        <v>42650</v>
      </c>
      <c r="B14" s="82"/>
      <c r="C14" s="82"/>
      <c r="D14" s="82"/>
      <c r="E14" s="82"/>
      <c r="F14" s="76">
        <f t="shared" si="3"/>
        <v>0</v>
      </c>
      <c r="G14" s="82"/>
      <c r="H14" s="82"/>
      <c r="I14" s="82"/>
      <c r="J14" s="83"/>
      <c r="K14" s="76">
        <f t="shared" si="4"/>
        <v>0</v>
      </c>
      <c r="L14" s="84"/>
      <c r="M14" s="85"/>
    </row>
    <row r="15" spans="1:13" ht="16.5">
      <c r="A15" s="81">
        <f t="shared" si="2"/>
        <v>42651</v>
      </c>
      <c r="B15" s="82"/>
      <c r="C15" s="82"/>
      <c r="D15" s="82"/>
      <c r="E15" s="82"/>
      <c r="F15" s="76">
        <f t="shared" si="3"/>
        <v>0</v>
      </c>
      <c r="G15" s="82"/>
      <c r="H15" s="82"/>
      <c r="I15" s="82"/>
      <c r="J15" s="83"/>
      <c r="K15" s="76">
        <f t="shared" si="4"/>
        <v>0</v>
      </c>
      <c r="L15" s="84"/>
      <c r="M15" s="85"/>
    </row>
    <row r="16" spans="1:13" ht="16.5">
      <c r="A16" s="81">
        <f t="shared" si="2"/>
        <v>42652</v>
      </c>
      <c r="B16" s="82"/>
      <c r="C16" s="82"/>
      <c r="D16" s="82"/>
      <c r="E16" s="82"/>
      <c r="F16" s="76">
        <f t="shared" si="3"/>
        <v>0</v>
      </c>
      <c r="G16" s="82"/>
      <c r="H16" s="82"/>
      <c r="I16" s="82"/>
      <c r="J16" s="83"/>
      <c r="K16" s="76">
        <f t="shared" si="4"/>
        <v>0</v>
      </c>
      <c r="L16" s="84"/>
      <c r="M16" s="85"/>
    </row>
    <row r="17" spans="1:13" ht="16.5">
      <c r="A17" s="81">
        <f t="shared" si="2"/>
        <v>42653</v>
      </c>
      <c r="B17" s="82"/>
      <c r="C17" s="82"/>
      <c r="D17" s="82"/>
      <c r="E17" s="82"/>
      <c r="F17" s="76">
        <f t="shared" si="3"/>
        <v>0</v>
      </c>
      <c r="G17" s="82"/>
      <c r="H17" s="82"/>
      <c r="I17" s="82"/>
      <c r="J17" s="83"/>
      <c r="K17" s="76">
        <f t="shared" si="4"/>
        <v>0</v>
      </c>
      <c r="L17" s="84"/>
      <c r="M17" s="85"/>
    </row>
    <row r="18" spans="1:13" ht="16.5">
      <c r="A18" s="81">
        <f t="shared" si="2"/>
        <v>42654</v>
      </c>
      <c r="B18" s="82"/>
      <c r="C18" s="82"/>
      <c r="D18" s="82"/>
      <c r="E18" s="82"/>
      <c r="F18" s="76">
        <f t="shared" si="3"/>
        <v>0</v>
      </c>
      <c r="G18" s="82"/>
      <c r="H18" s="82"/>
      <c r="I18" s="82"/>
      <c r="J18" s="83"/>
      <c r="K18" s="76">
        <f t="shared" si="4"/>
        <v>0</v>
      </c>
      <c r="L18" s="84"/>
      <c r="M18" s="85"/>
    </row>
    <row r="19" spans="1:13" ht="16.5">
      <c r="A19" s="81">
        <f t="shared" si="2"/>
        <v>42655</v>
      </c>
      <c r="B19" s="82"/>
      <c r="C19" s="82"/>
      <c r="D19" s="82"/>
      <c r="E19" s="82"/>
      <c r="F19" s="76">
        <f t="shared" si="3"/>
        <v>0</v>
      </c>
      <c r="G19" s="82"/>
      <c r="H19" s="82"/>
      <c r="I19" s="82"/>
      <c r="J19" s="83"/>
      <c r="K19" s="76">
        <f t="shared" si="4"/>
        <v>0</v>
      </c>
      <c r="L19" s="84"/>
      <c r="M19" s="85"/>
    </row>
    <row r="20" spans="1:13" ht="16.5">
      <c r="A20" s="81">
        <f t="shared" si="2"/>
        <v>42656</v>
      </c>
      <c r="B20" s="82"/>
      <c r="C20" s="82"/>
      <c r="D20" s="82"/>
      <c r="E20" s="82"/>
      <c r="F20" s="76">
        <f t="shared" si="3"/>
        <v>0</v>
      </c>
      <c r="G20" s="82"/>
      <c r="H20" s="82"/>
      <c r="I20" s="82"/>
      <c r="J20" s="83"/>
      <c r="K20" s="76">
        <f t="shared" si="4"/>
        <v>0</v>
      </c>
      <c r="L20" s="84"/>
      <c r="M20" s="85"/>
    </row>
    <row r="21" spans="1:13" ht="16.5">
      <c r="A21" s="81">
        <f t="shared" si="2"/>
        <v>42657</v>
      </c>
      <c r="B21" s="82"/>
      <c r="C21" s="82"/>
      <c r="D21" s="82"/>
      <c r="E21" s="82"/>
      <c r="F21" s="76">
        <f t="shared" si="3"/>
        <v>0</v>
      </c>
      <c r="G21" s="82"/>
      <c r="H21" s="82"/>
      <c r="I21" s="82"/>
      <c r="J21" s="83"/>
      <c r="K21" s="76">
        <f t="shared" si="4"/>
        <v>0</v>
      </c>
      <c r="L21" s="84"/>
      <c r="M21" s="85"/>
    </row>
    <row r="22" spans="1:13" ht="16.5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6.5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6.5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6.5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6.5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6.5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6.5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6.5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6.5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6.5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6.5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6.5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6.5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6.5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6.5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6.5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s="47" customFormat="1" ht="16.5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"/>
  <sheetViews>
    <sheetView workbookViewId="0">
      <selection activeCell="I18" sqref="I18"/>
    </sheetView>
  </sheetViews>
  <sheetFormatPr defaultRowHeight="12.75"/>
  <cols>
    <col min="1" max="9" width="9.140625" style="47"/>
    <col min="10" max="10" width="11.85546875" style="47" bestFit="1" customWidth="1"/>
    <col min="11" max="16384" width="9.140625" style="47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ht="16.5">
      <c r="A2" s="81">
        <v>42644</v>
      </c>
      <c r="B2" s="280">
        <v>9</v>
      </c>
      <c r="C2" s="280">
        <v>6</v>
      </c>
      <c r="D2" s="280">
        <v>6</v>
      </c>
      <c r="E2" s="82"/>
      <c r="F2" s="76">
        <f t="shared" ref="F2:F32" si="0">IF(E2&gt;10000,D2/E2*10000,D2)</f>
        <v>6</v>
      </c>
      <c r="G2" s="82">
        <v>9</v>
      </c>
      <c r="H2" s="82">
        <v>6</v>
      </c>
      <c r="I2" s="82">
        <v>6</v>
      </c>
      <c r="J2" s="82"/>
      <c r="K2" s="76">
        <f>IF(J2&gt;10000,I2/J2*10000,I2)</f>
        <v>6</v>
      </c>
      <c r="L2" s="84"/>
      <c r="M2" s="85"/>
    </row>
    <row r="3" spans="1:13" ht="16.5">
      <c r="A3" s="81">
        <f t="shared" ref="A3:A32" si="1">A2+1</f>
        <v>42645</v>
      </c>
      <c r="B3" s="82">
        <v>3</v>
      </c>
      <c r="C3" s="82">
        <v>2</v>
      </c>
      <c r="D3" s="82">
        <v>8</v>
      </c>
      <c r="E3" s="82"/>
      <c r="F3" s="76">
        <f t="shared" si="0"/>
        <v>8</v>
      </c>
      <c r="G3" s="82">
        <v>3</v>
      </c>
      <c r="H3" s="82">
        <v>2</v>
      </c>
      <c r="I3" s="82">
        <v>9</v>
      </c>
      <c r="J3" s="82"/>
      <c r="K3" s="76">
        <f t="shared" ref="K3:K32" si="2">IF(J3&gt;10000,I3/J3*10000,I3)</f>
        <v>9</v>
      </c>
      <c r="L3" s="84"/>
      <c r="M3" s="85"/>
    </row>
    <row r="4" spans="1:13" ht="16.5">
      <c r="A4" s="81">
        <f t="shared" si="1"/>
        <v>42646</v>
      </c>
      <c r="B4" s="82">
        <v>1</v>
      </c>
      <c r="C4" s="82">
        <v>0</v>
      </c>
      <c r="D4" s="82">
        <v>9</v>
      </c>
      <c r="E4" s="82"/>
      <c r="F4" s="76">
        <f t="shared" si="0"/>
        <v>9</v>
      </c>
      <c r="G4" s="82">
        <v>3</v>
      </c>
      <c r="H4" s="82">
        <v>1</v>
      </c>
      <c r="I4" s="82">
        <v>10</v>
      </c>
      <c r="J4" s="82"/>
      <c r="K4" s="76">
        <f t="shared" si="2"/>
        <v>10</v>
      </c>
      <c r="L4" s="84"/>
      <c r="M4" s="85"/>
    </row>
    <row r="5" spans="1:13" ht="16.5">
      <c r="A5" s="81">
        <f t="shared" si="1"/>
        <v>42647</v>
      </c>
      <c r="B5" s="82">
        <v>0</v>
      </c>
      <c r="C5" s="82">
        <v>0</v>
      </c>
      <c r="D5" s="82">
        <v>9</v>
      </c>
      <c r="E5" s="82"/>
      <c r="F5" s="76">
        <f t="shared" si="0"/>
        <v>9</v>
      </c>
      <c r="G5" s="82">
        <v>0</v>
      </c>
      <c r="H5" s="82">
        <v>0</v>
      </c>
      <c r="I5" s="82">
        <v>10</v>
      </c>
      <c r="J5" s="83"/>
      <c r="K5" s="76">
        <f t="shared" si="2"/>
        <v>10</v>
      </c>
      <c r="L5" s="84"/>
      <c r="M5" s="85"/>
    </row>
    <row r="6" spans="1:13" ht="16.5">
      <c r="A6" s="81">
        <f t="shared" si="1"/>
        <v>42648</v>
      </c>
      <c r="B6" s="82">
        <v>5</v>
      </c>
      <c r="C6" s="82">
        <v>4</v>
      </c>
      <c r="D6" s="82">
        <v>13</v>
      </c>
      <c r="E6" s="82"/>
      <c r="F6" s="76">
        <f t="shared" si="0"/>
        <v>13</v>
      </c>
      <c r="G6" s="82">
        <v>5</v>
      </c>
      <c r="H6" s="82">
        <v>4</v>
      </c>
      <c r="I6" s="82">
        <v>15</v>
      </c>
      <c r="J6" s="83"/>
      <c r="K6" s="76">
        <f t="shared" si="2"/>
        <v>15</v>
      </c>
      <c r="L6" s="84"/>
      <c r="M6" s="85"/>
    </row>
    <row r="7" spans="1:13" ht="16.5">
      <c r="A7" s="81">
        <f t="shared" si="1"/>
        <v>42649</v>
      </c>
      <c r="B7" s="82">
        <v>0</v>
      </c>
      <c r="C7" s="82">
        <v>0</v>
      </c>
      <c r="D7" s="82">
        <v>14</v>
      </c>
      <c r="E7" s="82"/>
      <c r="F7" s="76">
        <f t="shared" si="0"/>
        <v>14</v>
      </c>
      <c r="G7" s="82">
        <v>1</v>
      </c>
      <c r="H7" s="82">
        <v>1</v>
      </c>
      <c r="I7" s="82">
        <v>17</v>
      </c>
      <c r="J7" s="83"/>
      <c r="K7" s="76">
        <f t="shared" si="2"/>
        <v>17</v>
      </c>
      <c r="L7" s="84"/>
      <c r="M7" s="85"/>
    </row>
    <row r="8" spans="1:13" ht="16.5">
      <c r="A8" s="81">
        <f t="shared" si="1"/>
        <v>42650</v>
      </c>
      <c r="B8" s="82">
        <v>1</v>
      </c>
      <c r="C8" s="82">
        <v>0</v>
      </c>
      <c r="D8" s="82">
        <v>15</v>
      </c>
      <c r="E8" s="82"/>
      <c r="F8" s="76">
        <f t="shared" si="0"/>
        <v>15</v>
      </c>
      <c r="G8" s="82">
        <v>1</v>
      </c>
      <c r="H8" s="82">
        <v>1</v>
      </c>
      <c r="I8" s="82">
        <v>18</v>
      </c>
      <c r="J8" s="83"/>
      <c r="K8" s="76">
        <f t="shared" si="2"/>
        <v>18</v>
      </c>
      <c r="L8" s="84"/>
      <c r="M8" s="85"/>
    </row>
    <row r="9" spans="1:13" ht="16.5">
      <c r="A9" s="81">
        <f t="shared" si="1"/>
        <v>42651</v>
      </c>
      <c r="B9" s="82">
        <v>0</v>
      </c>
      <c r="C9" s="82">
        <v>0</v>
      </c>
      <c r="D9" s="82">
        <v>15</v>
      </c>
      <c r="E9" s="82"/>
      <c r="F9" s="76">
        <f t="shared" si="0"/>
        <v>15</v>
      </c>
      <c r="G9" s="82">
        <v>0</v>
      </c>
      <c r="H9" s="82">
        <v>0</v>
      </c>
      <c r="I9" s="82">
        <v>18</v>
      </c>
      <c r="J9" s="83"/>
      <c r="K9" s="76">
        <f t="shared" si="2"/>
        <v>18</v>
      </c>
      <c r="L9" s="84"/>
      <c r="M9" s="85"/>
    </row>
    <row r="10" spans="1:13" ht="16.5">
      <c r="A10" s="81">
        <f t="shared" si="1"/>
        <v>42652</v>
      </c>
      <c r="B10" s="82">
        <v>1</v>
      </c>
      <c r="C10" s="82">
        <v>0</v>
      </c>
      <c r="D10" s="82">
        <v>16</v>
      </c>
      <c r="E10" s="82"/>
      <c r="F10" s="76">
        <f t="shared" si="0"/>
        <v>16</v>
      </c>
      <c r="G10" s="82">
        <v>1</v>
      </c>
      <c r="H10" s="82">
        <v>1</v>
      </c>
      <c r="I10" s="82">
        <v>19</v>
      </c>
      <c r="J10" s="83"/>
      <c r="K10" s="76">
        <f t="shared" si="2"/>
        <v>19</v>
      </c>
      <c r="L10" s="84"/>
      <c r="M10" s="85"/>
    </row>
    <row r="11" spans="1:13" ht="16.5">
      <c r="A11" s="81">
        <f t="shared" si="1"/>
        <v>42653</v>
      </c>
      <c r="B11" s="82">
        <v>2</v>
      </c>
      <c r="C11" s="82">
        <v>1</v>
      </c>
      <c r="D11" s="82">
        <v>17</v>
      </c>
      <c r="E11" s="82"/>
      <c r="F11" s="76">
        <f t="shared" si="0"/>
        <v>17</v>
      </c>
      <c r="G11" s="82">
        <v>4</v>
      </c>
      <c r="H11" s="82">
        <v>2</v>
      </c>
      <c r="I11" s="82">
        <v>21</v>
      </c>
      <c r="J11" s="83">
        <v>20664.900000000001</v>
      </c>
      <c r="K11" s="76">
        <f t="shared" si="2"/>
        <v>10.162159023271345</v>
      </c>
      <c r="L11" s="84"/>
      <c r="M11" s="85"/>
    </row>
    <row r="12" spans="1:13" ht="16.5">
      <c r="A12" s="81">
        <f t="shared" si="1"/>
        <v>42654</v>
      </c>
      <c r="B12" s="82">
        <v>0</v>
      </c>
      <c r="C12" s="82">
        <v>0</v>
      </c>
      <c r="D12" s="82">
        <v>17</v>
      </c>
      <c r="E12" s="82"/>
      <c r="F12" s="76">
        <f t="shared" si="0"/>
        <v>17</v>
      </c>
      <c r="G12" s="82">
        <v>2</v>
      </c>
      <c r="H12" s="82">
        <v>1</v>
      </c>
      <c r="I12" s="82">
        <v>23</v>
      </c>
      <c r="J12" s="83">
        <v>31230.3</v>
      </c>
      <c r="K12" s="76">
        <f t="shared" si="2"/>
        <v>7.3646426707396344</v>
      </c>
      <c r="L12" s="84"/>
      <c r="M12" s="85"/>
    </row>
    <row r="13" spans="1:13" ht="16.5">
      <c r="A13" s="81">
        <f t="shared" si="1"/>
        <v>42655</v>
      </c>
      <c r="B13" s="82">
        <v>3</v>
      </c>
      <c r="C13" s="82">
        <v>2</v>
      </c>
      <c r="D13" s="82">
        <v>19</v>
      </c>
      <c r="E13" s="82"/>
      <c r="F13" s="76">
        <f t="shared" si="0"/>
        <v>19</v>
      </c>
      <c r="G13" s="82">
        <v>5</v>
      </c>
      <c r="H13" s="82">
        <v>4</v>
      </c>
      <c r="I13" s="82">
        <v>27</v>
      </c>
      <c r="J13" s="83">
        <v>42743.7</v>
      </c>
      <c r="K13" s="76">
        <f t="shared" si="2"/>
        <v>6.3167203587897172</v>
      </c>
      <c r="L13" s="84"/>
      <c r="M13" s="85"/>
    </row>
    <row r="14" spans="1:13" ht="16.5">
      <c r="A14" s="81">
        <f t="shared" si="1"/>
        <v>42656</v>
      </c>
      <c r="B14" s="82">
        <v>0</v>
      </c>
      <c r="C14" s="82">
        <v>0</v>
      </c>
      <c r="D14" s="82">
        <v>20</v>
      </c>
      <c r="E14" s="82"/>
      <c r="F14" s="76">
        <f t="shared" si="0"/>
        <v>20</v>
      </c>
      <c r="G14" s="82">
        <v>1</v>
      </c>
      <c r="H14" s="82">
        <v>1</v>
      </c>
      <c r="I14" s="82">
        <v>28</v>
      </c>
      <c r="J14" s="83">
        <v>44658.7</v>
      </c>
      <c r="K14" s="76">
        <f t="shared" si="2"/>
        <v>6.2697749822542983</v>
      </c>
      <c r="L14" s="84"/>
      <c r="M14" s="85"/>
    </row>
    <row r="15" spans="1:13" ht="16.5">
      <c r="A15" s="81">
        <f t="shared" si="1"/>
        <v>42657</v>
      </c>
      <c r="B15" s="82">
        <v>0</v>
      </c>
      <c r="C15" s="82">
        <v>0</v>
      </c>
      <c r="D15" s="82">
        <v>21</v>
      </c>
      <c r="E15" s="82"/>
      <c r="F15" s="76">
        <f t="shared" si="0"/>
        <v>21</v>
      </c>
      <c r="G15" s="82">
        <v>1</v>
      </c>
      <c r="H15" s="82">
        <v>1</v>
      </c>
      <c r="I15" s="82">
        <v>29</v>
      </c>
      <c r="J15" s="83">
        <v>44692.4</v>
      </c>
      <c r="K15" s="76">
        <f t="shared" si="2"/>
        <v>6.4887989904323771</v>
      </c>
      <c r="L15" s="84"/>
      <c r="M15" s="85"/>
    </row>
    <row r="16" spans="1:13" ht="16.5">
      <c r="A16" s="81">
        <f t="shared" si="1"/>
        <v>42658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2"/>
        <v>0</v>
      </c>
      <c r="L16" s="84"/>
      <c r="M16" s="85"/>
    </row>
    <row r="17" spans="1:13" ht="16.5">
      <c r="A17" s="81">
        <f t="shared" si="1"/>
        <v>42659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2"/>
        <v>0</v>
      </c>
      <c r="L17" s="84"/>
      <c r="M17" s="85"/>
    </row>
    <row r="18" spans="1:13" ht="16.5">
      <c r="A18" s="81">
        <f t="shared" si="1"/>
        <v>42660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2"/>
        <v>0</v>
      </c>
      <c r="L18" s="84"/>
      <c r="M18" s="85"/>
    </row>
    <row r="19" spans="1:13" ht="16.5">
      <c r="A19" s="81">
        <f t="shared" si="1"/>
        <v>42661</v>
      </c>
      <c r="B19" s="82"/>
      <c r="C19" s="82"/>
      <c r="D19" s="82"/>
      <c r="E19" s="82"/>
      <c r="F19" s="76">
        <f t="shared" si="0"/>
        <v>0</v>
      </c>
      <c r="G19" s="82"/>
      <c r="H19" s="82"/>
      <c r="I19" s="82"/>
      <c r="J19" s="83"/>
      <c r="K19" s="76">
        <f t="shared" si="2"/>
        <v>0</v>
      </c>
      <c r="L19" s="84"/>
      <c r="M19" s="85"/>
    </row>
    <row r="20" spans="1:13" ht="16.5">
      <c r="A20" s="81">
        <f t="shared" si="1"/>
        <v>42662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2"/>
        <v>0</v>
      </c>
      <c r="L20" s="84"/>
      <c r="M20" s="85"/>
    </row>
    <row r="21" spans="1:13" ht="16.5">
      <c r="A21" s="81">
        <f t="shared" si="1"/>
        <v>42663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2"/>
        <v>0</v>
      </c>
      <c r="L21" s="84"/>
      <c r="M21" s="85"/>
    </row>
    <row r="22" spans="1:13" ht="16.5">
      <c r="A22" s="81">
        <f t="shared" si="1"/>
        <v>42664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83"/>
      <c r="K22" s="76">
        <f t="shared" si="2"/>
        <v>0</v>
      </c>
      <c r="L22" s="84"/>
      <c r="M22" s="85"/>
    </row>
    <row r="23" spans="1:13" ht="16.5">
      <c r="A23" s="81">
        <f t="shared" si="1"/>
        <v>42665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2"/>
        <v>0</v>
      </c>
      <c r="L23" s="84"/>
      <c r="M23" s="85"/>
    </row>
    <row r="24" spans="1:13" ht="16.5">
      <c r="A24" s="81">
        <f t="shared" si="1"/>
        <v>42666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2"/>
        <v>0</v>
      </c>
      <c r="L24" s="84"/>
      <c r="M24" s="85"/>
    </row>
    <row r="25" spans="1:13" ht="16.5">
      <c r="A25" s="81">
        <f t="shared" si="1"/>
        <v>42667</v>
      </c>
      <c r="B25" s="82"/>
      <c r="C25" s="82"/>
      <c r="D25" s="82"/>
      <c r="E25" s="82"/>
      <c r="F25" s="76">
        <f t="shared" si="0"/>
        <v>0</v>
      </c>
      <c r="G25" s="82"/>
      <c r="H25" s="82"/>
      <c r="I25" s="82"/>
      <c r="J25" s="83"/>
      <c r="K25" s="76">
        <f t="shared" si="2"/>
        <v>0</v>
      </c>
      <c r="L25" s="84"/>
      <c r="M25" s="85"/>
    </row>
    <row r="26" spans="1:13" ht="16.5">
      <c r="A26" s="81">
        <f t="shared" si="1"/>
        <v>42668</v>
      </c>
      <c r="B26" s="82"/>
      <c r="C26" s="82"/>
      <c r="D26" s="82"/>
      <c r="E26" s="82"/>
      <c r="F26" s="76">
        <f t="shared" si="0"/>
        <v>0</v>
      </c>
      <c r="G26" s="82"/>
      <c r="H26" s="82"/>
      <c r="I26" s="82"/>
      <c r="J26" s="83"/>
      <c r="K26" s="76">
        <f t="shared" si="2"/>
        <v>0</v>
      </c>
      <c r="L26" s="84"/>
      <c r="M26" s="85"/>
    </row>
    <row r="27" spans="1:13" ht="16.5">
      <c r="A27" s="81">
        <f t="shared" si="1"/>
        <v>42669</v>
      </c>
      <c r="B27" s="82"/>
      <c r="C27" s="82"/>
      <c r="D27" s="82"/>
      <c r="E27" s="82"/>
      <c r="F27" s="76">
        <f t="shared" si="0"/>
        <v>0</v>
      </c>
      <c r="G27" s="82"/>
      <c r="H27" s="82"/>
      <c r="I27" s="82"/>
      <c r="J27" s="83"/>
      <c r="K27" s="76">
        <f t="shared" si="2"/>
        <v>0</v>
      </c>
      <c r="L27" s="84"/>
      <c r="M27" s="85"/>
    </row>
    <row r="28" spans="1:13" ht="16.5">
      <c r="A28" s="81">
        <f t="shared" si="1"/>
        <v>42670</v>
      </c>
      <c r="B28" s="82"/>
      <c r="C28" s="82"/>
      <c r="D28" s="82"/>
      <c r="E28" s="82"/>
      <c r="F28" s="76">
        <f t="shared" si="0"/>
        <v>0</v>
      </c>
      <c r="G28" s="82"/>
      <c r="H28" s="82"/>
      <c r="I28" s="82"/>
      <c r="J28" s="83"/>
      <c r="K28" s="76">
        <f t="shared" si="2"/>
        <v>0</v>
      </c>
      <c r="L28" s="84"/>
      <c r="M28" s="85"/>
    </row>
    <row r="29" spans="1:13" ht="16.5">
      <c r="A29" s="81">
        <f t="shared" si="1"/>
        <v>42671</v>
      </c>
      <c r="B29" s="82"/>
      <c r="C29" s="82"/>
      <c r="D29" s="82"/>
      <c r="E29" s="82"/>
      <c r="F29" s="76">
        <f t="shared" si="0"/>
        <v>0</v>
      </c>
      <c r="G29" s="82"/>
      <c r="H29" s="82"/>
      <c r="I29" s="82"/>
      <c r="J29" s="83"/>
      <c r="K29" s="76">
        <f t="shared" si="2"/>
        <v>0</v>
      </c>
      <c r="L29" s="84"/>
      <c r="M29" s="85"/>
    </row>
    <row r="30" spans="1:13" ht="16.5">
      <c r="A30" s="81">
        <f t="shared" si="1"/>
        <v>42672</v>
      </c>
      <c r="B30" s="82"/>
      <c r="C30" s="82"/>
      <c r="D30" s="82"/>
      <c r="E30" s="82"/>
      <c r="F30" s="76">
        <f t="shared" si="0"/>
        <v>0</v>
      </c>
      <c r="G30" s="82"/>
      <c r="H30" s="82"/>
      <c r="I30" s="82"/>
      <c r="J30" s="83"/>
      <c r="K30" s="76">
        <f t="shared" si="2"/>
        <v>0</v>
      </c>
      <c r="L30" s="84"/>
      <c r="M30" s="85"/>
    </row>
    <row r="31" spans="1:13" ht="16.5">
      <c r="A31" s="81">
        <f t="shared" si="1"/>
        <v>42673</v>
      </c>
      <c r="B31" s="82"/>
      <c r="C31" s="82"/>
      <c r="D31" s="82"/>
      <c r="E31" s="82"/>
      <c r="F31" s="76">
        <f t="shared" si="0"/>
        <v>0</v>
      </c>
      <c r="G31" s="82"/>
      <c r="H31" s="82"/>
      <c r="I31" s="82"/>
      <c r="J31" s="83"/>
      <c r="K31" s="76">
        <f t="shared" si="2"/>
        <v>0</v>
      </c>
      <c r="L31" s="84"/>
      <c r="M31" s="85"/>
    </row>
    <row r="32" spans="1:13" ht="16.5">
      <c r="A32" s="81">
        <f t="shared" si="1"/>
        <v>42674</v>
      </c>
      <c r="B32" s="82"/>
      <c r="C32" s="82"/>
      <c r="D32" s="82"/>
      <c r="E32" s="82"/>
      <c r="F32" s="76">
        <f t="shared" si="0"/>
        <v>0</v>
      </c>
      <c r="G32" s="82"/>
      <c r="H32" s="82"/>
      <c r="I32" s="82"/>
      <c r="J32" s="83"/>
      <c r="K32" s="76">
        <f t="shared" si="2"/>
        <v>0</v>
      </c>
      <c r="L32" s="84"/>
      <c r="M32" s="85"/>
    </row>
  </sheetData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38"/>
  <sheetViews>
    <sheetView showGridLines="0" workbookViewId="0">
      <pane ySplit="1" topLeftCell="A2" activePane="bottomLeft" state="frozen"/>
      <selection activeCell="O22" sqref="O22"/>
      <selection pane="bottomLeft" activeCell="A7" sqref="A7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6.5">
      <c r="A2" s="149">
        <v>42490</v>
      </c>
      <c r="B2" s="150">
        <v>0</v>
      </c>
      <c r="C2" s="150">
        <v>0</v>
      </c>
      <c r="D2" s="150">
        <v>1</v>
      </c>
      <c r="E2" s="150"/>
      <c r="F2" s="151">
        <f t="shared" ref="F2:F4" si="0">IF(E2&gt;10000,D2/E2*10000,D2)</f>
        <v>1</v>
      </c>
      <c r="G2" s="150">
        <v>0</v>
      </c>
      <c r="H2" s="150">
        <v>0</v>
      </c>
      <c r="I2" s="150">
        <v>1</v>
      </c>
      <c r="J2" s="152">
        <v>10430.5</v>
      </c>
      <c r="K2" s="151">
        <f t="shared" ref="K2:K4" si="1">IF(J2&gt;10000,I2/J2*10000,I2)</f>
        <v>0.9587268107952639</v>
      </c>
      <c r="L2" s="153"/>
      <c r="M2" s="154"/>
    </row>
    <row r="3" spans="1:13" s="155" customFormat="1" ht="16.5">
      <c r="A3" s="149">
        <v>42521</v>
      </c>
      <c r="B3" s="150">
        <v>0</v>
      </c>
      <c r="C3" s="150">
        <v>0</v>
      </c>
      <c r="D3" s="150">
        <v>18</v>
      </c>
      <c r="E3" s="150"/>
      <c r="F3" s="151">
        <f t="shared" si="0"/>
        <v>18</v>
      </c>
      <c r="G3" s="150">
        <v>0</v>
      </c>
      <c r="H3" s="150">
        <v>0</v>
      </c>
      <c r="I3" s="150">
        <v>19</v>
      </c>
      <c r="J3" s="152">
        <v>39637.599999999999</v>
      </c>
      <c r="K3" s="151">
        <f t="shared" si="1"/>
        <v>4.7934284618644929</v>
      </c>
      <c r="L3" s="153"/>
      <c r="M3" s="154"/>
    </row>
    <row r="4" spans="1:13" s="155" customFormat="1" ht="16.5">
      <c r="A4" s="149">
        <v>42551</v>
      </c>
      <c r="B4" s="150">
        <v>0</v>
      </c>
      <c r="C4" s="150">
        <v>0</v>
      </c>
      <c r="D4" s="150">
        <v>8</v>
      </c>
      <c r="E4" s="150"/>
      <c r="F4" s="151">
        <f t="shared" si="0"/>
        <v>8</v>
      </c>
      <c r="G4" s="150">
        <v>0</v>
      </c>
      <c r="H4" s="150">
        <v>0</v>
      </c>
      <c r="I4" s="150">
        <v>10</v>
      </c>
      <c r="J4" s="152">
        <v>100120.2</v>
      </c>
      <c r="K4" s="151">
        <f t="shared" si="1"/>
        <v>0.99879944306943058</v>
      </c>
      <c r="L4" s="153"/>
      <c r="M4" s="154"/>
    </row>
    <row r="5" spans="1:13" s="155" customFormat="1" ht="16.5">
      <c r="A5" s="149">
        <v>42582</v>
      </c>
      <c r="B5" s="150">
        <v>1</v>
      </c>
      <c r="C5" s="150">
        <v>0</v>
      </c>
      <c r="D5" s="150">
        <v>11</v>
      </c>
      <c r="E5" s="150"/>
      <c r="F5" s="151">
        <v>11</v>
      </c>
      <c r="G5" s="150">
        <v>1</v>
      </c>
      <c r="H5" s="150">
        <v>0</v>
      </c>
      <c r="I5" s="150">
        <v>18</v>
      </c>
      <c r="J5" s="152">
        <v>132390.9</v>
      </c>
      <c r="K5" s="151">
        <v>1.36</v>
      </c>
      <c r="L5" s="153"/>
      <c r="M5" s="154"/>
    </row>
    <row r="6" spans="1:13" s="155" customFormat="1" ht="16.5">
      <c r="A6" s="149">
        <v>42613</v>
      </c>
      <c r="B6" s="150">
        <v>0</v>
      </c>
      <c r="C6" s="150">
        <v>0</v>
      </c>
      <c r="D6" s="150">
        <v>8</v>
      </c>
      <c r="E6" s="150"/>
      <c r="F6" s="151">
        <v>8</v>
      </c>
      <c r="G6" s="150">
        <v>1</v>
      </c>
      <c r="H6" s="150">
        <v>0</v>
      </c>
      <c r="I6" s="150">
        <v>17</v>
      </c>
      <c r="J6" s="152">
        <v>99928.4</v>
      </c>
      <c r="K6" s="151">
        <v>1.7</v>
      </c>
      <c r="L6" s="153"/>
      <c r="M6" s="154"/>
    </row>
    <row r="7" spans="1:13" s="155" customFormat="1" ht="16.5">
      <c r="A7" s="149">
        <v>42643</v>
      </c>
      <c r="B7" s="150">
        <v>0</v>
      </c>
      <c r="C7" s="150">
        <v>0</v>
      </c>
      <c r="D7" s="150">
        <v>0</v>
      </c>
      <c r="E7" s="150"/>
      <c r="F7" s="151">
        <v>0</v>
      </c>
      <c r="G7" s="150">
        <v>0</v>
      </c>
      <c r="H7" s="150">
        <v>0</v>
      </c>
      <c r="I7" s="150">
        <v>1</v>
      </c>
      <c r="J7" s="152"/>
      <c r="K7" s="151">
        <v>1</v>
      </c>
      <c r="L7" s="153"/>
      <c r="M7" s="154"/>
    </row>
    <row r="8" spans="1:13" ht="16.5">
      <c r="A8" s="81">
        <f>A7+1</f>
        <v>42644</v>
      </c>
      <c r="B8" s="82"/>
      <c r="C8" s="82"/>
      <c r="D8" s="82"/>
      <c r="E8" s="82"/>
      <c r="F8" s="76">
        <f>IF(E8&gt;10000,D8/77*10000,D8)</f>
        <v>0</v>
      </c>
      <c r="G8" s="82"/>
      <c r="H8" s="82"/>
      <c r="I8" s="82"/>
      <c r="J8" s="83"/>
      <c r="K8" s="76">
        <f>IF(J8&gt;10000,I8/77*10000,I8)</f>
        <v>0</v>
      </c>
      <c r="L8" s="84"/>
      <c r="M8" s="85"/>
    </row>
    <row r="9" spans="1:13" ht="16.5">
      <c r="A9" s="81">
        <f t="shared" ref="A9:A38" si="2">A8+1</f>
        <v>42645</v>
      </c>
      <c r="B9" s="82"/>
      <c r="C9" s="82"/>
      <c r="D9" s="82"/>
      <c r="E9" s="82"/>
      <c r="F9" s="76">
        <f t="shared" ref="F9:F38" si="3">IF(E9&gt;10000,D9/77*10000,D9)</f>
        <v>0</v>
      </c>
      <c r="G9" s="82"/>
      <c r="H9" s="82"/>
      <c r="I9" s="82"/>
      <c r="J9" s="83"/>
      <c r="K9" s="76">
        <f t="shared" ref="K9:K38" si="4">IF(J9&gt;10000,I9/77*10000,I9)</f>
        <v>0</v>
      </c>
      <c r="L9" s="84"/>
      <c r="M9" s="85"/>
    </row>
    <row r="10" spans="1:13" ht="16.5">
      <c r="A10" s="81">
        <f t="shared" si="2"/>
        <v>42646</v>
      </c>
      <c r="B10" s="82"/>
      <c r="C10" s="82"/>
      <c r="D10" s="82"/>
      <c r="E10" s="82"/>
      <c r="F10" s="76">
        <f t="shared" si="3"/>
        <v>0</v>
      </c>
      <c r="G10" s="82"/>
      <c r="H10" s="82"/>
      <c r="I10" s="82"/>
      <c r="J10" s="83"/>
      <c r="K10" s="76">
        <f t="shared" si="4"/>
        <v>0</v>
      </c>
      <c r="L10" s="84"/>
      <c r="M10" s="85"/>
    </row>
    <row r="11" spans="1:13" ht="16.5">
      <c r="A11" s="81">
        <f t="shared" si="2"/>
        <v>42647</v>
      </c>
      <c r="B11" s="82"/>
      <c r="C11" s="82"/>
      <c r="D11" s="82"/>
      <c r="E11" s="82"/>
      <c r="F11" s="76">
        <f t="shared" si="3"/>
        <v>0</v>
      </c>
      <c r="G11" s="82"/>
      <c r="H11" s="82"/>
      <c r="I11" s="82"/>
      <c r="J11" s="83"/>
      <c r="K11" s="76">
        <f t="shared" si="4"/>
        <v>0</v>
      </c>
      <c r="L11" s="84"/>
      <c r="M11" s="85"/>
    </row>
    <row r="12" spans="1:13" ht="16.5">
      <c r="A12" s="81">
        <f t="shared" si="2"/>
        <v>42648</v>
      </c>
      <c r="B12" s="82"/>
      <c r="C12" s="82"/>
      <c r="D12" s="82"/>
      <c r="E12" s="82"/>
      <c r="F12" s="76">
        <f t="shared" si="3"/>
        <v>0</v>
      </c>
      <c r="G12" s="82"/>
      <c r="H12" s="82"/>
      <c r="I12" s="82"/>
      <c r="J12" s="83"/>
      <c r="K12" s="76">
        <f t="shared" si="4"/>
        <v>0</v>
      </c>
      <c r="L12" s="84"/>
      <c r="M12" s="85"/>
    </row>
    <row r="13" spans="1:13" ht="15.95" customHeight="1">
      <c r="A13" s="81">
        <f t="shared" si="2"/>
        <v>42649</v>
      </c>
      <c r="B13" s="82"/>
      <c r="C13" s="82"/>
      <c r="D13" s="82"/>
      <c r="E13" s="82"/>
      <c r="F13" s="76">
        <f t="shared" si="3"/>
        <v>0</v>
      </c>
      <c r="G13" s="82"/>
      <c r="H13" s="82"/>
      <c r="I13" s="82"/>
      <c r="J13" s="83"/>
      <c r="K13" s="76">
        <f t="shared" si="4"/>
        <v>0</v>
      </c>
      <c r="L13" s="84"/>
      <c r="M13" s="85"/>
    </row>
    <row r="14" spans="1:13" ht="15.95" customHeight="1">
      <c r="A14" s="81">
        <f t="shared" si="2"/>
        <v>42650</v>
      </c>
      <c r="B14" s="82"/>
      <c r="C14" s="82"/>
      <c r="D14" s="82"/>
      <c r="E14" s="82"/>
      <c r="F14" s="76">
        <f t="shared" si="3"/>
        <v>0</v>
      </c>
      <c r="G14" s="82"/>
      <c r="H14" s="82"/>
      <c r="I14" s="82"/>
      <c r="J14" s="83"/>
      <c r="K14" s="76">
        <f t="shared" si="4"/>
        <v>0</v>
      </c>
      <c r="L14" s="84"/>
      <c r="M14" s="85"/>
    </row>
    <row r="15" spans="1:13" ht="15.95" customHeight="1">
      <c r="A15" s="81">
        <f t="shared" si="2"/>
        <v>42651</v>
      </c>
      <c r="B15" s="82"/>
      <c r="C15" s="82"/>
      <c r="D15" s="82"/>
      <c r="E15" s="82"/>
      <c r="F15" s="76">
        <f t="shared" si="3"/>
        <v>0</v>
      </c>
      <c r="G15" s="82"/>
      <c r="H15" s="82"/>
      <c r="I15" s="82"/>
      <c r="J15" s="83"/>
      <c r="K15" s="76">
        <f t="shared" si="4"/>
        <v>0</v>
      </c>
      <c r="L15" s="84"/>
      <c r="M15" s="85"/>
    </row>
    <row r="16" spans="1:13" ht="15.95" customHeight="1">
      <c r="A16" s="81">
        <f t="shared" si="2"/>
        <v>42652</v>
      </c>
      <c r="B16" s="82"/>
      <c r="C16" s="82"/>
      <c r="D16" s="82"/>
      <c r="E16" s="82"/>
      <c r="F16" s="76">
        <f t="shared" si="3"/>
        <v>0</v>
      </c>
      <c r="G16" s="82"/>
      <c r="H16" s="82"/>
      <c r="I16" s="82"/>
      <c r="J16" s="83"/>
      <c r="K16" s="76">
        <f t="shared" si="4"/>
        <v>0</v>
      </c>
      <c r="L16" s="84"/>
      <c r="M16" s="85"/>
    </row>
    <row r="17" spans="1:13" ht="15.95" customHeight="1">
      <c r="A17" s="81">
        <f t="shared" si="2"/>
        <v>42653</v>
      </c>
      <c r="B17" s="82"/>
      <c r="C17" s="82"/>
      <c r="D17" s="82"/>
      <c r="E17" s="82"/>
      <c r="F17" s="76">
        <f t="shared" si="3"/>
        <v>0</v>
      </c>
      <c r="G17" s="82"/>
      <c r="H17" s="82"/>
      <c r="I17" s="82"/>
      <c r="J17" s="83"/>
      <c r="K17" s="76">
        <f t="shared" si="4"/>
        <v>0</v>
      </c>
      <c r="L17" s="84"/>
      <c r="M17" s="85"/>
    </row>
    <row r="18" spans="1:13" ht="15.95" customHeight="1">
      <c r="A18" s="81">
        <f t="shared" si="2"/>
        <v>42654</v>
      </c>
      <c r="B18" s="82"/>
      <c r="C18" s="82"/>
      <c r="D18" s="82"/>
      <c r="E18" s="82"/>
      <c r="F18" s="76">
        <f t="shared" si="3"/>
        <v>0</v>
      </c>
      <c r="G18" s="82"/>
      <c r="H18" s="82"/>
      <c r="I18" s="82"/>
      <c r="J18" s="82"/>
      <c r="K18" s="76">
        <f t="shared" si="4"/>
        <v>0</v>
      </c>
      <c r="L18" s="84"/>
      <c r="M18" s="85"/>
    </row>
    <row r="19" spans="1:13" ht="15.95" customHeight="1">
      <c r="A19" s="81">
        <f t="shared" si="2"/>
        <v>42655</v>
      </c>
      <c r="B19" s="82"/>
      <c r="C19" s="82"/>
      <c r="D19" s="82"/>
      <c r="E19" s="82"/>
      <c r="F19" s="76">
        <f t="shared" si="3"/>
        <v>0</v>
      </c>
      <c r="G19" s="82"/>
      <c r="H19" s="82"/>
      <c r="I19" s="82"/>
      <c r="J19" s="83"/>
      <c r="K19" s="76">
        <f t="shared" si="4"/>
        <v>0</v>
      </c>
      <c r="L19" s="84"/>
      <c r="M19" s="85"/>
    </row>
    <row r="20" spans="1:13" ht="15.95" customHeight="1">
      <c r="A20" s="81">
        <f t="shared" si="2"/>
        <v>42656</v>
      </c>
      <c r="B20" s="82"/>
      <c r="C20" s="82"/>
      <c r="D20" s="82"/>
      <c r="E20" s="82"/>
      <c r="F20" s="76">
        <f t="shared" si="3"/>
        <v>0</v>
      </c>
      <c r="G20" s="82"/>
      <c r="H20" s="82"/>
      <c r="I20" s="82"/>
      <c r="J20" s="83"/>
      <c r="K20" s="76">
        <f t="shared" si="4"/>
        <v>0</v>
      </c>
      <c r="L20" s="84"/>
      <c r="M20" s="85"/>
    </row>
    <row r="21" spans="1:13" ht="15.95" customHeight="1">
      <c r="A21" s="81">
        <f t="shared" si="2"/>
        <v>42657</v>
      </c>
      <c r="B21" s="82"/>
      <c r="C21" s="82"/>
      <c r="D21" s="82"/>
      <c r="E21" s="82"/>
      <c r="F21" s="76">
        <f t="shared" si="3"/>
        <v>0</v>
      </c>
      <c r="G21" s="82"/>
      <c r="H21" s="82"/>
      <c r="I21" s="82"/>
      <c r="J21" s="83"/>
      <c r="K21" s="76">
        <f t="shared" si="4"/>
        <v>0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</sheetData>
  <phoneticPr fontId="45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8"/>
  <sheetViews>
    <sheetView showGridLines="0" topLeftCell="E1" workbookViewId="0">
      <pane ySplit="1" topLeftCell="A14" activePane="bottomLeft" state="frozen"/>
      <selection activeCell="O22" sqref="O22"/>
      <selection pane="bottomLeft" activeCell="I26" sqref="I26"/>
    </sheetView>
  </sheetViews>
  <sheetFormatPr defaultRowHeight="15.95" customHeight="1"/>
  <cols>
    <col min="1" max="1" width="10" style="66" bestFit="1" customWidth="1"/>
    <col min="2" max="2" width="8.85546875" style="68" customWidth="1"/>
    <col min="3" max="3" width="8.85546875" style="73" customWidth="1"/>
    <col min="4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6.5">
      <c r="A2" s="149">
        <v>42490</v>
      </c>
      <c r="B2" s="150">
        <v>20</v>
      </c>
      <c r="C2" s="150">
        <v>8</v>
      </c>
      <c r="D2" s="150">
        <v>131</v>
      </c>
      <c r="E2" s="150">
        <v>50952</v>
      </c>
      <c r="F2" s="151">
        <f t="shared" ref="F2:F4" si="0">IF(E2&gt;10000,D2/E2*10000,D2)</f>
        <v>25.710472601664314</v>
      </c>
      <c r="G2" s="150">
        <v>26</v>
      </c>
      <c r="H2" s="150">
        <v>8</v>
      </c>
      <c r="I2" s="150">
        <v>164</v>
      </c>
      <c r="J2" s="152">
        <v>1361271.25</v>
      </c>
      <c r="K2" s="151">
        <f t="shared" ref="K2:K4" si="1">IF(J2&gt;10000,I2/J2*10000,I2)</f>
        <v>1.2047562159268406</v>
      </c>
      <c r="L2" s="153"/>
      <c r="M2" s="154"/>
    </row>
    <row r="3" spans="1:13" s="155" customFormat="1" ht="16.5">
      <c r="A3" s="149">
        <v>42521</v>
      </c>
      <c r="B3" s="150">
        <v>16</v>
      </c>
      <c r="C3" s="150">
        <v>2</v>
      </c>
      <c r="D3" s="150">
        <v>186</v>
      </c>
      <c r="E3" s="150">
        <v>56460</v>
      </c>
      <c r="F3" s="151">
        <f t="shared" si="0"/>
        <v>32.94367693942614</v>
      </c>
      <c r="G3" s="150">
        <v>25</v>
      </c>
      <c r="H3" s="150">
        <v>4</v>
      </c>
      <c r="I3" s="150">
        <v>246</v>
      </c>
      <c r="J3" s="152">
        <v>1580059.06</v>
      </c>
      <c r="K3" s="151">
        <f t="shared" si="1"/>
        <v>1.5569038286454939</v>
      </c>
      <c r="L3" s="153"/>
      <c r="M3" s="154"/>
    </row>
    <row r="4" spans="1:13" s="155" customFormat="1" ht="16.5">
      <c r="A4" s="149">
        <v>42551</v>
      </c>
      <c r="B4" s="150">
        <v>11</v>
      </c>
      <c r="C4" s="150">
        <v>3</v>
      </c>
      <c r="D4" s="150">
        <v>130</v>
      </c>
      <c r="E4" s="150">
        <v>50682</v>
      </c>
      <c r="F4" s="151">
        <f t="shared" si="0"/>
        <v>25.650132196835166</v>
      </c>
      <c r="G4" s="150">
        <v>13</v>
      </c>
      <c r="H4" s="150">
        <v>3</v>
      </c>
      <c r="I4" s="150">
        <v>174</v>
      </c>
      <c r="J4" s="152">
        <v>1294045.02</v>
      </c>
      <c r="K4" s="151">
        <f t="shared" si="1"/>
        <v>1.3446209158936371</v>
      </c>
      <c r="L4" s="153"/>
      <c r="M4" s="154"/>
    </row>
    <row r="5" spans="1:13" s="155" customFormat="1" ht="16.5">
      <c r="A5" s="149">
        <v>42582</v>
      </c>
      <c r="B5" s="150">
        <v>11</v>
      </c>
      <c r="C5" s="150">
        <v>2</v>
      </c>
      <c r="D5" s="150">
        <v>88</v>
      </c>
      <c r="E5" s="150">
        <v>44830</v>
      </c>
      <c r="F5" s="151">
        <v>19.63</v>
      </c>
      <c r="G5" s="150">
        <v>14</v>
      </c>
      <c r="H5" s="150">
        <v>2</v>
      </c>
      <c r="I5" s="150">
        <v>126</v>
      </c>
      <c r="J5" s="152">
        <v>970157.45</v>
      </c>
      <c r="K5" s="151">
        <v>1.3</v>
      </c>
      <c r="L5" s="153"/>
      <c r="M5" s="154"/>
    </row>
    <row r="6" spans="1:13" s="155" customFormat="1" ht="16.5">
      <c r="A6" s="149">
        <v>42613</v>
      </c>
      <c r="B6" s="150">
        <v>11</v>
      </c>
      <c r="C6" s="150">
        <v>5</v>
      </c>
      <c r="D6" s="150">
        <v>92</v>
      </c>
      <c r="E6" s="150">
        <v>37630</v>
      </c>
      <c r="F6" s="151">
        <v>24.45</v>
      </c>
      <c r="G6" s="150">
        <v>13</v>
      </c>
      <c r="H6" s="150">
        <v>7</v>
      </c>
      <c r="I6" s="150">
        <v>121</v>
      </c>
      <c r="J6" s="152">
        <v>838732.77</v>
      </c>
      <c r="K6" s="151">
        <v>1.44</v>
      </c>
      <c r="L6" s="153"/>
      <c r="M6" s="154"/>
    </row>
    <row r="7" spans="1:13" s="155" customFormat="1" ht="16.5">
      <c r="A7" s="149">
        <v>42643</v>
      </c>
      <c r="B7" s="150">
        <v>5</v>
      </c>
      <c r="C7" s="150">
        <v>2</v>
      </c>
      <c r="D7" s="150">
        <v>241</v>
      </c>
      <c r="E7" s="150">
        <v>45308</v>
      </c>
      <c r="F7" s="151">
        <f>IF(E7&gt;10000,D7/E7*10000,D7)</f>
        <v>53.191489361702125</v>
      </c>
      <c r="G7" s="150">
        <v>11</v>
      </c>
      <c r="H7" s="150">
        <v>4</v>
      </c>
      <c r="I7" s="150">
        <v>313</v>
      </c>
      <c r="J7" s="152">
        <v>1056419.8999999999</v>
      </c>
      <c r="K7" s="151">
        <f>IF(J7&gt;10000,I7/J7*10000,I7)</f>
        <v>2.9628370309949674</v>
      </c>
      <c r="L7" s="153"/>
      <c r="M7" s="154"/>
    </row>
    <row r="8" spans="1:13" ht="16.5">
      <c r="A8" s="81">
        <f>A7+1</f>
        <v>42644</v>
      </c>
      <c r="B8" s="82">
        <v>3</v>
      </c>
      <c r="C8" s="82">
        <v>0</v>
      </c>
      <c r="D8" s="82">
        <v>0</v>
      </c>
      <c r="E8" s="82"/>
      <c r="F8" s="76">
        <f>IF(E8&gt;10000,D8/E8*10000,D8)</f>
        <v>0</v>
      </c>
      <c r="G8" s="82">
        <v>6</v>
      </c>
      <c r="H8" s="82">
        <v>1</v>
      </c>
      <c r="I8" s="82">
        <v>1</v>
      </c>
      <c r="J8" s="83">
        <v>41871.599999999999</v>
      </c>
      <c r="K8" s="76">
        <f>IF(J8&gt;10000,I8/J8*10000,I8)</f>
        <v>0.23882536134277171</v>
      </c>
      <c r="L8" s="84"/>
      <c r="M8" s="85"/>
    </row>
    <row r="9" spans="1:13" ht="16.5">
      <c r="A9" s="81">
        <f t="shared" ref="A9:A38" si="2">A8+1</f>
        <v>42645</v>
      </c>
      <c r="B9" s="82">
        <v>7</v>
      </c>
      <c r="C9" s="82">
        <v>5</v>
      </c>
      <c r="D9" s="82">
        <v>6</v>
      </c>
      <c r="E9" s="82"/>
      <c r="F9" s="76">
        <f t="shared" ref="F9:F38" si="3">IF(E9&gt;10000,D9/E9*10000,D9)</f>
        <v>6</v>
      </c>
      <c r="G9" s="82">
        <v>11</v>
      </c>
      <c r="H9" s="82">
        <v>7</v>
      </c>
      <c r="I9" s="82">
        <v>9</v>
      </c>
      <c r="J9" s="83">
        <v>79580.75</v>
      </c>
      <c r="K9" s="76">
        <f t="shared" ref="K9:K38" si="4">IF(J9&gt;10000,I9/J9*10000,I9)</f>
        <v>1.1309267630677018</v>
      </c>
      <c r="L9" s="84"/>
      <c r="M9" s="85"/>
    </row>
    <row r="10" spans="1:13" ht="16.5">
      <c r="A10" s="81">
        <f t="shared" si="2"/>
        <v>42646</v>
      </c>
      <c r="B10" s="82">
        <v>7</v>
      </c>
      <c r="C10" s="82">
        <v>2</v>
      </c>
      <c r="D10" s="82">
        <v>8</v>
      </c>
      <c r="E10" s="82"/>
      <c r="F10" s="76">
        <f t="shared" si="3"/>
        <v>8</v>
      </c>
      <c r="G10" s="82">
        <v>10</v>
      </c>
      <c r="H10" s="82">
        <v>2</v>
      </c>
      <c r="I10" s="82">
        <v>11</v>
      </c>
      <c r="J10" s="83">
        <v>116613.97</v>
      </c>
      <c r="K10" s="76">
        <f t="shared" si="4"/>
        <v>0.9432832104078096</v>
      </c>
      <c r="L10" s="84"/>
      <c r="M10" s="85"/>
    </row>
    <row r="11" spans="1:13" ht="16.5">
      <c r="A11" s="81">
        <f t="shared" si="2"/>
        <v>42647</v>
      </c>
      <c r="B11" s="82">
        <v>11</v>
      </c>
      <c r="C11" s="82">
        <v>5</v>
      </c>
      <c r="D11" s="82">
        <v>13</v>
      </c>
      <c r="E11" s="82"/>
      <c r="F11" s="76">
        <f t="shared" si="3"/>
        <v>13</v>
      </c>
      <c r="G11" s="82">
        <v>16</v>
      </c>
      <c r="H11" s="82">
        <v>6</v>
      </c>
      <c r="I11" s="82">
        <v>18</v>
      </c>
      <c r="J11" s="83">
        <v>152776.79999999999</v>
      </c>
      <c r="K11" s="76">
        <f t="shared" si="4"/>
        <v>1.1781893585937133</v>
      </c>
      <c r="L11" s="84"/>
      <c r="M11" s="85"/>
    </row>
    <row r="12" spans="1:13" ht="16.5">
      <c r="A12" s="81">
        <f t="shared" si="2"/>
        <v>42648</v>
      </c>
      <c r="B12" s="82">
        <v>12</v>
      </c>
      <c r="C12" s="82">
        <v>5</v>
      </c>
      <c r="D12" s="82">
        <v>19</v>
      </c>
      <c r="E12" s="82">
        <v>10050</v>
      </c>
      <c r="F12" s="76">
        <f t="shared" si="3"/>
        <v>18.905472636815919</v>
      </c>
      <c r="G12" s="82">
        <v>14</v>
      </c>
      <c r="H12" s="82">
        <v>5</v>
      </c>
      <c r="I12" s="82">
        <v>24</v>
      </c>
      <c r="J12" s="83">
        <v>183656.52</v>
      </c>
      <c r="K12" s="76">
        <f t="shared" si="4"/>
        <v>1.3067872569947421</v>
      </c>
      <c r="L12" s="84"/>
      <c r="M12" s="85"/>
    </row>
    <row r="13" spans="1:13" ht="15.95" customHeight="1">
      <c r="A13" s="81">
        <f t="shared" si="2"/>
        <v>42649</v>
      </c>
      <c r="B13" s="82">
        <v>12</v>
      </c>
      <c r="C13" s="82">
        <v>5</v>
      </c>
      <c r="D13" s="82">
        <v>24</v>
      </c>
      <c r="E13" s="82">
        <v>11572</v>
      </c>
      <c r="F13" s="76">
        <f t="shared" si="3"/>
        <v>20.73971655720705</v>
      </c>
      <c r="G13" s="82">
        <v>13</v>
      </c>
      <c r="H13" s="82">
        <v>5</v>
      </c>
      <c r="I13" s="82">
        <v>30</v>
      </c>
      <c r="J13" s="83">
        <v>211796.96</v>
      </c>
      <c r="K13" s="76">
        <f t="shared" si="4"/>
        <v>1.4164509254523767</v>
      </c>
      <c r="L13" s="84"/>
      <c r="M13" s="85"/>
    </row>
    <row r="14" spans="1:13" ht="15.95" customHeight="1">
      <c r="A14" s="81">
        <f t="shared" si="2"/>
        <v>42650</v>
      </c>
      <c r="B14" s="82">
        <v>9</v>
      </c>
      <c r="C14" s="82">
        <v>3</v>
      </c>
      <c r="D14" s="82">
        <v>28</v>
      </c>
      <c r="E14" s="82">
        <v>13028</v>
      </c>
      <c r="F14" s="76">
        <f t="shared" si="3"/>
        <v>21.492170709241634</v>
      </c>
      <c r="G14" s="82">
        <v>11</v>
      </c>
      <c r="H14" s="82">
        <v>3</v>
      </c>
      <c r="I14" s="82">
        <v>34</v>
      </c>
      <c r="J14" s="83">
        <v>239731.4</v>
      </c>
      <c r="K14" s="76">
        <f t="shared" si="4"/>
        <v>1.4182539291890841</v>
      </c>
      <c r="L14" s="84"/>
      <c r="M14" s="85"/>
    </row>
    <row r="15" spans="1:13" ht="15.95" customHeight="1">
      <c r="A15" s="81">
        <f t="shared" si="2"/>
        <v>42651</v>
      </c>
      <c r="B15" s="82">
        <v>5</v>
      </c>
      <c r="C15" s="82">
        <v>1</v>
      </c>
      <c r="D15" s="82">
        <v>29</v>
      </c>
      <c r="E15" s="82">
        <v>14341</v>
      </c>
      <c r="F15" s="76">
        <f t="shared" si="3"/>
        <v>20.221741859005647</v>
      </c>
      <c r="G15" s="82">
        <v>7</v>
      </c>
      <c r="H15" s="82">
        <v>2</v>
      </c>
      <c r="I15" s="82">
        <v>36</v>
      </c>
      <c r="J15" s="83">
        <v>264931.8</v>
      </c>
      <c r="K15" s="76">
        <f t="shared" si="4"/>
        <v>1.3588402751198612</v>
      </c>
      <c r="L15" s="84"/>
      <c r="M15" s="85"/>
    </row>
    <row r="16" spans="1:13" ht="15.95" customHeight="1">
      <c r="A16" s="81">
        <f t="shared" si="2"/>
        <v>42652</v>
      </c>
      <c r="B16" s="82">
        <v>11</v>
      </c>
      <c r="C16" s="82">
        <v>4</v>
      </c>
      <c r="D16" s="82">
        <v>34</v>
      </c>
      <c r="E16" s="82">
        <v>15353</v>
      </c>
      <c r="F16" s="76">
        <f t="shared" si="3"/>
        <v>22.145509021038237</v>
      </c>
      <c r="G16" s="82">
        <v>14</v>
      </c>
      <c r="H16" s="82">
        <v>4</v>
      </c>
      <c r="I16" s="82">
        <v>40</v>
      </c>
      <c r="J16" s="83">
        <v>286732.58</v>
      </c>
      <c r="K16" s="76">
        <f t="shared" si="4"/>
        <v>1.3950280780788844</v>
      </c>
      <c r="L16" s="84"/>
      <c r="M16" s="85"/>
    </row>
    <row r="17" spans="1:13" ht="15.95" customHeight="1">
      <c r="A17" s="81">
        <f t="shared" si="2"/>
        <v>42653</v>
      </c>
      <c r="B17" s="82">
        <v>10</v>
      </c>
      <c r="C17" s="82">
        <v>3</v>
      </c>
      <c r="D17" s="82">
        <v>38</v>
      </c>
      <c r="E17" s="82">
        <v>16113</v>
      </c>
      <c r="F17" s="76">
        <f t="shared" si="3"/>
        <v>23.583441941289642</v>
      </c>
      <c r="G17" s="82">
        <v>16</v>
      </c>
      <c r="H17" s="82">
        <v>5</v>
      </c>
      <c r="I17" s="82">
        <v>45</v>
      </c>
      <c r="J17" s="83">
        <v>302109.95</v>
      </c>
      <c r="K17" s="76">
        <f t="shared" si="4"/>
        <v>1.4895239299466965</v>
      </c>
      <c r="L17" s="84"/>
      <c r="M17" s="85"/>
    </row>
    <row r="18" spans="1:13" ht="15.95" customHeight="1">
      <c r="A18" s="81">
        <f t="shared" si="2"/>
        <v>42654</v>
      </c>
      <c r="B18" s="82">
        <v>7</v>
      </c>
      <c r="C18" s="82">
        <v>1</v>
      </c>
      <c r="D18" s="82">
        <v>39</v>
      </c>
      <c r="E18" s="82">
        <v>16870</v>
      </c>
      <c r="F18" s="76">
        <f t="shared" si="3"/>
        <v>23.117960877296976</v>
      </c>
      <c r="G18" s="82">
        <v>10</v>
      </c>
      <c r="H18" s="82">
        <v>2</v>
      </c>
      <c r="I18" s="82">
        <v>48</v>
      </c>
      <c r="J18" s="83">
        <v>318394.26</v>
      </c>
      <c r="K18" s="76">
        <f t="shared" si="4"/>
        <v>1.5075648662761696</v>
      </c>
      <c r="L18" s="84"/>
      <c r="M18" s="85"/>
    </row>
    <row r="19" spans="1:13" ht="15.95" customHeight="1">
      <c r="A19" s="81">
        <f t="shared" si="2"/>
        <v>42655</v>
      </c>
      <c r="B19" s="82">
        <v>8</v>
      </c>
      <c r="C19" s="82">
        <v>2</v>
      </c>
      <c r="D19" s="82">
        <v>42</v>
      </c>
      <c r="E19" s="82">
        <v>17600</v>
      </c>
      <c r="F19" s="76">
        <f t="shared" si="3"/>
        <v>23.863636363636367</v>
      </c>
      <c r="G19" s="82">
        <v>10</v>
      </c>
      <c r="H19" s="82">
        <v>3</v>
      </c>
      <c r="I19" s="82">
        <v>52</v>
      </c>
      <c r="J19" s="83">
        <v>334592.86</v>
      </c>
      <c r="K19" s="76">
        <f t="shared" si="4"/>
        <v>1.5541276045161274</v>
      </c>
      <c r="L19" s="84"/>
      <c r="M19" s="85"/>
    </row>
    <row r="20" spans="1:13" ht="15.95" customHeight="1">
      <c r="A20" s="81">
        <f t="shared" si="2"/>
        <v>42656</v>
      </c>
      <c r="B20" s="82">
        <v>9</v>
      </c>
      <c r="C20" s="82">
        <v>4</v>
      </c>
      <c r="D20" s="82">
        <v>46</v>
      </c>
      <c r="E20" s="82">
        <v>18344</v>
      </c>
      <c r="F20" s="76">
        <f t="shared" si="3"/>
        <v>25.076319232446576</v>
      </c>
      <c r="G20" s="82">
        <v>12</v>
      </c>
      <c r="H20" s="82">
        <v>4</v>
      </c>
      <c r="I20" s="82">
        <v>57</v>
      </c>
      <c r="J20" s="83">
        <v>352512.93</v>
      </c>
      <c r="K20" s="76">
        <f t="shared" si="4"/>
        <v>1.6169619650547284</v>
      </c>
      <c r="L20" s="84"/>
      <c r="M20" s="85"/>
    </row>
    <row r="21" spans="1:13" ht="15.95" customHeight="1">
      <c r="A21" s="81">
        <f t="shared" si="2"/>
        <v>42657</v>
      </c>
      <c r="B21" s="82">
        <v>7</v>
      </c>
      <c r="C21" s="82">
        <v>2</v>
      </c>
      <c r="D21" s="82">
        <v>48</v>
      </c>
      <c r="E21" s="82">
        <v>19137</v>
      </c>
      <c r="F21" s="76">
        <f t="shared" si="3"/>
        <v>25.08230130114438</v>
      </c>
      <c r="G21" s="82">
        <v>10</v>
      </c>
      <c r="H21" s="82">
        <v>3</v>
      </c>
      <c r="I21" s="82">
        <v>60</v>
      </c>
      <c r="J21" s="83">
        <v>371069.71</v>
      </c>
      <c r="K21" s="76">
        <f t="shared" si="4"/>
        <v>1.6169468534631943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38"/>
  <sheetViews>
    <sheetView showGridLines="0" topLeftCell="E1" workbookViewId="0">
      <pane ySplit="1" topLeftCell="A8" activePane="bottomLeft" state="frozen"/>
      <selection activeCell="O22" sqref="O22"/>
      <selection pane="bottomLeft" activeCell="I24" sqref="I24"/>
    </sheetView>
  </sheetViews>
  <sheetFormatPr defaultRowHeight="15.95" customHeight="1"/>
  <cols>
    <col min="1" max="1" width="10" style="66" bestFit="1" customWidth="1"/>
    <col min="2" max="2" width="8.85546875" style="68" customWidth="1"/>
    <col min="3" max="3" width="8.85546875" style="73" customWidth="1"/>
    <col min="4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6.5">
      <c r="A2" s="149">
        <v>42490</v>
      </c>
      <c r="B2" s="150">
        <v>4</v>
      </c>
      <c r="C2" s="150">
        <v>2</v>
      </c>
      <c r="D2" s="150">
        <v>25</v>
      </c>
      <c r="E2" s="150"/>
      <c r="F2" s="151">
        <f t="shared" ref="F2:F3" si="0">IF(E2&gt;10000,D2/E2*10000,D2)</f>
        <v>25</v>
      </c>
      <c r="G2" s="150">
        <v>5</v>
      </c>
      <c r="H2" s="150">
        <v>2</v>
      </c>
      <c r="I2" s="150">
        <v>28</v>
      </c>
      <c r="J2" s="152">
        <v>131277</v>
      </c>
      <c r="K2" s="151">
        <f t="shared" ref="K2:K3" si="1">IF(J2&gt;10000,I2/J2*10000,I2)</f>
        <v>2.1328945664510921</v>
      </c>
      <c r="L2" s="153"/>
      <c r="M2" s="154"/>
    </row>
    <row r="3" spans="1:13" s="155" customFormat="1" ht="16.5">
      <c r="A3" s="149">
        <v>42521</v>
      </c>
      <c r="B3" s="150">
        <v>5</v>
      </c>
      <c r="C3" s="150">
        <v>1</v>
      </c>
      <c r="D3" s="150">
        <v>24</v>
      </c>
      <c r="E3" s="150"/>
      <c r="F3" s="151">
        <f t="shared" si="0"/>
        <v>24</v>
      </c>
      <c r="G3" s="150">
        <v>6</v>
      </c>
      <c r="H3" s="150">
        <v>2</v>
      </c>
      <c r="I3" s="150">
        <v>25</v>
      </c>
      <c r="J3" s="152">
        <v>139778.5</v>
      </c>
      <c r="K3" s="151">
        <f t="shared" si="1"/>
        <v>1.7885440178568235</v>
      </c>
      <c r="L3" s="153"/>
      <c r="M3" s="154"/>
    </row>
    <row r="4" spans="1:13" s="155" customFormat="1" ht="16.5">
      <c r="A4" s="149">
        <v>42551</v>
      </c>
      <c r="B4" s="150">
        <v>9</v>
      </c>
      <c r="C4" s="150">
        <v>3</v>
      </c>
      <c r="D4" s="150">
        <v>35</v>
      </c>
      <c r="E4" s="150">
        <v>21491</v>
      </c>
      <c r="F4" s="151">
        <v>16.29</v>
      </c>
      <c r="G4" s="150">
        <v>14</v>
      </c>
      <c r="H4" s="150">
        <v>4</v>
      </c>
      <c r="I4" s="150">
        <v>44</v>
      </c>
      <c r="J4" s="152">
        <v>422137.4</v>
      </c>
      <c r="K4" s="151">
        <v>1.04</v>
      </c>
      <c r="L4" s="153"/>
      <c r="M4" s="154"/>
    </row>
    <row r="5" spans="1:13" s="155" customFormat="1" ht="16.5">
      <c r="A5" s="149">
        <v>42582</v>
      </c>
      <c r="B5" s="150">
        <v>9</v>
      </c>
      <c r="C5" s="150">
        <v>2</v>
      </c>
      <c r="D5" s="150">
        <v>120</v>
      </c>
      <c r="E5" s="150">
        <v>46612</v>
      </c>
      <c r="F5" s="151">
        <v>25.74</v>
      </c>
      <c r="G5" s="150">
        <v>15</v>
      </c>
      <c r="H5" s="150">
        <v>3</v>
      </c>
      <c r="I5" s="150">
        <v>161</v>
      </c>
      <c r="J5" s="152">
        <v>1035420.68</v>
      </c>
      <c r="K5" s="151">
        <v>1.55</v>
      </c>
      <c r="L5" s="153"/>
      <c r="M5" s="154"/>
    </row>
    <row r="6" spans="1:13" s="155" customFormat="1" ht="16.5">
      <c r="A6" s="149">
        <v>42613</v>
      </c>
      <c r="B6" s="150">
        <v>10</v>
      </c>
      <c r="C6" s="150">
        <v>3</v>
      </c>
      <c r="D6" s="150">
        <v>71</v>
      </c>
      <c r="E6" s="150">
        <v>33614</v>
      </c>
      <c r="F6" s="151">
        <v>21.12</v>
      </c>
      <c r="G6" s="150">
        <v>11</v>
      </c>
      <c r="H6" s="150">
        <v>3</v>
      </c>
      <c r="I6" s="150">
        <v>114</v>
      </c>
      <c r="J6" s="152">
        <v>651386.18999999994</v>
      </c>
      <c r="K6" s="151">
        <v>1.75</v>
      </c>
      <c r="L6" s="153"/>
      <c r="M6" s="154"/>
    </row>
    <row r="7" spans="1:13" s="155" customFormat="1" ht="16.5">
      <c r="A7" s="149">
        <v>42643</v>
      </c>
      <c r="B7" s="150">
        <v>9</v>
      </c>
      <c r="C7" s="150">
        <v>5</v>
      </c>
      <c r="D7" s="150">
        <v>130</v>
      </c>
      <c r="E7" s="150">
        <v>39226</v>
      </c>
      <c r="F7" s="151">
        <f>IF(E7&gt;10000,D7/E7*10000,D7)</f>
        <v>33.141283842349466</v>
      </c>
      <c r="G7" s="150">
        <v>13</v>
      </c>
      <c r="H7" s="150">
        <v>8</v>
      </c>
      <c r="I7" s="150">
        <v>153</v>
      </c>
      <c r="J7" s="152">
        <v>624152.85</v>
      </c>
      <c r="K7" s="151">
        <f>IF(J7&gt;10000,I7/J7*10000,I7)</f>
        <v>2.4513226207330465</v>
      </c>
      <c r="L7" s="153"/>
      <c r="M7" s="154"/>
    </row>
    <row r="8" spans="1:13" ht="16.5">
      <c r="A8" s="81">
        <f>A7+1</f>
        <v>42644</v>
      </c>
      <c r="B8" s="82">
        <v>4</v>
      </c>
      <c r="C8" s="82">
        <v>2</v>
      </c>
      <c r="D8" s="82">
        <v>2</v>
      </c>
      <c r="E8" s="82"/>
      <c r="F8" s="76">
        <f>IF(E8&gt;10000,D8/E8*10000,D8)</f>
        <v>2</v>
      </c>
      <c r="G8" s="82">
        <v>6</v>
      </c>
      <c r="H8" s="82">
        <v>3</v>
      </c>
      <c r="I8" s="82">
        <v>3</v>
      </c>
      <c r="J8" s="83">
        <v>40420.99</v>
      </c>
      <c r="K8" s="76">
        <f>IF(J8&gt;10000,I8/J8*10000,I8)</f>
        <v>0.74218865000585088</v>
      </c>
      <c r="L8" s="84"/>
      <c r="M8" s="85"/>
    </row>
    <row r="9" spans="1:13" ht="16.5">
      <c r="A9" s="81">
        <f t="shared" ref="A9:A38" si="2">A8+1</f>
        <v>42645</v>
      </c>
      <c r="B9" s="82">
        <v>10</v>
      </c>
      <c r="C9" s="82">
        <v>3</v>
      </c>
      <c r="D9" s="82">
        <v>5</v>
      </c>
      <c r="E9" s="82"/>
      <c r="F9" s="76">
        <f>IF(E9&gt;10000,D9/E9*10000,D9)</f>
        <v>5</v>
      </c>
      <c r="G9" s="82">
        <v>19</v>
      </c>
      <c r="H9" s="82">
        <v>9</v>
      </c>
      <c r="I9" s="82">
        <v>12</v>
      </c>
      <c r="J9" s="83">
        <v>89067.47</v>
      </c>
      <c r="K9" s="76">
        <f t="shared" ref="K9:K38" si="3">IF(J9&gt;10000,I9/J9*10000,I9)</f>
        <v>1.3472932373626421</v>
      </c>
      <c r="L9" s="84"/>
      <c r="M9" s="85"/>
    </row>
    <row r="10" spans="1:13" ht="16.5">
      <c r="A10" s="81">
        <f t="shared" si="2"/>
        <v>42646</v>
      </c>
      <c r="B10" s="82">
        <v>13</v>
      </c>
      <c r="C10" s="82">
        <v>7</v>
      </c>
      <c r="D10" s="82">
        <v>13</v>
      </c>
      <c r="E10" s="82"/>
      <c r="F10" s="76">
        <f t="shared" ref="F10:F38" si="4">IF(E10&gt;10000,D10/E10*10000,D10)</f>
        <v>13</v>
      </c>
      <c r="G10" s="82">
        <v>15</v>
      </c>
      <c r="H10" s="82">
        <v>9</v>
      </c>
      <c r="I10" s="82">
        <v>22</v>
      </c>
      <c r="J10" s="83">
        <v>124973.1</v>
      </c>
      <c r="K10" s="76">
        <f t="shared" si="3"/>
        <v>1.7603788335249744</v>
      </c>
      <c r="L10" s="84"/>
      <c r="M10" s="85"/>
    </row>
    <row r="11" spans="1:13" ht="16.5">
      <c r="A11" s="81">
        <f t="shared" si="2"/>
        <v>42647</v>
      </c>
      <c r="B11" s="82">
        <v>16</v>
      </c>
      <c r="C11" s="82">
        <v>11</v>
      </c>
      <c r="D11" s="82">
        <v>24</v>
      </c>
      <c r="E11" s="82"/>
      <c r="F11" s="76">
        <f t="shared" si="4"/>
        <v>24</v>
      </c>
      <c r="G11" s="82">
        <v>25</v>
      </c>
      <c r="H11" s="82">
        <v>18</v>
      </c>
      <c r="I11" s="82">
        <v>40</v>
      </c>
      <c r="J11" s="83">
        <v>157805.96</v>
      </c>
      <c r="K11" s="76">
        <f t="shared" si="3"/>
        <v>2.5347585097546377</v>
      </c>
      <c r="L11" s="84"/>
      <c r="M11" s="85"/>
    </row>
    <row r="12" spans="1:13" ht="16.5">
      <c r="A12" s="81">
        <f t="shared" si="2"/>
        <v>42648</v>
      </c>
      <c r="B12" s="82">
        <v>9</v>
      </c>
      <c r="C12" s="82">
        <v>5</v>
      </c>
      <c r="D12" s="82">
        <v>30</v>
      </c>
      <c r="E12" s="82">
        <v>10423</v>
      </c>
      <c r="F12" s="76">
        <f t="shared" si="4"/>
        <v>28.782500239854166</v>
      </c>
      <c r="G12" s="82">
        <v>12</v>
      </c>
      <c r="H12" s="82">
        <v>8</v>
      </c>
      <c r="I12" s="82">
        <v>48</v>
      </c>
      <c r="J12" s="83">
        <v>190356.41</v>
      </c>
      <c r="K12" s="76">
        <f t="shared" si="3"/>
        <v>2.5215856928589901</v>
      </c>
      <c r="L12" s="84"/>
      <c r="M12" s="85"/>
    </row>
    <row r="13" spans="1:13" ht="15.95" customHeight="1">
      <c r="A13" s="81">
        <f t="shared" si="2"/>
        <v>42649</v>
      </c>
      <c r="B13" s="82">
        <v>7</v>
      </c>
      <c r="C13" s="82">
        <v>3</v>
      </c>
      <c r="D13" s="82">
        <v>34</v>
      </c>
      <c r="E13" s="82">
        <v>12326</v>
      </c>
      <c r="F13" s="76">
        <f t="shared" si="4"/>
        <v>27.583968846341065</v>
      </c>
      <c r="G13" s="82">
        <v>9</v>
      </c>
      <c r="H13" s="82">
        <v>5</v>
      </c>
      <c r="I13" s="82">
        <v>54</v>
      </c>
      <c r="J13" s="83">
        <v>225149.27</v>
      </c>
      <c r="K13" s="76">
        <f t="shared" si="3"/>
        <v>2.3984088422760599</v>
      </c>
      <c r="L13" s="84"/>
      <c r="M13" s="85"/>
    </row>
    <row r="14" spans="1:13" ht="15.95" customHeight="1">
      <c r="A14" s="81">
        <f t="shared" si="2"/>
        <v>42650</v>
      </c>
      <c r="B14" s="82">
        <v>13</v>
      </c>
      <c r="C14" s="82">
        <v>5</v>
      </c>
      <c r="D14" s="82">
        <v>40</v>
      </c>
      <c r="E14" s="82">
        <v>14039</v>
      </c>
      <c r="F14" s="76">
        <f t="shared" si="4"/>
        <v>28.492057838877411</v>
      </c>
      <c r="G14" s="82">
        <v>14</v>
      </c>
      <c r="H14" s="82">
        <v>6</v>
      </c>
      <c r="I14" s="82">
        <v>61</v>
      </c>
      <c r="J14" s="83">
        <v>255507.59</v>
      </c>
      <c r="K14" s="76">
        <f t="shared" si="3"/>
        <v>2.3874046168256684</v>
      </c>
      <c r="L14" s="84"/>
      <c r="M14" s="85"/>
    </row>
    <row r="15" spans="1:13" ht="15.95" customHeight="1">
      <c r="A15" s="81">
        <f t="shared" si="2"/>
        <v>42651</v>
      </c>
      <c r="B15" s="82">
        <v>9</v>
      </c>
      <c r="C15" s="82">
        <v>4</v>
      </c>
      <c r="D15" s="82">
        <v>45</v>
      </c>
      <c r="E15" s="82">
        <v>15567</v>
      </c>
      <c r="F15" s="76">
        <f t="shared" si="4"/>
        <v>28.907303912121797</v>
      </c>
      <c r="G15" s="82">
        <v>14</v>
      </c>
      <c r="H15" s="82">
        <v>7</v>
      </c>
      <c r="I15" s="82">
        <v>68</v>
      </c>
      <c r="J15" s="83">
        <v>284038.90999999997</v>
      </c>
      <c r="K15" s="76">
        <f t="shared" si="3"/>
        <v>2.3940381970906737</v>
      </c>
      <c r="L15" s="84"/>
      <c r="M15" s="85"/>
    </row>
    <row r="16" spans="1:13" ht="15.95" customHeight="1">
      <c r="A16" s="81">
        <f t="shared" si="2"/>
        <v>42652</v>
      </c>
      <c r="B16" s="82">
        <v>7</v>
      </c>
      <c r="C16" s="82">
        <v>4</v>
      </c>
      <c r="D16" s="82">
        <v>49</v>
      </c>
      <c r="E16" s="82">
        <v>16693</v>
      </c>
      <c r="F16" s="76">
        <f t="shared" si="4"/>
        <v>29.353621278380157</v>
      </c>
      <c r="G16" s="82">
        <v>12</v>
      </c>
      <c r="H16" s="82">
        <v>5</v>
      </c>
      <c r="I16" s="82">
        <v>74</v>
      </c>
      <c r="J16" s="83">
        <v>305157.88</v>
      </c>
      <c r="K16" s="76">
        <f t="shared" si="3"/>
        <v>2.4249742461181079</v>
      </c>
      <c r="L16" s="84"/>
      <c r="M16" s="85"/>
    </row>
    <row r="17" spans="1:13" ht="15.95" customHeight="1">
      <c r="A17" s="81">
        <f t="shared" si="2"/>
        <v>42653</v>
      </c>
      <c r="B17" s="82">
        <v>9</v>
      </c>
      <c r="C17" s="82">
        <v>4</v>
      </c>
      <c r="D17" s="82">
        <v>53</v>
      </c>
      <c r="E17" s="82">
        <v>17645</v>
      </c>
      <c r="F17" s="76">
        <f t="shared" si="4"/>
        <v>30.036837631056958</v>
      </c>
      <c r="G17" s="82">
        <v>13</v>
      </c>
      <c r="H17" s="82">
        <v>5</v>
      </c>
      <c r="I17" s="82">
        <v>80</v>
      </c>
      <c r="J17" s="83">
        <v>322538.38</v>
      </c>
      <c r="K17" s="76">
        <f t="shared" si="3"/>
        <v>2.4803249771391545</v>
      </c>
      <c r="L17" s="84"/>
      <c r="M17" s="85"/>
    </row>
    <row r="18" spans="1:13" ht="15.95" customHeight="1">
      <c r="A18" s="81">
        <f t="shared" si="2"/>
        <v>42654</v>
      </c>
      <c r="B18" s="82">
        <v>12</v>
      </c>
      <c r="C18" s="82">
        <v>5</v>
      </c>
      <c r="D18" s="82">
        <v>59</v>
      </c>
      <c r="E18" s="82">
        <v>18431</v>
      </c>
      <c r="F18" s="76">
        <f t="shared" si="4"/>
        <v>32.0112853344908</v>
      </c>
      <c r="G18" s="82">
        <v>16</v>
      </c>
      <c r="H18" s="82">
        <v>5</v>
      </c>
      <c r="I18" s="82">
        <v>85</v>
      </c>
      <c r="J18" s="83">
        <v>338145.12</v>
      </c>
      <c r="K18" s="76">
        <f t="shared" si="3"/>
        <v>2.5137136386886199</v>
      </c>
      <c r="L18" s="84"/>
      <c r="M18" s="85"/>
    </row>
    <row r="19" spans="1:13" ht="15.95" customHeight="1">
      <c r="A19" s="81">
        <f t="shared" si="2"/>
        <v>42655</v>
      </c>
      <c r="B19" s="82">
        <v>9</v>
      </c>
      <c r="C19" s="82">
        <v>1</v>
      </c>
      <c r="D19" s="82">
        <v>61</v>
      </c>
      <c r="E19" s="82">
        <v>19458</v>
      </c>
      <c r="F19" s="76">
        <f t="shared" si="4"/>
        <v>31.349573440230238</v>
      </c>
      <c r="G19" s="82">
        <v>18</v>
      </c>
      <c r="H19" s="82">
        <v>3</v>
      </c>
      <c r="I19" s="82">
        <v>89</v>
      </c>
      <c r="J19" s="83">
        <v>355074.36</v>
      </c>
      <c r="K19" s="76">
        <f t="shared" si="3"/>
        <v>2.5065172264198408</v>
      </c>
      <c r="L19" s="84"/>
      <c r="M19" s="85"/>
    </row>
    <row r="20" spans="1:13" ht="15.95" customHeight="1">
      <c r="A20" s="81">
        <f t="shared" si="2"/>
        <v>42656</v>
      </c>
      <c r="B20" s="82">
        <v>7</v>
      </c>
      <c r="C20" s="82">
        <v>3</v>
      </c>
      <c r="D20" s="82">
        <v>64</v>
      </c>
      <c r="E20" s="82">
        <v>20506</v>
      </c>
      <c r="F20" s="76">
        <f t="shared" si="4"/>
        <v>31.210377450502293</v>
      </c>
      <c r="G20" s="82">
        <v>13</v>
      </c>
      <c r="H20" s="82">
        <v>5</v>
      </c>
      <c r="I20" s="82">
        <v>94</v>
      </c>
      <c r="J20" s="83">
        <v>372461.94</v>
      </c>
      <c r="K20" s="76">
        <f t="shared" si="3"/>
        <v>2.5237477955465728</v>
      </c>
      <c r="L20" s="84"/>
      <c r="M20" s="85"/>
    </row>
    <row r="21" spans="1:13" ht="15.95" customHeight="1">
      <c r="A21" s="81">
        <f t="shared" si="2"/>
        <v>42657</v>
      </c>
      <c r="B21" s="82">
        <v>6</v>
      </c>
      <c r="C21" s="82">
        <v>1</v>
      </c>
      <c r="D21" s="82">
        <v>66</v>
      </c>
      <c r="E21" s="82">
        <v>21443</v>
      </c>
      <c r="F21" s="76">
        <f t="shared" si="4"/>
        <v>30.779275287972766</v>
      </c>
      <c r="G21" s="82">
        <v>8</v>
      </c>
      <c r="H21" s="82">
        <v>2</v>
      </c>
      <c r="I21" s="82">
        <v>97</v>
      </c>
      <c r="J21" s="83">
        <v>389443.17</v>
      </c>
      <c r="K21" s="76">
        <f t="shared" si="3"/>
        <v>2.4907356829495817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4"/>
        <v>0</v>
      </c>
      <c r="G22" s="82"/>
      <c r="H22" s="82"/>
      <c r="I22" s="82"/>
      <c r="J22" s="83"/>
      <c r="K22" s="76">
        <f t="shared" si="3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4"/>
        <v>0</v>
      </c>
      <c r="G23" s="82"/>
      <c r="H23" s="82"/>
      <c r="I23" s="82"/>
      <c r="J23" s="83"/>
      <c r="K23" s="76">
        <f t="shared" si="3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4"/>
        <v>0</v>
      </c>
      <c r="G24" s="82"/>
      <c r="H24" s="82"/>
      <c r="I24" s="82"/>
      <c r="J24" s="83"/>
      <c r="K24" s="76">
        <f t="shared" si="3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4"/>
        <v>0</v>
      </c>
      <c r="G25" s="82"/>
      <c r="H25" s="82"/>
      <c r="I25" s="82"/>
      <c r="J25" s="83"/>
      <c r="K25" s="76">
        <f t="shared" si="3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4"/>
        <v>0</v>
      </c>
      <c r="G26" s="82"/>
      <c r="H26" s="82"/>
      <c r="I26" s="82"/>
      <c r="J26" s="83"/>
      <c r="K26" s="76">
        <f t="shared" si="3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4"/>
        <v>0</v>
      </c>
      <c r="G27" s="82"/>
      <c r="H27" s="82"/>
      <c r="I27" s="82"/>
      <c r="J27" s="83"/>
      <c r="K27" s="76">
        <f t="shared" si="3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4"/>
        <v>0</v>
      </c>
      <c r="G28" s="82"/>
      <c r="I28" s="82"/>
      <c r="J28" s="83"/>
      <c r="K28" s="76">
        <f t="shared" si="3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4"/>
        <v>0</v>
      </c>
      <c r="G29" s="82"/>
      <c r="H29" s="82"/>
      <c r="I29" s="82"/>
      <c r="J29" s="83"/>
      <c r="K29" s="76">
        <f t="shared" si="3"/>
        <v>0</v>
      </c>
      <c r="L29" s="84"/>
      <c r="M29" s="85"/>
    </row>
    <row r="30" spans="1:13" ht="15.95" customHeight="1">
      <c r="A30" s="81">
        <f t="shared" si="2"/>
        <v>42666</v>
      </c>
      <c r="B30" s="82"/>
      <c r="C30" s="82"/>
      <c r="D30" s="82"/>
      <c r="E30" s="82"/>
      <c r="F30" s="76">
        <f t="shared" si="4"/>
        <v>0</v>
      </c>
      <c r="G30" s="82"/>
      <c r="H30" s="82"/>
      <c r="I30" s="82"/>
      <c r="J30" s="83"/>
      <c r="K30" s="76">
        <f t="shared" si="3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4"/>
        <v>0</v>
      </c>
      <c r="G31" s="82"/>
      <c r="H31" s="82"/>
      <c r="I31" s="82"/>
      <c r="J31" s="83"/>
      <c r="K31" s="76">
        <f t="shared" si="3"/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4"/>
        <v>0</v>
      </c>
      <c r="G32" s="82"/>
      <c r="H32" s="82"/>
      <c r="I32" s="82"/>
      <c r="J32" s="83"/>
      <c r="K32" s="76">
        <f t="shared" si="3"/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4"/>
        <v>0</v>
      </c>
      <c r="G33" s="82"/>
      <c r="H33" s="82"/>
      <c r="I33" s="82"/>
      <c r="J33" s="83"/>
      <c r="K33" s="76">
        <f t="shared" si="3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4"/>
        <v>0</v>
      </c>
      <c r="G34" s="82"/>
      <c r="H34" s="82"/>
      <c r="I34" s="82"/>
      <c r="J34" s="83"/>
      <c r="K34" s="76">
        <f t="shared" si="3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4"/>
        <v>0</v>
      </c>
      <c r="G35" s="82"/>
      <c r="H35" s="82"/>
      <c r="I35" s="82"/>
      <c r="J35" s="83"/>
      <c r="K35" s="76">
        <f t="shared" si="3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4"/>
        <v>0</v>
      </c>
      <c r="G36" s="82"/>
      <c r="H36" s="82"/>
      <c r="I36" s="82"/>
      <c r="J36" s="83"/>
      <c r="K36" s="76">
        <f t="shared" si="3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4"/>
        <v>0</v>
      </c>
      <c r="G37" s="82"/>
      <c r="H37" s="82"/>
      <c r="I37" s="82"/>
      <c r="J37" s="83"/>
      <c r="K37" s="76">
        <f t="shared" si="3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4"/>
        <v>0</v>
      </c>
      <c r="G38" s="82"/>
      <c r="H38" s="82"/>
      <c r="I38" s="82"/>
      <c r="J38" s="83"/>
      <c r="K38" s="76">
        <f t="shared" si="3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38"/>
  <sheetViews>
    <sheetView showGridLines="0" topLeftCell="F1" workbookViewId="0">
      <pane ySplit="1" topLeftCell="A8" activePane="bottomLeft" state="frozen"/>
      <selection activeCell="O22" sqref="O22"/>
      <selection pane="bottomLeft" activeCell="M31" sqref="M31"/>
    </sheetView>
  </sheetViews>
  <sheetFormatPr defaultRowHeight="15.95" customHeight="1"/>
  <cols>
    <col min="1" max="1" width="10.42578125" style="72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6" customWidth="1"/>
    <col min="11" max="11" width="8.85546875" style="71" customWidth="1"/>
    <col min="12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s="155" customFormat="1" ht="16.5">
      <c r="A2" s="149">
        <v>42490</v>
      </c>
      <c r="B2" s="150">
        <v>6</v>
      </c>
      <c r="C2" s="150">
        <v>3</v>
      </c>
      <c r="D2" s="150">
        <v>26</v>
      </c>
      <c r="E2" s="150"/>
      <c r="F2" s="151">
        <f t="shared" ref="F2:F3" si="0">IF(E2&gt;10000,D2/E2*10000,D2)</f>
        <v>26</v>
      </c>
      <c r="G2" s="150">
        <v>7</v>
      </c>
      <c r="H2" s="150">
        <v>4</v>
      </c>
      <c r="I2" s="150">
        <v>36</v>
      </c>
      <c r="J2" s="152">
        <v>184785</v>
      </c>
      <c r="K2" s="151">
        <f t="shared" ref="K2:K3" si="1">IF(J2&gt;10000,I2/J2*10000,I2)</f>
        <v>1.9482100819871742</v>
      </c>
      <c r="L2" s="153"/>
      <c r="M2" s="154"/>
    </row>
    <row r="3" spans="1:13" s="155" customFormat="1" ht="16.5">
      <c r="A3" s="149">
        <v>42521</v>
      </c>
      <c r="B3" s="150">
        <v>7</v>
      </c>
      <c r="C3" s="150">
        <v>3</v>
      </c>
      <c r="D3" s="150">
        <v>117</v>
      </c>
      <c r="E3" s="150">
        <v>17036</v>
      </c>
      <c r="F3" s="151">
        <f t="shared" si="0"/>
        <v>68.678093449166468</v>
      </c>
      <c r="G3" s="150">
        <v>8</v>
      </c>
      <c r="H3" s="150">
        <v>4</v>
      </c>
      <c r="I3" s="150">
        <v>143</v>
      </c>
      <c r="J3" s="152">
        <v>504147.91</v>
      </c>
      <c r="K3" s="151">
        <f t="shared" si="1"/>
        <v>2.8364691623932354</v>
      </c>
      <c r="L3" s="153"/>
      <c r="M3" s="154"/>
    </row>
    <row r="4" spans="1:13" s="155" customFormat="1" ht="16.5">
      <c r="A4" s="149">
        <v>42551</v>
      </c>
      <c r="B4" s="150">
        <v>9</v>
      </c>
      <c r="C4" s="150">
        <v>4</v>
      </c>
      <c r="D4" s="150">
        <v>88</v>
      </c>
      <c r="E4" s="150">
        <v>16080</v>
      </c>
      <c r="F4" s="151">
        <v>54.73</v>
      </c>
      <c r="G4" s="150">
        <v>11</v>
      </c>
      <c r="H4" s="150">
        <v>6</v>
      </c>
      <c r="I4" s="150">
        <v>112</v>
      </c>
      <c r="J4" s="152">
        <v>523061.41</v>
      </c>
      <c r="K4" s="151">
        <v>2.14</v>
      </c>
      <c r="L4" s="153"/>
      <c r="M4" s="154"/>
    </row>
    <row r="5" spans="1:13" s="155" customFormat="1" ht="16.5">
      <c r="A5" s="149">
        <v>42582</v>
      </c>
      <c r="B5" s="150">
        <v>13</v>
      </c>
      <c r="C5" s="150">
        <v>6</v>
      </c>
      <c r="D5" s="150">
        <v>120</v>
      </c>
      <c r="E5" s="150">
        <v>27410</v>
      </c>
      <c r="F5" s="151">
        <v>43.78</v>
      </c>
      <c r="G5" s="150">
        <v>14</v>
      </c>
      <c r="H5" s="150">
        <v>6</v>
      </c>
      <c r="I5" s="150">
        <v>166</v>
      </c>
      <c r="J5" s="152">
        <v>852828.09</v>
      </c>
      <c r="K5" s="151">
        <v>1.95</v>
      </c>
      <c r="L5" s="153"/>
      <c r="M5" s="154"/>
    </row>
    <row r="6" spans="1:13" s="155" customFormat="1" ht="16.5">
      <c r="A6" s="149">
        <v>42613</v>
      </c>
      <c r="B6" s="150">
        <v>2</v>
      </c>
      <c r="C6" s="150">
        <v>2</v>
      </c>
      <c r="D6" s="150">
        <v>219</v>
      </c>
      <c r="E6" s="150">
        <v>33237</v>
      </c>
      <c r="F6" s="151">
        <v>65.890423323404633</v>
      </c>
      <c r="G6" s="150">
        <v>4</v>
      </c>
      <c r="H6" s="150">
        <v>3</v>
      </c>
      <c r="I6" s="150">
        <v>327</v>
      </c>
      <c r="J6" s="152">
        <v>978837.74</v>
      </c>
      <c r="K6" s="151">
        <v>3.3406966919767518</v>
      </c>
      <c r="L6" s="153"/>
      <c r="M6" s="154"/>
    </row>
    <row r="7" spans="1:13" s="155" customFormat="1" ht="16.5">
      <c r="A7" s="149">
        <v>42643</v>
      </c>
      <c r="B7" s="150">
        <v>4</v>
      </c>
      <c r="C7" s="150">
        <v>2</v>
      </c>
      <c r="D7" s="150">
        <v>79</v>
      </c>
      <c r="E7" s="150">
        <v>21064</v>
      </c>
      <c r="F7" s="151">
        <f>IF(E7&gt;10000,D7/E7*10000,D7)</f>
        <v>37.504747436384356</v>
      </c>
      <c r="G7" s="150">
        <v>4</v>
      </c>
      <c r="H7" s="150">
        <v>2</v>
      </c>
      <c r="I7" s="150">
        <v>102</v>
      </c>
      <c r="J7" s="152">
        <v>446324.18</v>
      </c>
      <c r="K7" s="151">
        <f>IF(J7&gt;10000,I7/J7*10000,I7)</f>
        <v>2.2853343952819229</v>
      </c>
      <c r="L7" s="153"/>
      <c r="M7" s="154"/>
    </row>
    <row r="8" spans="1:13" ht="16.5">
      <c r="A8" s="81">
        <f>A7+1</f>
        <v>42644</v>
      </c>
      <c r="B8" s="82">
        <v>0</v>
      </c>
      <c r="C8" s="82">
        <v>0</v>
      </c>
      <c r="D8" s="82">
        <v>0</v>
      </c>
      <c r="E8" s="82"/>
      <c r="F8" s="76">
        <f>IF(E8&gt;10000,D8/E8*10000,D8)</f>
        <v>0</v>
      </c>
      <c r="G8" s="82">
        <v>1</v>
      </c>
      <c r="H8" s="82">
        <v>1</v>
      </c>
      <c r="I8" s="82">
        <v>1</v>
      </c>
      <c r="J8" s="83">
        <v>13506.74</v>
      </c>
      <c r="K8" s="76">
        <f>IF(J8&gt;10000,I8/J8*10000,I8)</f>
        <v>0.74037110361197445</v>
      </c>
      <c r="L8" s="84"/>
      <c r="M8" s="85"/>
    </row>
    <row r="9" spans="1:13" ht="16.5">
      <c r="A9" s="81">
        <f t="shared" ref="A9:A38" si="2">A8+1</f>
        <v>42645</v>
      </c>
      <c r="B9" s="82">
        <v>2</v>
      </c>
      <c r="C9" s="82">
        <v>1</v>
      </c>
      <c r="D9" s="82">
        <v>2</v>
      </c>
      <c r="E9" s="82"/>
      <c r="F9" s="76">
        <f t="shared" ref="F9:F38" si="3">IF(E9&gt;10000,D9/E9*10000,D9)</f>
        <v>2</v>
      </c>
      <c r="G9" s="82">
        <v>4</v>
      </c>
      <c r="H9" s="82">
        <v>1</v>
      </c>
      <c r="I9" s="82">
        <v>2</v>
      </c>
      <c r="J9" s="83">
        <v>24872.14</v>
      </c>
      <c r="K9" s="76">
        <f t="shared" ref="K9:K38" si="4">IF(J9&gt;10000,I9/J9*10000,I9)</f>
        <v>0.80411255324230246</v>
      </c>
      <c r="L9" s="84"/>
      <c r="M9" s="85"/>
    </row>
    <row r="10" spans="1:13" ht="16.5">
      <c r="A10" s="81">
        <f t="shared" si="2"/>
        <v>42646</v>
      </c>
      <c r="B10" s="82">
        <v>2</v>
      </c>
      <c r="C10" s="82">
        <v>0</v>
      </c>
      <c r="D10" s="82">
        <v>3</v>
      </c>
      <c r="E10" s="82"/>
      <c r="F10" s="76">
        <f t="shared" si="3"/>
        <v>3</v>
      </c>
      <c r="G10" s="82">
        <v>2</v>
      </c>
      <c r="H10" s="82">
        <v>0</v>
      </c>
      <c r="I10" s="82">
        <v>3</v>
      </c>
      <c r="J10" s="83">
        <v>44690.07</v>
      </c>
      <c r="K10" s="76">
        <f t="shared" si="4"/>
        <v>0.67129006510842348</v>
      </c>
      <c r="L10" s="84"/>
      <c r="M10" s="85"/>
    </row>
    <row r="11" spans="1:13" ht="16.5">
      <c r="A11" s="81">
        <f t="shared" si="2"/>
        <v>42647</v>
      </c>
      <c r="B11" s="82">
        <v>6</v>
      </c>
      <c r="C11" s="82">
        <v>2</v>
      </c>
      <c r="D11" s="82">
        <v>5</v>
      </c>
      <c r="E11" s="82"/>
      <c r="F11" s="76">
        <f t="shared" si="3"/>
        <v>5</v>
      </c>
      <c r="G11" s="82">
        <v>8</v>
      </c>
      <c r="H11" s="82">
        <v>2</v>
      </c>
      <c r="I11" s="82">
        <v>6</v>
      </c>
      <c r="J11" s="83">
        <v>70073.850000000006</v>
      </c>
      <c r="K11" s="76">
        <f t="shared" si="4"/>
        <v>0.85623952444456808</v>
      </c>
      <c r="L11" s="84"/>
      <c r="M11" s="85"/>
    </row>
    <row r="12" spans="1:13" ht="16.5">
      <c r="A12" s="81">
        <f t="shared" si="2"/>
        <v>42648</v>
      </c>
      <c r="B12" s="82">
        <v>10</v>
      </c>
      <c r="C12" s="82">
        <v>3</v>
      </c>
      <c r="D12" s="82">
        <v>9</v>
      </c>
      <c r="E12" s="82"/>
      <c r="F12" s="76">
        <f t="shared" si="3"/>
        <v>9</v>
      </c>
      <c r="G12" s="82">
        <v>13</v>
      </c>
      <c r="H12" s="82">
        <v>4</v>
      </c>
      <c r="I12" s="82">
        <v>10</v>
      </c>
      <c r="J12" s="83">
        <v>93763.56</v>
      </c>
      <c r="K12" s="76">
        <f t="shared" si="4"/>
        <v>1.0665124063122178</v>
      </c>
      <c r="L12" s="84"/>
      <c r="M12" s="85"/>
    </row>
    <row r="13" spans="1:13" ht="15.95" customHeight="1">
      <c r="A13" s="81">
        <f t="shared" si="2"/>
        <v>42649</v>
      </c>
      <c r="B13" s="82">
        <v>9</v>
      </c>
      <c r="C13" s="82">
        <v>4</v>
      </c>
      <c r="D13" s="82">
        <v>14</v>
      </c>
      <c r="E13" s="82"/>
      <c r="F13" s="76">
        <f t="shared" si="3"/>
        <v>14</v>
      </c>
      <c r="G13" s="82">
        <v>11</v>
      </c>
      <c r="H13" s="82">
        <v>4</v>
      </c>
      <c r="I13" s="82">
        <v>15</v>
      </c>
      <c r="J13" s="83">
        <v>117783.24</v>
      </c>
      <c r="K13" s="76">
        <f t="shared" si="4"/>
        <v>1.2735258428958143</v>
      </c>
      <c r="L13" s="84"/>
      <c r="M13" s="85"/>
    </row>
    <row r="14" spans="1:13" ht="15.95" customHeight="1">
      <c r="A14" s="81">
        <f t="shared" si="2"/>
        <v>42650</v>
      </c>
      <c r="B14" s="82">
        <v>3</v>
      </c>
      <c r="C14" s="82">
        <v>0</v>
      </c>
      <c r="D14" s="82">
        <v>14</v>
      </c>
      <c r="E14" s="82"/>
      <c r="F14" s="76">
        <f t="shared" si="3"/>
        <v>14</v>
      </c>
      <c r="G14" s="82">
        <v>6</v>
      </c>
      <c r="H14" s="82">
        <v>1</v>
      </c>
      <c r="I14" s="82">
        <v>17</v>
      </c>
      <c r="J14" s="83">
        <v>140514.57</v>
      </c>
      <c r="K14" s="76">
        <f t="shared" si="4"/>
        <v>1.2098389512205032</v>
      </c>
      <c r="L14" s="84"/>
      <c r="M14" s="85"/>
    </row>
    <row r="15" spans="1:13" ht="16.5">
      <c r="A15" s="81">
        <f t="shared" si="2"/>
        <v>42651</v>
      </c>
      <c r="B15" s="82">
        <v>4</v>
      </c>
      <c r="C15" s="82">
        <v>1</v>
      </c>
      <c r="D15" s="82">
        <v>16</v>
      </c>
      <c r="E15" s="82">
        <v>10229</v>
      </c>
      <c r="F15" s="76">
        <f t="shared" si="3"/>
        <v>15.641802717763222</v>
      </c>
      <c r="G15" s="82">
        <v>6</v>
      </c>
      <c r="H15" s="82">
        <v>1</v>
      </c>
      <c r="I15" s="82">
        <v>19</v>
      </c>
      <c r="J15" s="83">
        <v>161475.73000000001</v>
      </c>
      <c r="K15" s="76">
        <f t="shared" si="4"/>
        <v>1.1766474132056872</v>
      </c>
      <c r="L15" s="84"/>
      <c r="M15" s="85"/>
    </row>
    <row r="16" spans="1:13" ht="16.5">
      <c r="A16" s="81">
        <f t="shared" si="2"/>
        <v>42652</v>
      </c>
      <c r="B16" s="82">
        <v>7</v>
      </c>
      <c r="C16" s="82">
        <v>1</v>
      </c>
      <c r="D16" s="82">
        <v>17</v>
      </c>
      <c r="E16" s="82">
        <v>10951</v>
      </c>
      <c r="F16" s="76">
        <f t="shared" si="3"/>
        <v>15.523696466076158</v>
      </c>
      <c r="G16" s="82">
        <v>7</v>
      </c>
      <c r="H16" s="82">
        <v>1</v>
      </c>
      <c r="I16" s="82">
        <v>20</v>
      </c>
      <c r="J16" s="83">
        <v>175667.4</v>
      </c>
      <c r="K16" s="76">
        <f t="shared" si="4"/>
        <v>1.138515171283915</v>
      </c>
      <c r="L16" s="84"/>
      <c r="M16" s="85"/>
    </row>
    <row r="17" spans="1:13" ht="15.95" customHeight="1">
      <c r="A17" s="81">
        <f t="shared" si="2"/>
        <v>42653</v>
      </c>
      <c r="B17" s="82">
        <v>4</v>
      </c>
      <c r="C17" s="82">
        <v>1</v>
      </c>
      <c r="D17" s="82">
        <v>18</v>
      </c>
      <c r="E17" s="82">
        <v>11516</v>
      </c>
      <c r="F17" s="76">
        <f t="shared" si="3"/>
        <v>15.630427231677665</v>
      </c>
      <c r="G17" s="82">
        <v>5</v>
      </c>
      <c r="H17" s="82">
        <v>1</v>
      </c>
      <c r="I17" s="82">
        <v>22</v>
      </c>
      <c r="J17" s="83">
        <v>187667.63</v>
      </c>
      <c r="K17" s="76">
        <f t="shared" si="4"/>
        <v>1.172285279032937</v>
      </c>
      <c r="L17" s="84"/>
      <c r="M17" s="85"/>
    </row>
    <row r="18" spans="1:13" ht="15.95" customHeight="1">
      <c r="A18" s="81">
        <f t="shared" si="2"/>
        <v>42654</v>
      </c>
      <c r="B18" s="82">
        <v>7</v>
      </c>
      <c r="C18" s="82">
        <v>3</v>
      </c>
      <c r="D18" s="82">
        <v>22</v>
      </c>
      <c r="E18" s="82">
        <v>11837</v>
      </c>
      <c r="F18" s="76">
        <f t="shared" si="3"/>
        <v>18.585790318492862</v>
      </c>
      <c r="G18" s="82">
        <v>10</v>
      </c>
      <c r="H18" s="82">
        <v>5</v>
      </c>
      <c r="I18" s="82">
        <v>27</v>
      </c>
      <c r="J18" s="83">
        <v>195164.4</v>
      </c>
      <c r="K18" s="76">
        <f t="shared" si="4"/>
        <v>1.3834490306633793</v>
      </c>
      <c r="L18" s="84"/>
      <c r="M18" s="85"/>
    </row>
    <row r="19" spans="1:13" ht="15.95" customHeight="1">
      <c r="A19" s="81">
        <f t="shared" si="2"/>
        <v>42655</v>
      </c>
      <c r="B19" s="82">
        <v>3</v>
      </c>
      <c r="C19" s="82">
        <v>1</v>
      </c>
      <c r="D19" s="82">
        <v>23</v>
      </c>
      <c r="E19" s="82">
        <v>12064</v>
      </c>
      <c r="F19" s="76">
        <f t="shared" si="3"/>
        <v>19.064986737400531</v>
      </c>
      <c r="G19" s="82">
        <v>3</v>
      </c>
      <c r="H19" s="82">
        <v>1</v>
      </c>
      <c r="I19" s="82">
        <v>28</v>
      </c>
      <c r="J19" s="83">
        <v>199208.18</v>
      </c>
      <c r="K19" s="76">
        <f t="shared" si="4"/>
        <v>1.4055647714867934</v>
      </c>
      <c r="L19" s="84"/>
      <c r="M19" s="85"/>
    </row>
    <row r="20" spans="1:13" ht="15.95" customHeight="1">
      <c r="A20" s="81">
        <f t="shared" si="2"/>
        <v>42656</v>
      </c>
      <c r="B20" s="82">
        <v>5</v>
      </c>
      <c r="C20" s="82">
        <v>2</v>
      </c>
      <c r="D20" s="82">
        <v>26</v>
      </c>
      <c r="E20" s="82">
        <v>12303</v>
      </c>
      <c r="F20" s="76">
        <f t="shared" si="3"/>
        <v>21.133056977972849</v>
      </c>
      <c r="G20" s="82">
        <v>7</v>
      </c>
      <c r="H20" s="82">
        <v>4</v>
      </c>
      <c r="I20" s="82">
        <v>32</v>
      </c>
      <c r="J20" s="83">
        <v>203616.35</v>
      </c>
      <c r="K20" s="76">
        <f t="shared" si="4"/>
        <v>1.5715830285730983</v>
      </c>
      <c r="L20" s="84"/>
      <c r="M20" s="85"/>
    </row>
    <row r="21" spans="1:13" ht="15.95" customHeight="1">
      <c r="A21" s="81">
        <f t="shared" si="2"/>
        <v>42657</v>
      </c>
      <c r="B21" s="82">
        <v>0</v>
      </c>
      <c r="C21" s="82">
        <v>0</v>
      </c>
      <c r="D21" s="82">
        <v>26</v>
      </c>
      <c r="E21" s="82">
        <v>12618</v>
      </c>
      <c r="F21" s="76">
        <f t="shared" si="3"/>
        <v>20.60548422887938</v>
      </c>
      <c r="G21" s="82">
        <v>1</v>
      </c>
      <c r="H21" s="82">
        <v>0</v>
      </c>
      <c r="I21" s="82">
        <v>32</v>
      </c>
      <c r="J21" s="83">
        <v>209641.57</v>
      </c>
      <c r="K21" s="76">
        <f t="shared" si="4"/>
        <v>1.5264148231669892</v>
      </c>
      <c r="L21" s="84"/>
      <c r="M21" s="85"/>
    </row>
    <row r="22" spans="1:13" ht="15.95" customHeight="1">
      <c r="A22" s="81">
        <f t="shared" si="2"/>
        <v>42658</v>
      </c>
      <c r="B22" s="82"/>
      <c r="C22" s="82"/>
      <c r="D22" s="82"/>
      <c r="E22" s="82"/>
      <c r="F22" s="76">
        <f t="shared" si="3"/>
        <v>0</v>
      </c>
      <c r="G22" s="82"/>
      <c r="H22" s="82"/>
      <c r="I22" s="82"/>
      <c r="J22" s="83"/>
      <c r="K22" s="76">
        <f t="shared" si="4"/>
        <v>0</v>
      </c>
      <c r="L22" s="84"/>
      <c r="M22" s="85"/>
    </row>
    <row r="23" spans="1:13" ht="15.95" customHeight="1">
      <c r="A23" s="81">
        <f t="shared" si="2"/>
        <v>42659</v>
      </c>
      <c r="B23" s="82"/>
      <c r="C23" s="82"/>
      <c r="D23" s="82"/>
      <c r="E23" s="82"/>
      <c r="F23" s="76">
        <f t="shared" si="3"/>
        <v>0</v>
      </c>
      <c r="G23" s="82"/>
      <c r="H23" s="82"/>
      <c r="I23" s="82"/>
      <c r="J23" s="83"/>
      <c r="K23" s="76">
        <f t="shared" si="4"/>
        <v>0</v>
      </c>
      <c r="L23" s="84"/>
      <c r="M23" s="85"/>
    </row>
    <row r="24" spans="1:13" ht="15.95" customHeight="1">
      <c r="A24" s="81">
        <f t="shared" si="2"/>
        <v>42660</v>
      </c>
      <c r="B24" s="82"/>
      <c r="C24" s="82"/>
      <c r="D24" s="82"/>
      <c r="E24" s="82"/>
      <c r="F24" s="76">
        <f t="shared" si="3"/>
        <v>0</v>
      </c>
      <c r="G24" s="82"/>
      <c r="H24" s="82"/>
      <c r="I24" s="82"/>
      <c r="J24" s="83"/>
      <c r="K24" s="76">
        <f t="shared" si="4"/>
        <v>0</v>
      </c>
      <c r="L24" s="84"/>
      <c r="M24" s="85"/>
    </row>
    <row r="25" spans="1:13" ht="15.95" customHeight="1">
      <c r="A25" s="81">
        <f t="shared" si="2"/>
        <v>42661</v>
      </c>
      <c r="B25" s="82"/>
      <c r="C25" s="82"/>
      <c r="D25" s="82"/>
      <c r="E25" s="82"/>
      <c r="F25" s="76">
        <f t="shared" si="3"/>
        <v>0</v>
      </c>
      <c r="G25" s="82"/>
      <c r="H25" s="82"/>
      <c r="I25" s="82"/>
      <c r="J25" s="83"/>
      <c r="K25" s="76">
        <f t="shared" si="4"/>
        <v>0</v>
      </c>
      <c r="L25" s="84"/>
      <c r="M25" s="85"/>
    </row>
    <row r="26" spans="1:13" ht="15.95" customHeight="1">
      <c r="A26" s="81">
        <f t="shared" si="2"/>
        <v>42662</v>
      </c>
      <c r="B26" s="82"/>
      <c r="C26" s="82"/>
      <c r="D26" s="82"/>
      <c r="E26" s="82"/>
      <c r="F26" s="76">
        <f t="shared" si="3"/>
        <v>0</v>
      </c>
      <c r="G26" s="82"/>
      <c r="H26" s="82"/>
      <c r="I26" s="82"/>
      <c r="J26" s="83"/>
      <c r="K26" s="76">
        <f t="shared" si="4"/>
        <v>0</v>
      </c>
      <c r="L26" s="84"/>
      <c r="M26" s="85"/>
    </row>
    <row r="27" spans="1:13" ht="15.95" customHeight="1">
      <c r="A27" s="81">
        <f t="shared" si="2"/>
        <v>42663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42664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42665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75" customHeight="1">
      <c r="A30" s="81">
        <f t="shared" si="2"/>
        <v>42666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42667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42668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42669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42670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 t="shared" si="2"/>
        <v>42671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42672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42673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42674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39"/>
  <sheetViews>
    <sheetView showGridLines="0" workbookViewId="0">
      <pane xSplit="1" ySplit="1" topLeftCell="B2" activePane="bottomRight" state="frozen"/>
      <selection activeCell="P29" sqref="P29"/>
      <selection pane="topRight" activeCell="P29" sqref="P29"/>
      <selection pane="bottomLeft" activeCell="P29" sqref="P29"/>
      <selection pane="bottomRight" activeCell="P29" sqref="P29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105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ht="16.5">
      <c r="A2" s="74">
        <v>42185</v>
      </c>
      <c r="B2" s="75">
        <v>0</v>
      </c>
      <c r="C2" s="75">
        <v>0</v>
      </c>
      <c r="D2" s="75">
        <v>0</v>
      </c>
      <c r="E2" s="75">
        <v>0</v>
      </c>
      <c r="F2" s="76">
        <f t="shared" ref="F2:F24" si="0">IF(E2&gt;10000,D2/E2*10000,D2)</f>
        <v>0</v>
      </c>
      <c r="G2" s="77">
        <v>0</v>
      </c>
      <c r="H2" s="77">
        <v>0</v>
      </c>
      <c r="I2" s="77">
        <v>0</v>
      </c>
      <c r="J2" s="86">
        <v>0</v>
      </c>
      <c r="K2" s="76">
        <f t="shared" ref="K2:K24" si="1">IF(J2&gt;10000,I2/J2*10000,I2)</f>
        <v>0</v>
      </c>
      <c r="L2" s="79"/>
      <c r="M2" s="80"/>
    </row>
    <row r="3" spans="1:13" s="67" customFormat="1" ht="16.5">
      <c r="A3" s="74">
        <v>42216</v>
      </c>
      <c r="B3" s="75">
        <v>18</v>
      </c>
      <c r="C3" s="75">
        <v>18</v>
      </c>
      <c r="D3" s="75">
        <v>112</v>
      </c>
      <c r="E3" s="75">
        <v>117119</v>
      </c>
      <c r="F3" s="76">
        <f t="shared" si="0"/>
        <v>9.562923180696556</v>
      </c>
      <c r="G3" s="77">
        <v>18</v>
      </c>
      <c r="H3" s="77">
        <v>18</v>
      </c>
      <c r="I3" s="77">
        <v>124</v>
      </c>
      <c r="J3" s="86">
        <v>364283.62</v>
      </c>
      <c r="K3" s="76">
        <f t="shared" si="1"/>
        <v>3.4039411379517972</v>
      </c>
      <c r="L3" s="79"/>
      <c r="M3" s="80"/>
    </row>
    <row r="4" spans="1:13" ht="16.5">
      <c r="A4" s="74">
        <v>42247</v>
      </c>
      <c r="B4" s="75">
        <v>4</v>
      </c>
      <c r="C4" s="75">
        <v>4</v>
      </c>
      <c r="D4" s="75">
        <v>99</v>
      </c>
      <c r="E4" s="75">
        <v>26333</v>
      </c>
      <c r="F4" s="76">
        <f t="shared" si="0"/>
        <v>37.595412600159499</v>
      </c>
      <c r="G4" s="77">
        <v>4</v>
      </c>
      <c r="H4" s="77">
        <v>4</v>
      </c>
      <c r="I4" s="77">
        <v>136</v>
      </c>
      <c r="J4" s="86">
        <v>368629.86</v>
      </c>
      <c r="K4" s="76">
        <f t="shared" si="1"/>
        <v>3.6893375919140139</v>
      </c>
      <c r="L4" s="79"/>
      <c r="M4" s="80"/>
    </row>
    <row r="5" spans="1:13" ht="16.5">
      <c r="A5" s="74">
        <v>42277</v>
      </c>
      <c r="B5" s="75">
        <v>0</v>
      </c>
      <c r="C5" s="75">
        <v>0</v>
      </c>
      <c r="D5" s="75">
        <v>29</v>
      </c>
      <c r="E5" s="75"/>
      <c r="F5" s="76">
        <f>IF(E5&gt;10000,D5/E5*10000,D5)</f>
        <v>29</v>
      </c>
      <c r="G5" s="77">
        <v>1</v>
      </c>
      <c r="H5" s="77">
        <v>0</v>
      </c>
      <c r="I5" s="77">
        <v>38</v>
      </c>
      <c r="J5" s="86">
        <v>128542.11</v>
      </c>
      <c r="K5" s="76">
        <f>IF(J5&gt;10000,I5/J5*10000,I5)</f>
        <v>2.9562296744623224</v>
      </c>
      <c r="L5" s="79"/>
      <c r="M5" s="80"/>
    </row>
    <row r="6" spans="1:13" ht="16.5">
      <c r="A6" s="74">
        <v>42308</v>
      </c>
      <c r="B6" s="75">
        <v>1</v>
      </c>
      <c r="C6" s="75">
        <v>0</v>
      </c>
      <c r="D6" s="75">
        <v>7</v>
      </c>
      <c r="E6" s="75"/>
      <c r="F6" s="76">
        <f>IF(E6&gt;10000,D6/E6*10000,D6)</f>
        <v>7</v>
      </c>
      <c r="G6" s="77">
        <v>1</v>
      </c>
      <c r="H6" s="77">
        <v>0</v>
      </c>
      <c r="I6" s="77">
        <v>11</v>
      </c>
      <c r="J6" s="78">
        <v>94978.47</v>
      </c>
      <c r="K6" s="76">
        <f>IF(J6&gt;10000,I6/J6*10000,I6)</f>
        <v>1.1581572118396937</v>
      </c>
      <c r="L6" s="79"/>
      <c r="M6" s="80"/>
    </row>
    <row r="7" spans="1:13" ht="16.5">
      <c r="A7" s="74">
        <v>42338</v>
      </c>
      <c r="B7" s="75">
        <v>7</v>
      </c>
      <c r="C7" s="75">
        <v>2</v>
      </c>
      <c r="D7" s="75">
        <v>59</v>
      </c>
      <c r="E7" s="75">
        <v>54603</v>
      </c>
      <c r="F7" s="76">
        <v>10.805267109865758</v>
      </c>
      <c r="G7" s="77">
        <v>12</v>
      </c>
      <c r="H7" s="77">
        <v>6</v>
      </c>
      <c r="I7" s="77">
        <v>98</v>
      </c>
      <c r="J7" s="78">
        <v>890537.03</v>
      </c>
      <c r="K7" s="76">
        <v>1.1004595732532312</v>
      </c>
      <c r="L7" s="79"/>
      <c r="M7" s="80"/>
    </row>
    <row r="8" spans="1:13" ht="16.5">
      <c r="A8" s="74">
        <v>42369</v>
      </c>
      <c r="B8" s="75">
        <v>20</v>
      </c>
      <c r="C8" s="75">
        <v>9</v>
      </c>
      <c r="D8" s="75">
        <v>255</v>
      </c>
      <c r="E8" s="75">
        <v>97259</v>
      </c>
      <c r="F8" s="76">
        <f t="shared" si="0"/>
        <v>26.218653286585301</v>
      </c>
      <c r="G8" s="77">
        <v>29</v>
      </c>
      <c r="H8" s="77">
        <v>13</v>
      </c>
      <c r="I8" s="77">
        <v>410</v>
      </c>
      <c r="J8" s="78">
        <v>1851029.93</v>
      </c>
      <c r="K8" s="76">
        <f t="shared" si="1"/>
        <v>2.2149830932231334</v>
      </c>
      <c r="L8" s="79"/>
      <c r="M8" s="80"/>
    </row>
    <row r="9" spans="1:13" ht="15.95" hidden="1" customHeight="1">
      <c r="A9" s="81">
        <v>42370</v>
      </c>
      <c r="B9" s="82"/>
      <c r="C9" s="82"/>
      <c r="D9" s="82"/>
      <c r="E9" s="82"/>
      <c r="F9" s="76">
        <f t="shared" si="0"/>
        <v>0</v>
      </c>
      <c r="G9" s="82"/>
      <c r="H9" s="82"/>
      <c r="I9" s="82"/>
      <c r="J9" s="83"/>
      <c r="K9" s="76">
        <f t="shared" si="1"/>
        <v>0</v>
      </c>
      <c r="L9" s="84"/>
      <c r="M9" s="85"/>
    </row>
    <row r="10" spans="1:13" ht="15.95" customHeight="1">
      <c r="A10" s="81">
        <f>A9+1</f>
        <v>42371</v>
      </c>
      <c r="B10" s="82">
        <v>11</v>
      </c>
      <c r="C10" s="82">
        <v>6</v>
      </c>
      <c r="D10" s="82">
        <v>16</v>
      </c>
      <c r="E10" s="82"/>
      <c r="F10" s="76">
        <f t="shared" si="0"/>
        <v>16</v>
      </c>
      <c r="G10" s="82">
        <v>13</v>
      </c>
      <c r="H10" s="82">
        <v>9</v>
      </c>
      <c r="I10" s="82">
        <v>21</v>
      </c>
      <c r="J10" s="83">
        <v>140054.12</v>
      </c>
      <c r="K10" s="76">
        <f t="shared" si="1"/>
        <v>1.4994203669267283</v>
      </c>
      <c r="L10" s="84"/>
      <c r="M10" s="85"/>
    </row>
    <row r="11" spans="1:13" ht="15.95" hidden="1" customHeight="1">
      <c r="A11" s="81">
        <f t="shared" ref="A11:A39" si="2">A10+1</f>
        <v>42372</v>
      </c>
      <c r="B11" s="82"/>
      <c r="C11" s="82"/>
      <c r="D11" s="82"/>
      <c r="E11" s="82"/>
      <c r="F11" s="76">
        <f t="shared" si="0"/>
        <v>0</v>
      </c>
      <c r="G11" s="82"/>
      <c r="H11" s="82"/>
      <c r="I11" s="82"/>
      <c r="J11" s="83"/>
      <c r="K11" s="76">
        <f t="shared" si="1"/>
        <v>0</v>
      </c>
      <c r="L11" s="84"/>
      <c r="M11" s="85"/>
    </row>
    <row r="12" spans="1:13" ht="15.95" hidden="1" customHeight="1">
      <c r="A12" s="81">
        <f t="shared" si="2"/>
        <v>42373</v>
      </c>
      <c r="B12" s="82"/>
      <c r="C12" s="82"/>
      <c r="D12" s="82"/>
      <c r="E12" s="82"/>
      <c r="F12" s="76">
        <f t="shared" si="0"/>
        <v>0</v>
      </c>
      <c r="G12" s="82"/>
      <c r="H12" s="82"/>
      <c r="I12" s="82"/>
      <c r="J12" s="83"/>
      <c r="K12" s="76">
        <f t="shared" si="1"/>
        <v>0</v>
      </c>
      <c r="L12" s="84"/>
      <c r="M12" s="85"/>
    </row>
    <row r="13" spans="1:13" ht="15.95" hidden="1" customHeight="1">
      <c r="A13" s="81">
        <f t="shared" si="2"/>
        <v>42374</v>
      </c>
      <c r="B13" s="82"/>
      <c r="C13" s="82"/>
      <c r="D13" s="82"/>
      <c r="E13" s="82"/>
      <c r="F13" s="76">
        <f t="shared" si="0"/>
        <v>0</v>
      </c>
      <c r="G13" s="82"/>
      <c r="H13" s="82"/>
      <c r="I13" s="82"/>
      <c r="J13" s="83"/>
      <c r="K13" s="76">
        <f t="shared" si="1"/>
        <v>0</v>
      </c>
      <c r="L13" s="84"/>
      <c r="M13" s="85"/>
    </row>
    <row r="14" spans="1:13" ht="15.95" customHeight="1">
      <c r="A14" s="81">
        <f t="shared" si="2"/>
        <v>42375</v>
      </c>
      <c r="B14" s="82">
        <v>33</v>
      </c>
      <c r="C14" s="82">
        <v>8</v>
      </c>
      <c r="D14" s="82">
        <v>58</v>
      </c>
      <c r="E14" s="82">
        <v>17458</v>
      </c>
      <c r="F14" s="76">
        <f t="shared" si="0"/>
        <v>33.222591362126245</v>
      </c>
      <c r="G14" s="82">
        <v>48</v>
      </c>
      <c r="H14" s="82">
        <v>13</v>
      </c>
      <c r="I14" s="82">
        <v>78</v>
      </c>
      <c r="J14" s="83">
        <v>377788.35</v>
      </c>
      <c r="K14" s="76">
        <f t="shared" si="1"/>
        <v>2.0646481025685417</v>
      </c>
      <c r="L14" s="84"/>
      <c r="M14" s="85"/>
    </row>
    <row r="15" spans="1:13" ht="15.95" hidden="1" customHeight="1">
      <c r="A15" s="81">
        <f t="shared" si="2"/>
        <v>42376</v>
      </c>
      <c r="B15" s="82"/>
      <c r="C15" s="82"/>
      <c r="D15" s="82"/>
      <c r="E15" s="82"/>
      <c r="F15" s="76">
        <f t="shared" si="0"/>
        <v>0</v>
      </c>
      <c r="G15" s="82"/>
      <c r="H15" s="82"/>
      <c r="I15" s="82"/>
      <c r="J15" s="83"/>
      <c r="K15" s="76">
        <f t="shared" si="1"/>
        <v>0</v>
      </c>
      <c r="L15" s="84"/>
      <c r="M15" s="85"/>
    </row>
    <row r="16" spans="1:13" ht="15.95" hidden="1" customHeight="1">
      <c r="A16" s="81">
        <f t="shared" si="2"/>
        <v>42377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1"/>
        <v>0</v>
      </c>
      <c r="L16" s="84"/>
      <c r="M16" s="85"/>
    </row>
    <row r="17" spans="1:13" ht="15.95" hidden="1" customHeight="1">
      <c r="A17" s="81">
        <f t="shared" si="2"/>
        <v>42378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1"/>
        <v>0</v>
      </c>
      <c r="L17" s="84"/>
      <c r="M17" s="85"/>
    </row>
    <row r="18" spans="1:13" ht="15.95" hidden="1" customHeight="1">
      <c r="A18" s="81">
        <f t="shared" si="2"/>
        <v>42379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1"/>
        <v>0</v>
      </c>
      <c r="L18" s="84"/>
      <c r="M18" s="85"/>
    </row>
    <row r="19" spans="1:13" ht="15.95" customHeight="1">
      <c r="A19" s="81">
        <f t="shared" si="2"/>
        <v>42380</v>
      </c>
      <c r="B19" s="82">
        <v>13</v>
      </c>
      <c r="C19" s="82">
        <v>4</v>
      </c>
      <c r="D19" s="82">
        <v>87</v>
      </c>
      <c r="E19" s="82">
        <v>24729</v>
      </c>
      <c r="F19" s="76">
        <f t="shared" si="0"/>
        <v>35.181366007521532</v>
      </c>
      <c r="G19" s="82">
        <v>16</v>
      </c>
      <c r="H19" s="82">
        <v>6</v>
      </c>
      <c r="I19" s="82">
        <v>112</v>
      </c>
      <c r="J19" s="83">
        <v>520524.15</v>
      </c>
      <c r="K19" s="76">
        <f t="shared" si="1"/>
        <v>2.151677304501626</v>
      </c>
      <c r="L19" s="84"/>
      <c r="M19" s="85"/>
    </row>
    <row r="20" spans="1:13" ht="15.95" hidden="1" customHeight="1">
      <c r="A20" s="81">
        <f t="shared" si="2"/>
        <v>42381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1"/>
        <v>0</v>
      </c>
      <c r="L20" s="84"/>
      <c r="M20" s="85"/>
    </row>
    <row r="21" spans="1:13" ht="15.95" hidden="1" customHeight="1">
      <c r="A21" s="81">
        <f t="shared" si="2"/>
        <v>42382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1"/>
        <v>0</v>
      </c>
      <c r="L21" s="84"/>
      <c r="M21" s="85"/>
    </row>
    <row r="22" spans="1:13" ht="15.95" hidden="1" customHeight="1">
      <c r="A22" s="81">
        <f t="shared" si="2"/>
        <v>42383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83"/>
      <c r="K22" s="76">
        <f t="shared" si="1"/>
        <v>0</v>
      </c>
      <c r="L22" s="84"/>
      <c r="M22" s="85"/>
    </row>
    <row r="23" spans="1:13" ht="15.95" hidden="1" customHeight="1">
      <c r="A23" s="81">
        <f t="shared" si="2"/>
        <v>42384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1"/>
        <v>0</v>
      </c>
      <c r="L23" s="84"/>
      <c r="M23" s="85"/>
    </row>
    <row r="24" spans="1:13" ht="15.95" hidden="1" customHeight="1">
      <c r="A24" s="81">
        <f t="shared" si="2"/>
        <v>42385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1"/>
        <v>0</v>
      </c>
      <c r="L24" s="84"/>
      <c r="M24" s="85"/>
    </row>
    <row r="25" spans="1:13" ht="15.95" hidden="1" customHeight="1">
      <c r="A25" s="81">
        <f t="shared" si="2"/>
        <v>42386</v>
      </c>
      <c r="B25" s="82"/>
      <c r="C25" s="82"/>
      <c r="D25" s="82"/>
      <c r="E25" s="82"/>
      <c r="F25" s="76">
        <f t="shared" ref="F25:F39" si="3">IF(E25&gt;10000,D25/E25*10000,D25)</f>
        <v>0</v>
      </c>
      <c r="G25" s="82"/>
      <c r="H25" s="82"/>
      <c r="I25" s="82"/>
      <c r="J25" s="83"/>
      <c r="K25" s="76">
        <f t="shared" ref="K25:K39" si="4">IF(J25&gt;10000,I25/J25*10000,I25)</f>
        <v>0</v>
      </c>
      <c r="L25" s="84"/>
      <c r="M25" s="85"/>
    </row>
    <row r="26" spans="1:13" ht="15.95" customHeight="1">
      <c r="A26" s="81">
        <f t="shared" si="2"/>
        <v>42387</v>
      </c>
      <c r="B26" s="82">
        <v>14</v>
      </c>
      <c r="C26" s="82">
        <v>2</v>
      </c>
      <c r="D26" s="82">
        <v>135</v>
      </c>
      <c r="E26" s="82">
        <v>36272</v>
      </c>
      <c r="F26" s="76">
        <f t="shared" si="3"/>
        <v>37.218791354212613</v>
      </c>
      <c r="G26" s="82">
        <v>16</v>
      </c>
      <c r="H26" s="82">
        <v>3</v>
      </c>
      <c r="I26" s="82">
        <v>169</v>
      </c>
      <c r="J26" s="83">
        <v>754554.34</v>
      </c>
      <c r="K26" s="76">
        <f t="shared" si="4"/>
        <v>2.2397326612686372</v>
      </c>
      <c r="L26" s="84"/>
      <c r="M26" s="85"/>
    </row>
    <row r="27" spans="1:13" ht="15.95" hidden="1" customHeight="1">
      <c r="A27" s="81">
        <f t="shared" si="2"/>
        <v>42388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42389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42390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42391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42392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42393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42394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42395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>A34+1</f>
        <v>42396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42397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42398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42399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39" spans="1:13" ht="15.95" customHeight="1">
      <c r="A39" s="81">
        <f t="shared" si="2"/>
        <v>42400</v>
      </c>
      <c r="B39" s="82"/>
      <c r="C39" s="82"/>
      <c r="D39" s="82"/>
      <c r="E39" s="82"/>
      <c r="F39" s="76">
        <f t="shared" si="3"/>
        <v>0</v>
      </c>
      <c r="G39" s="82"/>
      <c r="H39" s="82"/>
      <c r="I39" s="82"/>
      <c r="J39" s="83"/>
      <c r="K39" s="76">
        <f t="shared" si="4"/>
        <v>0</v>
      </c>
      <c r="L39" s="84"/>
      <c r="M39" s="85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:M14"/>
  <sheetViews>
    <sheetView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7" sqref="A7"/>
    </sheetView>
  </sheetViews>
  <sheetFormatPr defaultRowHeight="12.75"/>
  <cols>
    <col min="1" max="1" width="9.140625" style="6"/>
    <col min="2" max="2" width="19.7109375" style="22" customWidth="1"/>
    <col min="3" max="3" width="14.28515625" style="22" customWidth="1"/>
    <col min="4" max="4" width="15.7109375" style="22" customWidth="1"/>
    <col min="5" max="5" width="18.140625" style="22" customWidth="1"/>
    <col min="6" max="6" width="14" style="22" customWidth="1"/>
    <col min="7" max="7" width="15.85546875" style="22" customWidth="1"/>
    <col min="8" max="8" width="13.85546875" style="22" customWidth="1"/>
    <col min="9" max="9" width="15.28515625" style="22" customWidth="1"/>
    <col min="10" max="10" width="15.140625" style="23" customWidth="1"/>
    <col min="11" max="11" width="15.85546875" style="22" customWidth="1"/>
    <col min="12" max="12" width="14.85546875" style="21" hidden="1" customWidth="1"/>
    <col min="13" max="13" width="9.140625" style="22"/>
    <col min="14" max="16384" width="9.140625" style="6"/>
  </cols>
  <sheetData>
    <row r="1" spans="1:13" ht="42" customHeight="1">
      <c r="A1" s="5" t="s">
        <v>0</v>
      </c>
      <c r="B1" s="5" t="s">
        <v>105</v>
      </c>
      <c r="C1" s="5" t="s">
        <v>60</v>
      </c>
      <c r="D1" s="5" t="s">
        <v>62</v>
      </c>
      <c r="E1" s="7" t="s">
        <v>117</v>
      </c>
      <c r="F1" s="12" t="s">
        <v>61</v>
      </c>
      <c r="G1" s="11" t="s">
        <v>103</v>
      </c>
      <c r="H1" s="11" t="s">
        <v>104</v>
      </c>
      <c r="I1" s="11" t="s">
        <v>63</v>
      </c>
      <c r="J1" s="14" t="s">
        <v>118</v>
      </c>
      <c r="K1" s="12" t="s">
        <v>64</v>
      </c>
      <c r="L1" s="20" t="s">
        <v>99</v>
      </c>
      <c r="M1" s="5" t="s">
        <v>59</v>
      </c>
    </row>
    <row r="2" spans="1:13" ht="13.5" customHeight="1">
      <c r="A2" s="30">
        <v>42185</v>
      </c>
      <c r="B2" s="31">
        <v>19</v>
      </c>
      <c r="C2" s="31">
        <v>19</v>
      </c>
      <c r="D2" s="31">
        <v>207</v>
      </c>
      <c r="E2" s="31">
        <v>62307</v>
      </c>
      <c r="F2" s="35">
        <f>IF(E2&gt;10000,D2/E2*10000,D2)</f>
        <v>33.222591362126245</v>
      </c>
      <c r="G2" s="32">
        <v>22</v>
      </c>
      <c r="H2" s="33">
        <v>22</v>
      </c>
      <c r="I2" s="33">
        <v>232</v>
      </c>
      <c r="J2" s="34">
        <v>523304.54</v>
      </c>
      <c r="K2" s="35">
        <f>IF(J2&gt;10000,I2/J2*10000,I2)</f>
        <v>4.4333649388938996</v>
      </c>
      <c r="L2" s="36"/>
      <c r="M2" s="31"/>
    </row>
    <row r="3" spans="1:13" s="19" customFormat="1">
      <c r="A3" s="54">
        <v>42216</v>
      </c>
      <c r="B3" s="49">
        <v>2</v>
      </c>
      <c r="C3" s="49">
        <v>1</v>
      </c>
      <c r="D3" s="49">
        <v>227</v>
      </c>
      <c r="E3" s="49">
        <v>87481</v>
      </c>
      <c r="F3" s="50">
        <f>IF(E3&gt;10000,D3/E3*10000,D3)</f>
        <v>25.948491672477452</v>
      </c>
      <c r="G3" s="51">
        <v>4</v>
      </c>
      <c r="H3" s="51">
        <v>2</v>
      </c>
      <c r="I3" s="51">
        <v>276</v>
      </c>
      <c r="J3" s="52">
        <v>505925.42</v>
      </c>
      <c r="K3" s="50">
        <f>IF(J3&gt;10000,I3/J3*10000,I3)</f>
        <v>5.4553495256277102</v>
      </c>
      <c r="L3" s="53"/>
      <c r="M3" s="49"/>
    </row>
    <row r="4" spans="1:13" s="47" customFormat="1">
      <c r="A4" s="56">
        <v>42247</v>
      </c>
      <c r="B4" s="37">
        <v>25</v>
      </c>
      <c r="C4" s="37">
        <v>25</v>
      </c>
      <c r="D4" s="37">
        <v>244</v>
      </c>
      <c r="E4" s="37">
        <v>60104</v>
      </c>
      <c r="F4" s="40">
        <f>IF(E4&gt;10000,D4/E4*10000,D4)</f>
        <v>40.596299747105022</v>
      </c>
      <c r="G4" s="38">
        <v>28</v>
      </c>
      <c r="H4" s="38">
        <v>28</v>
      </c>
      <c r="I4" s="38">
        <v>287</v>
      </c>
      <c r="J4" s="39">
        <v>647221.73</v>
      </c>
      <c r="K4" s="40">
        <f>IF(J4&gt;10000,I4/J4*10000,I4)</f>
        <v>4.4343381363292611</v>
      </c>
      <c r="L4" s="41"/>
      <c r="M4" s="37"/>
    </row>
    <row r="5" spans="1:13">
      <c r="A5" s="18">
        <v>42248</v>
      </c>
      <c r="B5" s="22">
        <v>17</v>
      </c>
      <c r="C5" s="22">
        <v>17</v>
      </c>
      <c r="D5" s="22">
        <v>17</v>
      </c>
      <c r="E5" s="22">
        <v>17</v>
      </c>
      <c r="F5" s="25">
        <f>IF(E5&gt;10000,D5/E5*10000,D5)</f>
        <v>17</v>
      </c>
      <c r="G5" s="22">
        <v>20</v>
      </c>
      <c r="H5" s="22">
        <v>20</v>
      </c>
      <c r="I5" s="22">
        <v>20</v>
      </c>
      <c r="J5" s="23">
        <v>20</v>
      </c>
      <c r="K5" s="25">
        <f>IF(J5&gt;10000,I5/J5*10000,I5)</f>
        <v>20</v>
      </c>
    </row>
    <row r="6" spans="1:13">
      <c r="A6" s="18">
        <v>42252</v>
      </c>
      <c r="F6" s="25"/>
      <c r="K6" s="26"/>
    </row>
    <row r="7" spans="1:13">
      <c r="A7" s="18"/>
      <c r="E7" s="28"/>
      <c r="F7" s="25"/>
      <c r="J7" s="29"/>
      <c r="K7" s="26"/>
    </row>
    <row r="8" spans="1:13">
      <c r="A8" s="18"/>
      <c r="E8" s="28"/>
      <c r="F8" s="25"/>
      <c r="J8" s="29"/>
      <c r="K8" s="26"/>
    </row>
    <row r="9" spans="1:13">
      <c r="A9" s="18"/>
      <c r="E9" s="28"/>
      <c r="F9" s="25"/>
      <c r="J9" s="29"/>
      <c r="K9" s="26"/>
    </row>
    <row r="10" spans="1:13">
      <c r="A10" s="18"/>
      <c r="E10" s="28"/>
      <c r="F10" s="25"/>
      <c r="K10" s="26"/>
    </row>
    <row r="11" spans="1:13">
      <c r="A11" s="18"/>
      <c r="F11" s="25"/>
      <c r="J11" s="29"/>
      <c r="K11" s="26"/>
    </row>
    <row r="12" spans="1:13">
      <c r="A12" s="18"/>
      <c r="F12" s="25"/>
      <c r="K12" s="26"/>
    </row>
    <row r="13" spans="1:13">
      <c r="A13" s="18"/>
      <c r="F13" s="25"/>
      <c r="K13" s="26"/>
    </row>
    <row r="14" spans="1:13">
      <c r="A14" s="18"/>
      <c r="F14" s="25"/>
      <c r="K14" s="26"/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39"/>
  <sheetViews>
    <sheetView showGridLines="0" workbookViewId="0">
      <pane ySplit="1" topLeftCell="A2" activePane="bottomLeft" state="frozen"/>
      <selection activeCell="P29" sqref="P29"/>
      <selection pane="bottomLeft" activeCell="P29" sqref="P29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105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ht="16.5">
      <c r="A2" s="74">
        <v>42185</v>
      </c>
      <c r="B2" s="75">
        <v>17</v>
      </c>
      <c r="C2" s="75">
        <v>17</v>
      </c>
      <c r="D2" s="75">
        <v>130</v>
      </c>
      <c r="E2" s="75">
        <v>66101</v>
      </c>
      <c r="F2" s="76">
        <f t="shared" ref="F2:F24" si="0">IF(E2&gt;10000,D2/E2*10000,D2)</f>
        <v>19.666873420976991</v>
      </c>
      <c r="G2" s="77">
        <v>18</v>
      </c>
      <c r="H2" s="77">
        <v>18</v>
      </c>
      <c r="I2" s="77">
        <v>143</v>
      </c>
      <c r="J2" s="78">
        <v>331116.82</v>
      </c>
      <c r="K2" s="76">
        <f t="shared" ref="K2:K24" si="1">IF(J2&gt;10000,I2/J2*10000,I2)</f>
        <v>4.3187174846629652</v>
      </c>
      <c r="L2" s="79"/>
      <c r="M2" s="80"/>
    </row>
    <row r="3" spans="1:13" s="67" customFormat="1" ht="16.5">
      <c r="A3" s="74">
        <v>42216</v>
      </c>
      <c r="B3" s="75">
        <v>6</v>
      </c>
      <c r="C3" s="75">
        <v>6</v>
      </c>
      <c r="D3" s="75">
        <v>290</v>
      </c>
      <c r="E3" s="75">
        <v>134093</v>
      </c>
      <c r="F3" s="76">
        <f t="shared" si="0"/>
        <v>21.626781412900002</v>
      </c>
      <c r="G3" s="77">
        <v>6</v>
      </c>
      <c r="H3" s="77">
        <v>6</v>
      </c>
      <c r="I3" s="77">
        <v>333</v>
      </c>
      <c r="J3" s="78">
        <v>576139.24</v>
      </c>
      <c r="K3" s="76">
        <f t="shared" si="1"/>
        <v>5.7798528008611258</v>
      </c>
      <c r="L3" s="79"/>
      <c r="M3" s="80"/>
    </row>
    <row r="4" spans="1:13" ht="16.5">
      <c r="A4" s="74">
        <v>42247</v>
      </c>
      <c r="B4" s="75">
        <v>3</v>
      </c>
      <c r="C4" s="75">
        <v>3</v>
      </c>
      <c r="D4" s="75">
        <v>66</v>
      </c>
      <c r="E4" s="75">
        <v>66</v>
      </c>
      <c r="F4" s="76">
        <f t="shared" si="0"/>
        <v>66</v>
      </c>
      <c r="G4" s="77">
        <v>4</v>
      </c>
      <c r="H4" s="77">
        <v>4</v>
      </c>
      <c r="I4" s="77">
        <v>84</v>
      </c>
      <c r="J4" s="78">
        <v>115703.53</v>
      </c>
      <c r="K4" s="76">
        <f t="shared" si="1"/>
        <v>7.2599340746129348</v>
      </c>
      <c r="L4" s="79"/>
      <c r="M4" s="80"/>
    </row>
    <row r="5" spans="1:13" ht="16.5">
      <c r="A5" s="74">
        <v>42277</v>
      </c>
      <c r="B5" s="75">
        <v>1</v>
      </c>
      <c r="C5" s="75">
        <v>1</v>
      </c>
      <c r="D5" s="75">
        <v>46</v>
      </c>
      <c r="E5" s="75">
        <v>12369</v>
      </c>
      <c r="F5" s="76">
        <f>IF(E5&gt;10000,D5/E5*10000,D5)</f>
        <v>37.189748564960787</v>
      </c>
      <c r="G5" s="77">
        <v>1</v>
      </c>
      <c r="H5" s="77">
        <v>1</v>
      </c>
      <c r="I5" s="77">
        <v>51</v>
      </c>
      <c r="J5" s="78">
        <v>203149.03</v>
      </c>
      <c r="K5" s="76">
        <f>IF(J5&gt;10000,I5/J5*10000,I5)</f>
        <v>2.5104722380412055</v>
      </c>
      <c r="L5" s="79"/>
      <c r="M5" s="80"/>
    </row>
    <row r="6" spans="1:13" ht="16.5">
      <c r="A6" s="74">
        <v>42308</v>
      </c>
      <c r="B6" s="75">
        <v>0</v>
      </c>
      <c r="C6" s="75">
        <v>0</v>
      </c>
      <c r="D6" s="75">
        <v>9</v>
      </c>
      <c r="E6" s="75"/>
      <c r="F6" s="76">
        <f>IF(E6&gt;10000,D6/E6*10000,D6)</f>
        <v>9</v>
      </c>
      <c r="G6" s="77">
        <v>0</v>
      </c>
      <c r="H6" s="77">
        <v>0</v>
      </c>
      <c r="I6" s="77">
        <v>9</v>
      </c>
      <c r="J6" s="78">
        <v>39913.040000000001</v>
      </c>
      <c r="K6" s="76">
        <f>IF(J6&gt;10000,I6/J6*10000,I6)</f>
        <v>2.2549021572899481</v>
      </c>
      <c r="L6" s="79"/>
      <c r="M6" s="80"/>
    </row>
    <row r="7" spans="1:13" ht="16.5">
      <c r="A7" s="74">
        <v>42338</v>
      </c>
      <c r="B7" s="75">
        <v>1</v>
      </c>
      <c r="C7" s="75">
        <v>0</v>
      </c>
      <c r="D7" s="75">
        <v>14</v>
      </c>
      <c r="E7" s="75">
        <v>14609</v>
      </c>
      <c r="F7" s="76">
        <v>9.5831336847149018</v>
      </c>
      <c r="G7" s="77">
        <v>1</v>
      </c>
      <c r="H7" s="77">
        <v>0</v>
      </c>
      <c r="I7" s="77">
        <v>23</v>
      </c>
      <c r="J7" s="78">
        <v>245854.29</v>
      </c>
      <c r="K7" s="76">
        <v>0.93551347019407305</v>
      </c>
      <c r="L7" s="79"/>
      <c r="M7" s="80"/>
    </row>
    <row r="8" spans="1:13" ht="16.5">
      <c r="A8" s="74">
        <v>42369</v>
      </c>
      <c r="B8" s="75">
        <v>9</v>
      </c>
      <c r="C8" s="75">
        <v>5</v>
      </c>
      <c r="D8" s="75">
        <v>213</v>
      </c>
      <c r="E8" s="75">
        <v>49039</v>
      </c>
      <c r="F8" s="76">
        <f t="shared" si="0"/>
        <v>43.434817186321091</v>
      </c>
      <c r="G8" s="77">
        <v>12</v>
      </c>
      <c r="H8" s="77">
        <v>8</v>
      </c>
      <c r="I8" s="77">
        <v>258</v>
      </c>
      <c r="J8" s="78">
        <v>988842.32</v>
      </c>
      <c r="K8" s="76">
        <f t="shared" si="1"/>
        <v>2.6091116326817407</v>
      </c>
      <c r="L8" s="79"/>
      <c r="M8" s="80"/>
    </row>
    <row r="9" spans="1:13" ht="15.95" hidden="1" customHeight="1">
      <c r="A9" s="81">
        <v>42370</v>
      </c>
      <c r="B9" s="82"/>
      <c r="C9" s="82"/>
      <c r="D9" s="82"/>
      <c r="E9" s="82"/>
      <c r="F9" s="76">
        <f t="shared" si="0"/>
        <v>0</v>
      </c>
      <c r="G9" s="82"/>
      <c r="H9" s="82"/>
      <c r="I9" s="82"/>
      <c r="J9" s="83"/>
      <c r="K9" s="76">
        <f t="shared" si="1"/>
        <v>0</v>
      </c>
      <c r="L9" s="84"/>
      <c r="M9" s="85"/>
    </row>
    <row r="10" spans="1:13" ht="15.95" customHeight="1">
      <c r="A10" s="81">
        <f>A9+1</f>
        <v>42371</v>
      </c>
      <c r="B10" s="82">
        <v>6</v>
      </c>
      <c r="C10" s="82">
        <v>1</v>
      </c>
      <c r="D10" s="82">
        <v>4</v>
      </c>
      <c r="E10" s="82"/>
      <c r="F10" s="76">
        <f t="shared" si="0"/>
        <v>4</v>
      </c>
      <c r="G10" s="82">
        <v>9</v>
      </c>
      <c r="H10" s="82">
        <v>4</v>
      </c>
      <c r="I10" s="82">
        <v>7</v>
      </c>
      <c r="J10" s="83">
        <v>13404.47</v>
      </c>
      <c r="K10" s="76">
        <f t="shared" si="1"/>
        <v>5.2221385851137718</v>
      </c>
      <c r="L10" s="84"/>
      <c r="M10" s="85"/>
    </row>
    <row r="11" spans="1:13" ht="15.95" hidden="1" customHeight="1">
      <c r="A11" s="81">
        <f t="shared" ref="A11:A39" si="2">A10+1</f>
        <v>42372</v>
      </c>
      <c r="B11" s="82"/>
      <c r="C11" s="82"/>
      <c r="D11" s="82"/>
      <c r="E11" s="82"/>
      <c r="F11" s="76">
        <f t="shared" si="0"/>
        <v>0</v>
      </c>
      <c r="G11" s="82"/>
      <c r="H11" s="82"/>
      <c r="I11" s="82"/>
      <c r="J11" s="83"/>
      <c r="K11" s="76">
        <f t="shared" si="1"/>
        <v>0</v>
      </c>
      <c r="L11" s="84"/>
      <c r="M11" s="85"/>
    </row>
    <row r="12" spans="1:13" ht="15.95" hidden="1" customHeight="1">
      <c r="A12" s="81">
        <f t="shared" si="2"/>
        <v>42373</v>
      </c>
      <c r="B12" s="82"/>
      <c r="C12" s="82"/>
      <c r="D12" s="82"/>
      <c r="E12" s="82"/>
      <c r="F12" s="76">
        <f t="shared" si="0"/>
        <v>0</v>
      </c>
      <c r="G12" s="82"/>
      <c r="H12" s="82"/>
      <c r="I12" s="82"/>
      <c r="J12" s="83"/>
      <c r="K12" s="76">
        <f t="shared" si="1"/>
        <v>0</v>
      </c>
      <c r="L12" s="84"/>
      <c r="M12" s="85"/>
    </row>
    <row r="13" spans="1:13" ht="15.95" hidden="1" customHeight="1">
      <c r="A13" s="81">
        <f t="shared" si="2"/>
        <v>42374</v>
      </c>
      <c r="B13" s="82"/>
      <c r="C13" s="82"/>
      <c r="D13" s="82"/>
      <c r="E13" s="82"/>
      <c r="F13" s="76">
        <f t="shared" si="0"/>
        <v>0</v>
      </c>
      <c r="G13" s="82"/>
      <c r="H13" s="82"/>
      <c r="I13" s="82"/>
      <c r="J13" s="83"/>
      <c r="K13" s="76">
        <f t="shared" si="1"/>
        <v>0</v>
      </c>
      <c r="L13" s="84"/>
      <c r="M13" s="85"/>
    </row>
    <row r="14" spans="1:13" ht="15.95" customHeight="1">
      <c r="A14" s="81">
        <f t="shared" si="2"/>
        <v>42375</v>
      </c>
      <c r="B14" s="82">
        <v>17</v>
      </c>
      <c r="C14" s="82">
        <v>8</v>
      </c>
      <c r="D14" s="82">
        <v>26</v>
      </c>
      <c r="E14" s="82"/>
      <c r="F14" s="76">
        <f t="shared" si="0"/>
        <v>26</v>
      </c>
      <c r="G14" s="82">
        <v>32</v>
      </c>
      <c r="H14" s="82">
        <v>14</v>
      </c>
      <c r="I14" s="82">
        <v>51</v>
      </c>
      <c r="J14" s="83">
        <v>105146.98</v>
      </c>
      <c r="K14" s="76">
        <f t="shared" si="1"/>
        <v>4.8503532864186871</v>
      </c>
      <c r="L14" s="84"/>
      <c r="M14" s="85"/>
    </row>
    <row r="15" spans="1:13" ht="15.95" hidden="1" customHeight="1">
      <c r="A15" s="81">
        <f t="shared" si="2"/>
        <v>42376</v>
      </c>
      <c r="B15" s="82"/>
      <c r="C15" s="82"/>
      <c r="D15" s="82"/>
      <c r="E15" s="82"/>
      <c r="F15" s="76">
        <f t="shared" si="0"/>
        <v>0</v>
      </c>
      <c r="G15" s="82"/>
      <c r="H15" s="82"/>
      <c r="I15" s="82"/>
      <c r="J15" s="83"/>
      <c r="K15" s="76">
        <f t="shared" si="1"/>
        <v>0</v>
      </c>
      <c r="L15" s="84"/>
      <c r="M15" s="85"/>
    </row>
    <row r="16" spans="1:13" ht="15.95" hidden="1" customHeight="1">
      <c r="A16" s="81">
        <f t="shared" si="2"/>
        <v>42377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1"/>
        <v>0</v>
      </c>
      <c r="L16" s="84"/>
      <c r="M16" s="85"/>
    </row>
    <row r="17" spans="1:13" ht="15.95" hidden="1" customHeight="1">
      <c r="A17" s="81">
        <f t="shared" si="2"/>
        <v>42378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1"/>
        <v>0</v>
      </c>
      <c r="L17" s="84"/>
      <c r="M17" s="85"/>
    </row>
    <row r="18" spans="1:13" ht="15.95" hidden="1" customHeight="1">
      <c r="A18" s="81">
        <f t="shared" si="2"/>
        <v>42379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1"/>
        <v>0</v>
      </c>
      <c r="L18" s="84"/>
      <c r="M18" s="85"/>
    </row>
    <row r="19" spans="1:13" ht="15.95" customHeight="1">
      <c r="A19" s="81">
        <f t="shared" si="2"/>
        <v>42380</v>
      </c>
      <c r="B19" s="82">
        <v>33</v>
      </c>
      <c r="C19" s="82">
        <v>13</v>
      </c>
      <c r="D19" s="82">
        <v>78</v>
      </c>
      <c r="E19" s="82">
        <v>24988</v>
      </c>
      <c r="F19" s="76">
        <f t="shared" si="0"/>
        <v>31.214983191932127</v>
      </c>
      <c r="G19" s="82">
        <v>37</v>
      </c>
      <c r="H19" s="82">
        <v>14</v>
      </c>
      <c r="I19" s="82">
        <v>124</v>
      </c>
      <c r="J19" s="83">
        <v>521548.86</v>
      </c>
      <c r="K19" s="76">
        <f t="shared" si="1"/>
        <v>2.3775337175504516</v>
      </c>
      <c r="L19" s="84"/>
      <c r="M19" s="85"/>
    </row>
    <row r="20" spans="1:13" ht="15.95" hidden="1" customHeight="1">
      <c r="A20" s="81">
        <f t="shared" si="2"/>
        <v>42381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1"/>
        <v>0</v>
      </c>
      <c r="L20" s="84"/>
      <c r="M20" s="85"/>
    </row>
    <row r="21" spans="1:13" ht="15.95" hidden="1" customHeight="1">
      <c r="A21" s="81">
        <f t="shared" si="2"/>
        <v>42382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1"/>
        <v>0</v>
      </c>
      <c r="L21" s="84"/>
      <c r="M21" s="85"/>
    </row>
    <row r="22" spans="1:13" ht="15.95" hidden="1" customHeight="1">
      <c r="A22" s="81">
        <f t="shared" si="2"/>
        <v>42383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83"/>
      <c r="K22" s="76">
        <f t="shared" si="1"/>
        <v>0</v>
      </c>
      <c r="L22" s="84"/>
      <c r="M22" s="85"/>
    </row>
    <row r="23" spans="1:13" ht="15.95" hidden="1" customHeight="1">
      <c r="A23" s="81">
        <f t="shared" si="2"/>
        <v>42384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1"/>
        <v>0</v>
      </c>
      <c r="L23" s="84"/>
      <c r="M23" s="85"/>
    </row>
    <row r="24" spans="1:13" ht="15.95" hidden="1" customHeight="1">
      <c r="A24" s="81">
        <f t="shared" si="2"/>
        <v>42385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1"/>
        <v>0</v>
      </c>
      <c r="L24" s="84"/>
      <c r="M24" s="85"/>
    </row>
    <row r="25" spans="1:13" ht="15.95" hidden="1" customHeight="1">
      <c r="A25" s="81">
        <f t="shared" si="2"/>
        <v>42386</v>
      </c>
      <c r="B25" s="82"/>
      <c r="C25" s="82"/>
      <c r="D25" s="82"/>
      <c r="E25" s="82"/>
      <c r="F25" s="76">
        <f t="shared" ref="F25:F39" si="3">IF(E25&gt;10000,D25/E25*10000,D25)</f>
        <v>0</v>
      </c>
      <c r="G25" s="82"/>
      <c r="H25" s="82"/>
      <c r="I25" s="82"/>
      <c r="J25" s="83"/>
      <c r="K25" s="76">
        <f t="shared" ref="K25:K39" si="4">IF(J25&gt;10000,I25/J25*10000,I25)</f>
        <v>0</v>
      </c>
      <c r="L25" s="84"/>
      <c r="M25" s="85"/>
    </row>
    <row r="26" spans="1:13" ht="15.95" customHeight="1">
      <c r="A26" s="81">
        <f t="shared" si="2"/>
        <v>42387</v>
      </c>
      <c r="B26" s="82">
        <v>45</v>
      </c>
      <c r="C26" s="82">
        <v>18</v>
      </c>
      <c r="D26" s="82">
        <v>175</v>
      </c>
      <c r="E26" s="82">
        <v>40519</v>
      </c>
      <c r="F26" s="76">
        <f t="shared" si="3"/>
        <v>43.189614748636444</v>
      </c>
      <c r="G26" s="82">
        <v>46</v>
      </c>
      <c r="H26" s="82">
        <v>19</v>
      </c>
      <c r="I26" s="82">
        <v>234</v>
      </c>
      <c r="J26" s="83">
        <v>860512.77</v>
      </c>
      <c r="K26" s="76">
        <f t="shared" si="4"/>
        <v>2.7193088604600257</v>
      </c>
      <c r="L26" s="84"/>
      <c r="M26" s="85"/>
    </row>
    <row r="27" spans="1:13" ht="15.95" hidden="1" customHeight="1">
      <c r="A27" s="81">
        <f t="shared" si="2"/>
        <v>42388</v>
      </c>
      <c r="B27" s="82"/>
      <c r="C27" s="82"/>
      <c r="D27" s="82"/>
      <c r="E27" s="82"/>
      <c r="F27" s="76">
        <f t="shared" si="3"/>
        <v>0</v>
      </c>
      <c r="G27" s="82"/>
      <c r="H27" s="82"/>
      <c r="I27" s="82"/>
      <c r="J27" s="83"/>
      <c r="K27" s="76">
        <f t="shared" si="4"/>
        <v>0</v>
      </c>
      <c r="L27" s="84"/>
      <c r="M27" s="85"/>
    </row>
    <row r="28" spans="1:13" ht="15.95" customHeight="1">
      <c r="A28" s="81">
        <f t="shared" si="2"/>
        <v>42389</v>
      </c>
      <c r="B28" s="82"/>
      <c r="C28" s="82"/>
      <c r="D28" s="82"/>
      <c r="E28" s="82"/>
      <c r="F28" s="76">
        <f t="shared" si="3"/>
        <v>0</v>
      </c>
      <c r="G28" s="82"/>
      <c r="H28" s="82"/>
      <c r="I28" s="82"/>
      <c r="J28" s="83"/>
      <c r="K28" s="76">
        <f t="shared" si="4"/>
        <v>0</v>
      </c>
      <c r="L28" s="84"/>
      <c r="M28" s="85"/>
    </row>
    <row r="29" spans="1:13" ht="15.95" customHeight="1">
      <c r="A29" s="81">
        <f t="shared" si="2"/>
        <v>42390</v>
      </c>
      <c r="B29" s="82"/>
      <c r="C29" s="82"/>
      <c r="D29" s="82"/>
      <c r="E29" s="82"/>
      <c r="F29" s="76">
        <f t="shared" si="3"/>
        <v>0</v>
      </c>
      <c r="G29" s="82"/>
      <c r="H29" s="82"/>
      <c r="I29" s="82"/>
      <c r="J29" s="83"/>
      <c r="K29" s="76">
        <f t="shared" si="4"/>
        <v>0</v>
      </c>
      <c r="L29" s="84"/>
      <c r="M29" s="85"/>
    </row>
    <row r="30" spans="1:13" ht="15.95" customHeight="1">
      <c r="A30" s="81">
        <f t="shared" si="2"/>
        <v>42391</v>
      </c>
      <c r="B30" s="82"/>
      <c r="C30" s="82"/>
      <c r="D30" s="82"/>
      <c r="E30" s="82"/>
      <c r="F30" s="76">
        <f t="shared" si="3"/>
        <v>0</v>
      </c>
      <c r="G30" s="82"/>
      <c r="H30" s="82"/>
      <c r="I30" s="82"/>
      <c r="J30" s="83"/>
      <c r="K30" s="76">
        <f t="shared" si="4"/>
        <v>0</v>
      </c>
      <c r="L30" s="84"/>
      <c r="M30" s="85"/>
    </row>
    <row r="31" spans="1:13" ht="15.95" customHeight="1">
      <c r="A31" s="81">
        <f t="shared" si="2"/>
        <v>42392</v>
      </c>
      <c r="B31" s="82"/>
      <c r="C31" s="82"/>
      <c r="D31" s="82"/>
      <c r="E31" s="82"/>
      <c r="F31" s="76">
        <f t="shared" si="3"/>
        <v>0</v>
      </c>
      <c r="G31" s="82"/>
      <c r="H31" s="82"/>
      <c r="I31" s="82"/>
      <c r="J31" s="83"/>
      <c r="K31" s="76">
        <f t="shared" si="4"/>
        <v>0</v>
      </c>
      <c r="L31" s="84"/>
      <c r="M31" s="85"/>
    </row>
    <row r="32" spans="1:13" ht="15.95" customHeight="1">
      <c r="A32" s="81">
        <f t="shared" si="2"/>
        <v>42393</v>
      </c>
      <c r="B32" s="82"/>
      <c r="C32" s="82"/>
      <c r="D32" s="82"/>
      <c r="E32" s="82"/>
      <c r="F32" s="76">
        <f t="shared" si="3"/>
        <v>0</v>
      </c>
      <c r="G32" s="82"/>
      <c r="H32" s="82"/>
      <c r="I32" s="82"/>
      <c r="J32" s="83"/>
      <c r="K32" s="76">
        <f t="shared" si="4"/>
        <v>0</v>
      </c>
      <c r="L32" s="84"/>
      <c r="M32" s="85"/>
    </row>
    <row r="33" spans="1:13" ht="15.95" customHeight="1">
      <c r="A33" s="81">
        <f t="shared" si="2"/>
        <v>42394</v>
      </c>
      <c r="B33" s="82"/>
      <c r="C33" s="82"/>
      <c r="D33" s="82"/>
      <c r="E33" s="82"/>
      <c r="F33" s="76">
        <f t="shared" si="3"/>
        <v>0</v>
      </c>
      <c r="G33" s="82"/>
      <c r="H33" s="82"/>
      <c r="I33" s="82"/>
      <c r="J33" s="83"/>
      <c r="K33" s="76">
        <f t="shared" si="4"/>
        <v>0</v>
      </c>
      <c r="L33" s="84"/>
      <c r="M33" s="85"/>
    </row>
    <row r="34" spans="1:13" ht="15.95" customHeight="1">
      <c r="A34" s="81">
        <f t="shared" si="2"/>
        <v>42395</v>
      </c>
      <c r="B34" s="82"/>
      <c r="C34" s="82"/>
      <c r="D34" s="82"/>
      <c r="E34" s="82"/>
      <c r="F34" s="76">
        <f t="shared" si="3"/>
        <v>0</v>
      </c>
      <c r="G34" s="82"/>
      <c r="H34" s="82"/>
      <c r="I34" s="82"/>
      <c r="J34" s="83"/>
      <c r="K34" s="76">
        <f t="shared" si="4"/>
        <v>0</v>
      </c>
      <c r="L34" s="84"/>
      <c r="M34" s="85"/>
    </row>
    <row r="35" spans="1:13" ht="15.95" customHeight="1">
      <c r="A35" s="81">
        <f>A34+1</f>
        <v>42396</v>
      </c>
      <c r="B35" s="82"/>
      <c r="C35" s="82"/>
      <c r="D35" s="82"/>
      <c r="E35" s="82"/>
      <c r="F35" s="76">
        <f t="shared" si="3"/>
        <v>0</v>
      </c>
      <c r="G35" s="82"/>
      <c r="H35" s="82"/>
      <c r="I35" s="82"/>
      <c r="J35" s="83"/>
      <c r="K35" s="76">
        <f t="shared" si="4"/>
        <v>0</v>
      </c>
      <c r="L35" s="84"/>
      <c r="M35" s="85"/>
    </row>
    <row r="36" spans="1:13" ht="15.95" customHeight="1">
      <c r="A36" s="81">
        <f t="shared" si="2"/>
        <v>42397</v>
      </c>
      <c r="B36" s="82"/>
      <c r="C36" s="82"/>
      <c r="D36" s="82"/>
      <c r="E36" s="82"/>
      <c r="F36" s="76">
        <f t="shared" si="3"/>
        <v>0</v>
      </c>
      <c r="G36" s="82"/>
      <c r="H36" s="82"/>
      <c r="I36" s="82"/>
      <c r="J36" s="83"/>
      <c r="K36" s="76">
        <f t="shared" si="4"/>
        <v>0</v>
      </c>
      <c r="L36" s="84"/>
      <c r="M36" s="85"/>
    </row>
    <row r="37" spans="1:13" ht="15.95" customHeight="1">
      <c r="A37" s="81">
        <f t="shared" si="2"/>
        <v>42398</v>
      </c>
      <c r="B37" s="82"/>
      <c r="C37" s="82"/>
      <c r="D37" s="82"/>
      <c r="E37" s="82"/>
      <c r="F37" s="76">
        <f t="shared" si="3"/>
        <v>0</v>
      </c>
      <c r="G37" s="82"/>
      <c r="H37" s="82"/>
      <c r="I37" s="82"/>
      <c r="J37" s="83"/>
      <c r="K37" s="76">
        <f t="shared" si="4"/>
        <v>0</v>
      </c>
      <c r="L37" s="84"/>
      <c r="M37" s="85"/>
    </row>
    <row r="38" spans="1:13" ht="15.95" customHeight="1">
      <c r="A38" s="81">
        <f t="shared" si="2"/>
        <v>42399</v>
      </c>
      <c r="B38" s="82"/>
      <c r="C38" s="82"/>
      <c r="D38" s="82"/>
      <c r="E38" s="82"/>
      <c r="F38" s="76">
        <f t="shared" si="3"/>
        <v>0</v>
      </c>
      <c r="G38" s="82"/>
      <c r="H38" s="82"/>
      <c r="I38" s="82"/>
      <c r="J38" s="83"/>
      <c r="K38" s="76">
        <f t="shared" si="4"/>
        <v>0</v>
      </c>
      <c r="L38" s="84"/>
      <c r="M38" s="85"/>
    </row>
    <row r="39" spans="1:13" ht="15.95" customHeight="1">
      <c r="A39" s="81">
        <f t="shared" si="2"/>
        <v>42400</v>
      </c>
      <c r="B39" s="82"/>
      <c r="C39" s="82"/>
      <c r="D39" s="82"/>
      <c r="E39" s="82"/>
      <c r="F39" s="76">
        <f t="shared" si="3"/>
        <v>0</v>
      </c>
      <c r="G39" s="82"/>
      <c r="H39" s="82"/>
      <c r="I39" s="82"/>
      <c r="J39" s="83"/>
      <c r="K39" s="76">
        <f t="shared" si="4"/>
        <v>0</v>
      </c>
      <c r="L39" s="84"/>
      <c r="M39" s="85"/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37"/>
  <sheetViews>
    <sheetView showGridLines="0" workbookViewId="0">
      <pane ySplit="1" topLeftCell="A2" activePane="bottomLeft" state="frozen"/>
      <selection activeCell="A26" sqref="A26:XFD26"/>
      <selection pane="bottomLeft" activeCell="A26" sqref="A26:XFD26"/>
    </sheetView>
  </sheetViews>
  <sheetFormatPr defaultRowHeight="15.95" customHeight="1"/>
  <cols>
    <col min="1" max="1" width="10" style="66" bestFit="1" customWidth="1"/>
    <col min="2" max="5" width="8.85546875" style="68" customWidth="1"/>
    <col min="6" max="6" width="8.85546875" style="71" customWidth="1"/>
    <col min="7" max="9" width="8.85546875" style="68" customWidth="1"/>
    <col min="10" max="10" width="15" style="69" customWidth="1"/>
    <col min="11" max="11" width="8.85546875" style="71" customWidth="1"/>
    <col min="12" max="12" width="14.140625" style="70" customWidth="1"/>
    <col min="13" max="13" width="14.140625" style="66" customWidth="1"/>
    <col min="14" max="16384" width="9.140625" style="66"/>
  </cols>
  <sheetData>
    <row r="1" spans="1:13" s="93" customFormat="1" ht="66" customHeight="1">
      <c r="A1" s="87" t="s">
        <v>0</v>
      </c>
      <c r="B1" s="88" t="s">
        <v>105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91" t="s">
        <v>118</v>
      </c>
      <c r="K1" s="89" t="s">
        <v>64</v>
      </c>
      <c r="L1" s="92" t="s">
        <v>98</v>
      </c>
      <c r="M1" s="87" t="s">
        <v>59</v>
      </c>
    </row>
    <row r="2" spans="1:13" ht="16.5">
      <c r="A2" s="74">
        <v>42308</v>
      </c>
      <c r="B2" s="75"/>
      <c r="C2" s="75"/>
      <c r="D2" s="75"/>
      <c r="E2" s="75"/>
      <c r="F2" s="76">
        <f>IF(E2&gt;10000,D2/E2*10000,D2)</f>
        <v>0</v>
      </c>
      <c r="G2" s="77"/>
      <c r="H2" s="77"/>
      <c r="I2" s="77"/>
      <c r="J2" s="78"/>
      <c r="K2" s="76">
        <f>IF(J2&gt;10000,I2/J2*10000,I2)</f>
        <v>0</v>
      </c>
      <c r="L2" s="79"/>
      <c r="M2" s="80"/>
    </row>
    <row r="3" spans="1:13" ht="16.5">
      <c r="A3" s="74">
        <v>42338</v>
      </c>
      <c r="B3" s="75"/>
      <c r="C3" s="75"/>
      <c r="D3" s="75"/>
      <c r="E3" s="75"/>
      <c r="F3" s="76">
        <f>IF(E3&gt;10000,D3/E3*10000,D3)</f>
        <v>0</v>
      </c>
      <c r="G3" s="77"/>
      <c r="H3" s="77"/>
      <c r="I3" s="77"/>
      <c r="J3" s="78"/>
      <c r="K3" s="76">
        <f>IF(J3&gt;10000,I3/J3*10000,I3)</f>
        <v>0</v>
      </c>
      <c r="L3" s="79"/>
      <c r="M3" s="80"/>
    </row>
    <row r="4" spans="1:13" ht="16.5">
      <c r="A4" s="74">
        <v>42369</v>
      </c>
      <c r="B4" s="75">
        <v>7</v>
      </c>
      <c r="C4" s="75">
        <v>7</v>
      </c>
      <c r="D4" s="75">
        <v>400</v>
      </c>
      <c r="E4" s="75">
        <v>58671</v>
      </c>
      <c r="F4" s="76">
        <f t="shared" ref="F4:F34" si="0">IF(E4&gt;10000,D4/E4*10000,D4)</f>
        <v>68.176782396754788</v>
      </c>
      <c r="G4" s="77">
        <v>14</v>
      </c>
      <c r="H4" s="77">
        <v>14</v>
      </c>
      <c r="I4" s="77">
        <v>658</v>
      </c>
      <c r="J4" s="78">
        <v>965919.05</v>
      </c>
      <c r="K4" s="76">
        <f t="shared" ref="K4:K34" si="1">IF(J4&gt;10000,I4/J4*10000,I4)</f>
        <v>6.8121650566887562</v>
      </c>
      <c r="L4" s="79"/>
      <c r="M4" s="80"/>
    </row>
    <row r="5" spans="1:13" ht="16.5">
      <c r="A5" s="74">
        <v>42400</v>
      </c>
      <c r="B5" s="75">
        <v>9</v>
      </c>
      <c r="C5" s="75">
        <v>4</v>
      </c>
      <c r="D5" s="75">
        <v>271</v>
      </c>
      <c r="E5" s="75">
        <v>59303</v>
      </c>
      <c r="F5" s="76">
        <v>45.697519518405478</v>
      </c>
      <c r="G5" s="77">
        <v>14</v>
      </c>
      <c r="H5" s="77">
        <v>5</v>
      </c>
      <c r="I5" s="77">
        <v>387</v>
      </c>
      <c r="J5" s="78">
        <v>1154395.1299999999</v>
      </c>
      <c r="K5" s="76">
        <v>3.3524049949864225</v>
      </c>
      <c r="L5" s="79"/>
      <c r="M5" s="80"/>
    </row>
    <row r="6" spans="1:13" ht="16.5">
      <c r="A6" s="74">
        <v>42429</v>
      </c>
      <c r="B6" s="75">
        <v>3</v>
      </c>
      <c r="C6" s="75">
        <v>1</v>
      </c>
      <c r="D6" s="75">
        <v>86</v>
      </c>
      <c r="E6" s="75">
        <v>41924</v>
      </c>
      <c r="F6" s="76">
        <v>20.513309798683334</v>
      </c>
      <c r="G6" s="77">
        <v>3</v>
      </c>
      <c r="H6" s="77">
        <v>1</v>
      </c>
      <c r="I6" s="77">
        <v>111</v>
      </c>
      <c r="J6" s="78">
        <v>782886.92</v>
      </c>
      <c r="K6" s="76">
        <v>1.4178292824205057</v>
      </c>
      <c r="L6" s="79"/>
      <c r="M6" s="80"/>
    </row>
    <row r="7" spans="1:13" ht="15.95" hidden="1" customHeight="1">
      <c r="A7" s="81">
        <v>42430</v>
      </c>
      <c r="B7" s="82"/>
      <c r="C7" s="82"/>
      <c r="D7" s="82"/>
      <c r="E7" s="82"/>
      <c r="F7" s="76">
        <f t="shared" si="0"/>
        <v>0</v>
      </c>
      <c r="G7" s="82"/>
      <c r="H7" s="82"/>
      <c r="I7" s="82"/>
      <c r="J7" s="83"/>
      <c r="K7" s="76">
        <f t="shared" si="1"/>
        <v>0</v>
      </c>
      <c r="L7" s="84"/>
      <c r="M7" s="85"/>
    </row>
    <row r="8" spans="1:13" ht="15.95" hidden="1" customHeight="1">
      <c r="A8" s="81">
        <f>A7+1</f>
        <v>42431</v>
      </c>
      <c r="B8" s="82"/>
      <c r="C8" s="82"/>
      <c r="D8" s="82"/>
      <c r="E8" s="82"/>
      <c r="F8" s="76">
        <f t="shared" si="0"/>
        <v>0</v>
      </c>
      <c r="G8" s="82"/>
      <c r="H8" s="82"/>
      <c r="I8" s="82"/>
      <c r="J8" s="83"/>
      <c r="K8" s="76">
        <f t="shared" si="1"/>
        <v>0</v>
      </c>
      <c r="L8" s="84"/>
      <c r="M8" s="85"/>
    </row>
    <row r="9" spans="1:13" ht="15.95" customHeight="1">
      <c r="A9" s="81">
        <f t="shared" ref="A9:A34" si="2">A8+1</f>
        <v>42432</v>
      </c>
      <c r="B9" s="82">
        <v>20</v>
      </c>
      <c r="C9" s="82">
        <v>8</v>
      </c>
      <c r="D9" s="82">
        <v>15</v>
      </c>
      <c r="E9" s="82">
        <v>13225</v>
      </c>
      <c r="F9" s="76">
        <f t="shared" si="0"/>
        <v>11.342155009451794</v>
      </c>
      <c r="G9" s="82">
        <v>25</v>
      </c>
      <c r="H9" s="82">
        <v>10</v>
      </c>
      <c r="I9" s="82">
        <v>21</v>
      </c>
      <c r="J9" s="83">
        <v>254603.24</v>
      </c>
      <c r="K9" s="76">
        <f t="shared" si="1"/>
        <v>0.82481275572141199</v>
      </c>
      <c r="L9" s="84"/>
      <c r="M9" s="85"/>
    </row>
    <row r="10" spans="1:13" ht="15.95" hidden="1" customHeight="1">
      <c r="A10" s="81">
        <f t="shared" si="2"/>
        <v>42433</v>
      </c>
      <c r="B10" s="82"/>
      <c r="C10" s="82"/>
      <c r="D10" s="82"/>
      <c r="E10" s="82"/>
      <c r="F10" s="76">
        <f t="shared" si="0"/>
        <v>0</v>
      </c>
      <c r="G10" s="82"/>
      <c r="H10" s="82"/>
      <c r="I10" s="82"/>
      <c r="J10" s="83"/>
      <c r="K10" s="76">
        <f t="shared" si="1"/>
        <v>0</v>
      </c>
      <c r="L10" s="84"/>
      <c r="M10" s="85"/>
    </row>
    <row r="11" spans="1:13" ht="15.95" hidden="1" customHeight="1">
      <c r="A11" s="81">
        <f t="shared" si="2"/>
        <v>42434</v>
      </c>
      <c r="B11" s="82"/>
      <c r="C11" s="82"/>
      <c r="D11" s="82"/>
      <c r="E11" s="82"/>
      <c r="F11" s="76">
        <f t="shared" si="0"/>
        <v>0</v>
      </c>
      <c r="G11" s="82"/>
      <c r="H11" s="82"/>
      <c r="I11" s="82"/>
      <c r="J11" s="83"/>
      <c r="K11" s="76">
        <f t="shared" si="1"/>
        <v>0</v>
      </c>
      <c r="L11" s="84"/>
      <c r="M11" s="85"/>
    </row>
    <row r="12" spans="1:13" ht="15.95" hidden="1" customHeight="1">
      <c r="A12" s="81">
        <f t="shared" si="2"/>
        <v>42435</v>
      </c>
      <c r="B12" s="82"/>
      <c r="C12" s="82"/>
      <c r="D12" s="82"/>
      <c r="E12" s="82"/>
      <c r="F12" s="76">
        <f t="shared" si="0"/>
        <v>0</v>
      </c>
      <c r="G12" s="82"/>
      <c r="H12" s="82"/>
      <c r="I12" s="82"/>
      <c r="J12" s="83"/>
      <c r="K12" s="76">
        <f t="shared" si="1"/>
        <v>0</v>
      </c>
      <c r="L12" s="84"/>
      <c r="M12" s="85"/>
    </row>
    <row r="13" spans="1:13" ht="15.95" hidden="1" customHeight="1">
      <c r="A13" s="81">
        <f t="shared" si="2"/>
        <v>42436</v>
      </c>
      <c r="B13" s="82"/>
      <c r="C13" s="82"/>
      <c r="D13" s="82"/>
      <c r="E13" s="82"/>
      <c r="F13" s="76">
        <f t="shared" si="0"/>
        <v>0</v>
      </c>
      <c r="G13" s="82"/>
      <c r="H13" s="82"/>
      <c r="I13" s="82"/>
      <c r="J13" s="83"/>
      <c r="K13" s="76">
        <f t="shared" si="1"/>
        <v>0</v>
      </c>
      <c r="L13" s="84"/>
      <c r="M13" s="85"/>
    </row>
    <row r="14" spans="1:13" ht="15.95" hidden="1" customHeight="1">
      <c r="A14" s="81">
        <f t="shared" si="2"/>
        <v>42437</v>
      </c>
      <c r="B14" s="82"/>
      <c r="C14" s="82"/>
      <c r="D14" s="82"/>
      <c r="E14" s="82"/>
      <c r="F14" s="76">
        <f t="shared" si="0"/>
        <v>0</v>
      </c>
      <c r="G14" s="82"/>
      <c r="H14" s="82"/>
      <c r="I14" s="82"/>
      <c r="J14" s="83"/>
      <c r="K14" s="76">
        <f t="shared" si="1"/>
        <v>0</v>
      </c>
      <c r="L14" s="84"/>
      <c r="M14" s="85"/>
    </row>
    <row r="15" spans="1:13" ht="15.95" customHeight="1">
      <c r="A15" s="81">
        <f t="shared" si="2"/>
        <v>42438</v>
      </c>
      <c r="B15" s="82">
        <v>8</v>
      </c>
      <c r="C15" s="82">
        <v>4</v>
      </c>
      <c r="D15" s="82">
        <v>55</v>
      </c>
      <c r="E15" s="82">
        <v>30877</v>
      </c>
      <c r="F15" s="76">
        <f t="shared" si="0"/>
        <v>17.812611328820804</v>
      </c>
      <c r="G15" s="82">
        <v>14</v>
      </c>
      <c r="H15" s="82">
        <v>7</v>
      </c>
      <c r="I15" s="82">
        <v>81</v>
      </c>
      <c r="J15" s="83">
        <v>600680.41</v>
      </c>
      <c r="K15" s="76">
        <f t="shared" si="1"/>
        <v>1.3484708116251036</v>
      </c>
      <c r="L15" s="84"/>
      <c r="M15" s="85"/>
    </row>
    <row r="16" spans="1:13" ht="15.95" hidden="1" customHeight="1">
      <c r="A16" s="81">
        <f t="shared" si="2"/>
        <v>42439</v>
      </c>
      <c r="B16" s="82"/>
      <c r="C16" s="82"/>
      <c r="D16" s="82"/>
      <c r="E16" s="82"/>
      <c r="F16" s="76">
        <f t="shared" si="0"/>
        <v>0</v>
      </c>
      <c r="G16" s="82"/>
      <c r="H16" s="82"/>
      <c r="I16" s="82"/>
      <c r="J16" s="83"/>
      <c r="K16" s="76">
        <f t="shared" si="1"/>
        <v>0</v>
      </c>
      <c r="L16" s="84"/>
      <c r="M16" s="85"/>
    </row>
    <row r="17" spans="1:13" ht="15.95" hidden="1" customHeight="1">
      <c r="A17" s="81">
        <f t="shared" si="2"/>
        <v>42440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83"/>
      <c r="K17" s="76">
        <f t="shared" si="1"/>
        <v>0</v>
      </c>
      <c r="L17" s="84"/>
      <c r="M17" s="85"/>
    </row>
    <row r="18" spans="1:13" ht="15.95" hidden="1" customHeight="1">
      <c r="A18" s="81">
        <f t="shared" si="2"/>
        <v>42441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83"/>
      <c r="K18" s="76">
        <f t="shared" si="1"/>
        <v>0</v>
      </c>
      <c r="L18" s="84"/>
      <c r="M18" s="85"/>
    </row>
    <row r="19" spans="1:13" ht="15.95" customHeight="1">
      <c r="A19" s="81">
        <f t="shared" si="2"/>
        <v>42442</v>
      </c>
      <c r="B19" s="82">
        <v>5</v>
      </c>
      <c r="C19" s="82">
        <v>2</v>
      </c>
      <c r="D19" s="82">
        <v>63</v>
      </c>
      <c r="E19" s="82">
        <v>34250</v>
      </c>
      <c r="F19" s="76">
        <f t="shared" si="0"/>
        <v>18.394160583941606</v>
      </c>
      <c r="G19" s="82">
        <v>5</v>
      </c>
      <c r="H19" s="82">
        <v>2</v>
      </c>
      <c r="I19" s="82">
        <v>90</v>
      </c>
      <c r="J19" s="83">
        <v>662932.36</v>
      </c>
      <c r="K19" s="76">
        <f t="shared" si="1"/>
        <v>1.3576045676816864</v>
      </c>
      <c r="L19" s="84"/>
      <c r="M19" s="85"/>
    </row>
    <row r="20" spans="1:13" ht="15.95" hidden="1" customHeight="1">
      <c r="A20" s="81">
        <f t="shared" si="2"/>
        <v>42443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83"/>
      <c r="K20" s="76">
        <f t="shared" si="1"/>
        <v>0</v>
      </c>
      <c r="L20" s="84"/>
      <c r="M20" s="85"/>
    </row>
    <row r="21" spans="1:13" ht="15.95" hidden="1" customHeight="1">
      <c r="A21" s="81">
        <f t="shared" si="2"/>
        <v>42444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83"/>
      <c r="K21" s="76">
        <f t="shared" si="1"/>
        <v>0</v>
      </c>
      <c r="L21" s="84"/>
      <c r="M21" s="85"/>
    </row>
    <row r="22" spans="1:13" ht="15.95" customHeight="1">
      <c r="A22" s="81">
        <f t="shared" si="2"/>
        <v>42445</v>
      </c>
      <c r="B22" s="82">
        <v>4</v>
      </c>
      <c r="C22" s="82">
        <v>1</v>
      </c>
      <c r="D22" s="82">
        <v>66</v>
      </c>
      <c r="E22" s="82">
        <v>35487</v>
      </c>
      <c r="F22" s="76">
        <f t="shared" si="0"/>
        <v>18.598359962803279</v>
      </c>
      <c r="G22" s="82">
        <v>5</v>
      </c>
      <c r="H22" s="82">
        <v>3</v>
      </c>
      <c r="I22" s="82">
        <v>95</v>
      </c>
      <c r="J22" s="83">
        <v>685824.68</v>
      </c>
      <c r="K22" s="76">
        <f t="shared" si="1"/>
        <v>1.3851936620303602</v>
      </c>
      <c r="L22" s="84"/>
      <c r="M22" s="85"/>
    </row>
    <row r="23" spans="1:13" ht="15.95" hidden="1" customHeight="1">
      <c r="A23" s="81">
        <f t="shared" si="2"/>
        <v>42446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83"/>
      <c r="K23" s="76">
        <f t="shared" si="1"/>
        <v>0</v>
      </c>
      <c r="L23" s="84"/>
      <c r="M23" s="85"/>
    </row>
    <row r="24" spans="1:13" ht="15.95" hidden="1" customHeight="1">
      <c r="A24" s="81">
        <f t="shared" si="2"/>
        <v>42447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83"/>
      <c r="K24" s="76">
        <f t="shared" si="1"/>
        <v>0</v>
      </c>
      <c r="L24" s="84"/>
      <c r="M24" s="85"/>
    </row>
    <row r="25" spans="1:13" ht="15.95" customHeight="1">
      <c r="A25" s="81">
        <f t="shared" si="2"/>
        <v>42448</v>
      </c>
      <c r="B25" s="82">
        <v>1</v>
      </c>
      <c r="C25" s="82">
        <v>0</v>
      </c>
      <c r="D25" s="82">
        <v>67</v>
      </c>
      <c r="E25" s="82">
        <v>35487</v>
      </c>
      <c r="F25" s="76">
        <f t="shared" si="0"/>
        <v>18.880153295573027</v>
      </c>
      <c r="G25" s="82">
        <v>2</v>
      </c>
      <c r="H25" s="82">
        <v>1</v>
      </c>
      <c r="I25" s="82">
        <v>99</v>
      </c>
      <c r="J25" s="83">
        <v>685824.68</v>
      </c>
      <c r="K25" s="76">
        <f t="shared" si="1"/>
        <v>1.4435176056947963</v>
      </c>
      <c r="L25" s="84"/>
      <c r="M25" s="85"/>
    </row>
    <row r="26" spans="1:13" ht="15.95" hidden="1" customHeight="1">
      <c r="A26" s="81">
        <f t="shared" si="2"/>
        <v>42449</v>
      </c>
      <c r="B26" s="82"/>
      <c r="C26" s="82"/>
      <c r="D26" s="82"/>
      <c r="E26" s="82"/>
      <c r="F26" s="76">
        <f t="shared" si="0"/>
        <v>0</v>
      </c>
      <c r="G26" s="82"/>
      <c r="H26" s="82"/>
      <c r="I26" s="82"/>
      <c r="J26" s="83"/>
      <c r="K26" s="76">
        <f t="shared" si="1"/>
        <v>0</v>
      </c>
      <c r="L26" s="84"/>
      <c r="M26" s="85"/>
    </row>
    <row r="27" spans="1:13" ht="15.95" customHeight="1">
      <c r="A27" s="81">
        <f t="shared" si="2"/>
        <v>42450</v>
      </c>
      <c r="B27" s="82"/>
      <c r="C27" s="82"/>
      <c r="D27" s="82"/>
      <c r="E27" s="82"/>
      <c r="F27" s="76">
        <f t="shared" si="0"/>
        <v>0</v>
      </c>
      <c r="G27" s="82"/>
      <c r="H27" s="82"/>
      <c r="I27" s="82"/>
      <c r="J27" s="83"/>
      <c r="K27" s="76">
        <f t="shared" si="1"/>
        <v>0</v>
      </c>
      <c r="L27" s="84"/>
      <c r="M27" s="85"/>
    </row>
    <row r="28" spans="1:13" ht="15.95" customHeight="1">
      <c r="A28" s="81">
        <f t="shared" si="2"/>
        <v>42451</v>
      </c>
      <c r="B28" s="82"/>
      <c r="C28" s="82"/>
      <c r="D28" s="82"/>
      <c r="E28" s="82"/>
      <c r="F28" s="76">
        <f t="shared" si="0"/>
        <v>0</v>
      </c>
      <c r="G28" s="82"/>
      <c r="H28" s="82"/>
      <c r="I28" s="82"/>
      <c r="J28" s="83"/>
      <c r="K28" s="76">
        <f t="shared" si="1"/>
        <v>0</v>
      </c>
      <c r="L28" s="84"/>
      <c r="M28" s="85"/>
    </row>
    <row r="29" spans="1:13" ht="15.95" customHeight="1">
      <c r="A29" s="81">
        <f t="shared" si="2"/>
        <v>42452</v>
      </c>
      <c r="B29" s="82"/>
      <c r="C29" s="82"/>
      <c r="D29" s="82"/>
      <c r="E29" s="82"/>
      <c r="F29" s="76">
        <f t="shared" si="0"/>
        <v>0</v>
      </c>
      <c r="G29" s="82"/>
      <c r="H29" s="82"/>
      <c r="I29" s="82"/>
      <c r="J29" s="83"/>
      <c r="K29" s="76">
        <f t="shared" si="1"/>
        <v>0</v>
      </c>
      <c r="L29" s="84"/>
      <c r="M29" s="85"/>
    </row>
    <row r="30" spans="1:13" ht="15.95" customHeight="1">
      <c r="A30" s="81">
        <f t="shared" si="2"/>
        <v>42453</v>
      </c>
      <c r="B30" s="82"/>
      <c r="C30" s="82"/>
      <c r="D30" s="82"/>
      <c r="E30" s="82"/>
      <c r="F30" s="76">
        <f t="shared" si="0"/>
        <v>0</v>
      </c>
      <c r="G30" s="82"/>
      <c r="H30" s="82"/>
      <c r="I30" s="82"/>
      <c r="J30" s="83"/>
      <c r="K30" s="76">
        <f t="shared" si="1"/>
        <v>0</v>
      </c>
      <c r="L30" s="84"/>
      <c r="M30" s="85"/>
    </row>
    <row r="31" spans="1:13" ht="15.95" customHeight="1">
      <c r="A31" s="81">
        <f t="shared" si="2"/>
        <v>42454</v>
      </c>
      <c r="B31" s="82"/>
      <c r="C31" s="82"/>
      <c r="D31" s="82"/>
      <c r="E31" s="82"/>
      <c r="F31" s="76">
        <f t="shared" si="0"/>
        <v>0</v>
      </c>
      <c r="G31" s="82"/>
      <c r="H31" s="82"/>
      <c r="I31" s="82"/>
      <c r="J31" s="83"/>
      <c r="K31" s="76">
        <f t="shared" si="1"/>
        <v>0</v>
      </c>
      <c r="L31" s="84"/>
      <c r="M31" s="85"/>
    </row>
    <row r="32" spans="1:13" ht="15.95" customHeight="1">
      <c r="A32" s="81">
        <f t="shared" si="2"/>
        <v>42455</v>
      </c>
      <c r="B32" s="82"/>
      <c r="C32" s="82"/>
      <c r="D32" s="82"/>
      <c r="E32" s="82"/>
      <c r="F32" s="76">
        <f t="shared" si="0"/>
        <v>0</v>
      </c>
      <c r="G32" s="82"/>
      <c r="H32" s="82"/>
      <c r="I32" s="82"/>
      <c r="J32" s="83"/>
      <c r="K32" s="76">
        <f t="shared" si="1"/>
        <v>0</v>
      </c>
      <c r="L32" s="84"/>
      <c r="M32" s="85"/>
    </row>
    <row r="33" spans="1:13" ht="15.95" customHeight="1">
      <c r="A33" s="81">
        <f>A32+1</f>
        <v>42456</v>
      </c>
      <c r="B33" s="82"/>
      <c r="C33" s="82"/>
      <c r="D33" s="82"/>
      <c r="E33" s="82"/>
      <c r="F33" s="76">
        <f t="shared" si="0"/>
        <v>0</v>
      </c>
      <c r="G33" s="82"/>
      <c r="H33" s="82"/>
      <c r="I33" s="82"/>
      <c r="J33" s="83"/>
      <c r="K33" s="76">
        <f t="shared" si="1"/>
        <v>0</v>
      </c>
      <c r="L33" s="84"/>
      <c r="M33" s="85"/>
    </row>
    <row r="34" spans="1:13" ht="15.95" customHeight="1">
      <c r="A34" s="81">
        <f t="shared" si="2"/>
        <v>42457</v>
      </c>
      <c r="B34" s="82"/>
      <c r="C34" s="82"/>
      <c r="D34" s="82"/>
      <c r="E34" s="82"/>
      <c r="F34" s="76">
        <f t="shared" si="0"/>
        <v>0</v>
      </c>
      <c r="G34" s="82"/>
      <c r="H34" s="82"/>
      <c r="I34" s="82"/>
      <c r="J34" s="83"/>
      <c r="K34" s="76">
        <f t="shared" si="1"/>
        <v>0</v>
      </c>
      <c r="L34" s="84"/>
      <c r="M34" s="85"/>
    </row>
    <row r="35" spans="1:13" ht="15.95" customHeight="1">
      <c r="A35" s="81">
        <f>A34+1</f>
        <v>42458</v>
      </c>
      <c r="B35" s="82"/>
      <c r="C35" s="82"/>
      <c r="D35" s="82"/>
      <c r="E35" s="82"/>
      <c r="F35" s="76">
        <f>IF(E35&gt;10000,D35/E35*10000,D35)</f>
        <v>0</v>
      </c>
      <c r="G35" s="82"/>
      <c r="H35" s="82"/>
      <c r="I35" s="82"/>
      <c r="J35" s="83"/>
      <c r="K35" s="76">
        <f>IF(J35&gt;10000,I35/J35*10000,I35)</f>
        <v>0</v>
      </c>
      <c r="L35" s="84"/>
      <c r="M35" s="85"/>
    </row>
    <row r="36" spans="1:13" ht="15.95" customHeight="1">
      <c r="A36" s="81">
        <f>A35+1</f>
        <v>42459</v>
      </c>
      <c r="B36" s="82"/>
      <c r="C36" s="82"/>
      <c r="D36" s="82"/>
      <c r="E36" s="82"/>
      <c r="F36" s="76">
        <f>IF(E36&gt;10000,D36/E36*10000,D36)</f>
        <v>0</v>
      </c>
      <c r="G36" s="82"/>
      <c r="H36" s="82"/>
      <c r="I36" s="82"/>
      <c r="J36" s="83"/>
      <c r="K36" s="76">
        <f>IF(J36&gt;10000,I36/J36*10000,I36)</f>
        <v>0</v>
      </c>
      <c r="L36" s="84"/>
      <c r="M36" s="85"/>
    </row>
    <row r="37" spans="1:13" ht="15.95" customHeight="1">
      <c r="A37" s="81">
        <f>A36+1</f>
        <v>42460</v>
      </c>
      <c r="B37" s="82"/>
      <c r="C37" s="82"/>
      <c r="D37" s="82"/>
      <c r="E37" s="82"/>
      <c r="F37" s="76">
        <f>IF(E37&gt;10000,D37/E37*10000,D37)</f>
        <v>0</v>
      </c>
      <c r="G37" s="82"/>
      <c r="H37" s="82"/>
      <c r="I37" s="82"/>
      <c r="J37" s="83"/>
      <c r="K37" s="76">
        <f>IF(J37&gt;10000,I37/J37*10000,I37)</f>
        <v>0</v>
      </c>
      <c r="L37" s="84"/>
      <c r="M37" s="8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8" tint="0.59999389629810485"/>
  </sheetPr>
  <dimension ref="A1:M14"/>
  <sheetViews>
    <sheetView workbookViewId="0">
      <pane ySplit="1" topLeftCell="A2" activePane="bottomLeft" state="frozen"/>
      <selection activeCell="I34" sqref="I34"/>
      <selection pane="bottomLeft" activeCell="J20" sqref="J20"/>
    </sheetView>
  </sheetViews>
  <sheetFormatPr defaultRowHeight="12.75"/>
  <cols>
    <col min="1" max="1" width="9.140625" style="1"/>
    <col min="2" max="2" width="18.28515625" style="22" customWidth="1"/>
    <col min="3" max="3" width="12" style="27" customWidth="1"/>
    <col min="4" max="4" width="16" style="22" customWidth="1"/>
    <col min="5" max="5" width="18.140625" style="22" customWidth="1"/>
    <col min="6" max="6" width="14" style="24" customWidth="1"/>
    <col min="7" max="7" width="15.85546875" style="22" customWidth="1"/>
    <col min="8" max="8" width="13.85546875" style="22" customWidth="1"/>
    <col min="9" max="9" width="15.28515625" style="22" customWidth="1"/>
    <col min="10" max="10" width="15.140625" style="23" customWidth="1"/>
    <col min="11" max="11" width="15.85546875" style="22" customWidth="1"/>
    <col min="12" max="12" width="14.85546875" style="21" hidden="1" customWidth="1"/>
    <col min="13" max="13" width="9.140625" style="22"/>
    <col min="14" max="16384" width="9.140625" style="1"/>
  </cols>
  <sheetData>
    <row r="1" spans="1:13" ht="32.25" customHeight="1">
      <c r="A1" s="5" t="s">
        <v>0</v>
      </c>
      <c r="B1" s="5" t="s">
        <v>105</v>
      </c>
      <c r="C1" s="5" t="s">
        <v>60</v>
      </c>
      <c r="D1" s="5" t="s">
        <v>62</v>
      </c>
      <c r="E1" s="7" t="s">
        <v>117</v>
      </c>
      <c r="F1" s="12" t="s">
        <v>61</v>
      </c>
      <c r="G1" s="11" t="s">
        <v>103</v>
      </c>
      <c r="H1" s="11" t="s">
        <v>104</v>
      </c>
      <c r="I1" s="11" t="s">
        <v>63</v>
      </c>
      <c r="J1" s="14" t="s">
        <v>118</v>
      </c>
      <c r="K1" s="12" t="s">
        <v>64</v>
      </c>
      <c r="L1" s="20" t="s">
        <v>99</v>
      </c>
      <c r="M1" s="5" t="s">
        <v>59</v>
      </c>
    </row>
    <row r="2" spans="1:13" ht="13.5" customHeight="1">
      <c r="A2" s="30">
        <v>42185</v>
      </c>
      <c r="B2" s="31">
        <v>17</v>
      </c>
      <c r="C2" s="42">
        <v>17</v>
      </c>
      <c r="D2" s="31">
        <v>364</v>
      </c>
      <c r="E2" s="31">
        <v>57866</v>
      </c>
      <c r="F2" s="35">
        <f>IF(E2&gt;10000,D2/E2*10000,D2)</f>
        <v>62.903950506342241</v>
      </c>
      <c r="G2" s="33">
        <v>19</v>
      </c>
      <c r="H2" s="33">
        <v>19</v>
      </c>
      <c r="I2" s="33">
        <v>414</v>
      </c>
      <c r="J2" s="34">
        <v>575957.15</v>
      </c>
      <c r="K2" s="35">
        <v>7.1880347348756759</v>
      </c>
      <c r="L2" s="36"/>
      <c r="M2" s="31"/>
    </row>
    <row r="3" spans="1:13" s="55" customFormat="1">
      <c r="A3" s="54">
        <v>42216</v>
      </c>
      <c r="B3" s="57">
        <v>3</v>
      </c>
      <c r="C3" s="57">
        <v>3</v>
      </c>
      <c r="D3" s="57">
        <v>95</v>
      </c>
      <c r="E3" s="57">
        <v>29602</v>
      </c>
      <c r="F3" s="58">
        <f>IF(E3&gt;10000,D3/E3*10000,D3)</f>
        <v>32.092426187419768</v>
      </c>
      <c r="G3" s="59">
        <v>4</v>
      </c>
      <c r="H3" s="59">
        <v>4</v>
      </c>
      <c r="I3" s="59">
        <v>123</v>
      </c>
      <c r="J3" s="60">
        <v>454901.19</v>
      </c>
      <c r="K3" s="58">
        <v>2.7038838917963703</v>
      </c>
      <c r="L3" s="53"/>
      <c r="M3" s="49"/>
    </row>
    <row r="4" spans="1:13" s="48" customFormat="1">
      <c r="A4" s="56">
        <v>42247</v>
      </c>
      <c r="B4" s="43">
        <v>1</v>
      </c>
      <c r="C4" s="43">
        <v>1</v>
      </c>
      <c r="D4" s="43">
        <v>42</v>
      </c>
      <c r="E4" s="43">
        <v>14175</v>
      </c>
      <c r="F4" s="46">
        <v>29.62962962962963</v>
      </c>
      <c r="G4" s="44">
        <v>1</v>
      </c>
      <c r="H4" s="44">
        <v>1</v>
      </c>
      <c r="I4" s="44">
        <v>49</v>
      </c>
      <c r="J4" s="45">
        <v>211418.44</v>
      </c>
      <c r="K4" s="46">
        <v>2.3176786282218336</v>
      </c>
      <c r="L4" s="41"/>
      <c r="M4" s="37"/>
    </row>
    <row r="5" spans="1:13">
      <c r="A5" s="65">
        <v>42248</v>
      </c>
      <c r="B5" s="62">
        <v>2</v>
      </c>
      <c r="C5" s="62">
        <v>1</v>
      </c>
      <c r="D5" s="62">
        <v>1</v>
      </c>
      <c r="E5" s="61"/>
      <c r="F5" s="63">
        <v>1</v>
      </c>
      <c r="G5" s="62">
        <v>2</v>
      </c>
      <c r="H5" s="62">
        <v>1</v>
      </c>
      <c r="I5" s="61"/>
      <c r="J5" s="64">
        <v>1</v>
      </c>
      <c r="K5" s="63">
        <v>1</v>
      </c>
    </row>
    <row r="6" spans="1:13">
      <c r="A6" s="18">
        <v>42252</v>
      </c>
      <c r="B6" s="22">
        <v>4</v>
      </c>
      <c r="C6" s="27">
        <v>1</v>
      </c>
      <c r="D6" s="22">
        <v>5</v>
      </c>
      <c r="F6" s="25">
        <v>5</v>
      </c>
      <c r="G6" s="22">
        <v>4</v>
      </c>
      <c r="H6" s="22">
        <v>1</v>
      </c>
      <c r="I6" s="22">
        <v>6</v>
      </c>
      <c r="J6" s="23">
        <v>36902.68</v>
      </c>
      <c r="K6" s="26">
        <v>1.63</v>
      </c>
    </row>
    <row r="7" spans="1:13">
      <c r="A7" s="18">
        <v>42255</v>
      </c>
      <c r="B7" s="22">
        <v>2</v>
      </c>
      <c r="C7" s="27">
        <v>1</v>
      </c>
      <c r="D7" s="22">
        <v>10</v>
      </c>
      <c r="F7" s="25">
        <v>10</v>
      </c>
      <c r="G7" s="22">
        <v>2</v>
      </c>
      <c r="H7" s="22">
        <v>1</v>
      </c>
      <c r="I7" s="22">
        <v>11</v>
      </c>
      <c r="J7" s="23">
        <v>55652.22</v>
      </c>
      <c r="K7" s="26">
        <v>1.98</v>
      </c>
    </row>
    <row r="8" spans="1:13">
      <c r="A8" s="18"/>
      <c r="F8" s="25"/>
      <c r="K8" s="26"/>
    </row>
    <row r="9" spans="1:13">
      <c r="A9" s="18"/>
      <c r="F9" s="25"/>
      <c r="K9" s="26"/>
    </row>
    <row r="10" spans="1:13">
      <c r="A10" s="18"/>
      <c r="F10" s="25"/>
      <c r="K10" s="26"/>
    </row>
    <row r="11" spans="1:13">
      <c r="A11" s="18"/>
      <c r="F11" s="25"/>
      <c r="K11" s="26"/>
    </row>
    <row r="12" spans="1:13">
      <c r="A12" s="18"/>
      <c r="F12" s="25"/>
      <c r="K12" s="26"/>
    </row>
    <row r="13" spans="1:13">
      <c r="A13" s="18"/>
      <c r="F13" s="25"/>
      <c r="K13" s="26"/>
    </row>
    <row r="14" spans="1:13">
      <c r="A14" s="18"/>
      <c r="F14" s="25"/>
      <c r="K14" s="26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32"/>
  <sheetViews>
    <sheetView topLeftCell="A4" workbookViewId="0">
      <selection activeCell="J16" sqref="J16"/>
    </sheetView>
  </sheetViews>
  <sheetFormatPr defaultRowHeight="12.75"/>
  <cols>
    <col min="10" max="10" width="14.28515625" style="257" customWidth="1"/>
  </cols>
  <sheetData>
    <row r="1" spans="1:13" s="93" customFormat="1" ht="66" customHeight="1">
      <c r="A1" s="87" t="s">
        <v>0</v>
      </c>
      <c r="B1" s="88" t="s">
        <v>171</v>
      </c>
      <c r="C1" s="88" t="s">
        <v>60</v>
      </c>
      <c r="D1" s="88" t="s">
        <v>62</v>
      </c>
      <c r="E1" s="88" t="s">
        <v>117</v>
      </c>
      <c r="F1" s="89" t="s">
        <v>61</v>
      </c>
      <c r="G1" s="90" t="s">
        <v>103</v>
      </c>
      <c r="H1" s="90" t="s">
        <v>104</v>
      </c>
      <c r="I1" s="90" t="s">
        <v>63</v>
      </c>
      <c r="J1" s="254" t="s">
        <v>118</v>
      </c>
      <c r="K1" s="89" t="s">
        <v>64</v>
      </c>
      <c r="L1" s="92" t="s">
        <v>98</v>
      </c>
      <c r="M1" s="87" t="s">
        <v>59</v>
      </c>
    </row>
    <row r="2" spans="1:13" s="66" customFormat="1" ht="16.5">
      <c r="A2" s="149">
        <v>42643</v>
      </c>
      <c r="B2" s="150">
        <v>1</v>
      </c>
      <c r="C2" s="150">
        <v>1</v>
      </c>
      <c r="D2" s="150">
        <v>83</v>
      </c>
      <c r="E2" s="150">
        <v>53808</v>
      </c>
      <c r="F2" s="151">
        <f>IF(E2&gt;10000,D2/E2*10000,D2)</f>
        <v>15.425215581326196</v>
      </c>
      <c r="G2" s="150">
        <v>6</v>
      </c>
      <c r="H2" s="150">
        <v>3</v>
      </c>
      <c r="I2" s="150">
        <v>156</v>
      </c>
      <c r="J2" s="152">
        <v>1184828.57</v>
      </c>
      <c r="K2" s="151">
        <f>IF(J2&gt;10000,I2/J2*10000,I2)</f>
        <v>1.3166461710152719</v>
      </c>
      <c r="L2" s="153"/>
      <c r="M2" s="154"/>
    </row>
    <row r="3" spans="1:13" s="66" customFormat="1" ht="16.5">
      <c r="A3" s="81">
        <f>A2+1</f>
        <v>42644</v>
      </c>
      <c r="B3" s="82">
        <v>16</v>
      </c>
      <c r="C3" s="82">
        <v>8</v>
      </c>
      <c r="D3" s="82">
        <v>8</v>
      </c>
      <c r="E3" s="82"/>
      <c r="F3" s="76">
        <f t="shared" ref="F3:F32" si="0">IF(E3&gt;10000,D3/E3*10000,D3)</f>
        <v>8</v>
      </c>
      <c r="G3" s="82">
        <v>31</v>
      </c>
      <c r="H3" s="82">
        <v>16</v>
      </c>
      <c r="I3" s="82">
        <v>16</v>
      </c>
      <c r="J3" s="104">
        <v>96278.41</v>
      </c>
      <c r="K3" s="76">
        <f t="shared" ref="K3:K32" si="1">IF(J3&gt;10000,I3/J3*10000,I3)</f>
        <v>1.6618471368606937</v>
      </c>
      <c r="L3" s="84"/>
      <c r="M3" s="85"/>
    </row>
    <row r="4" spans="1:13" s="66" customFormat="1" ht="16.5">
      <c r="A4" s="81">
        <f t="shared" ref="A4:A32" si="2">A3+1</f>
        <v>42645</v>
      </c>
      <c r="B4" s="82">
        <v>5</v>
      </c>
      <c r="C4" s="82">
        <v>2</v>
      </c>
      <c r="D4" s="82">
        <v>10</v>
      </c>
      <c r="E4" s="82"/>
      <c r="F4" s="76">
        <f t="shared" si="0"/>
        <v>10</v>
      </c>
      <c r="G4" s="82">
        <v>23</v>
      </c>
      <c r="H4" s="82">
        <v>11</v>
      </c>
      <c r="I4" s="82">
        <v>27</v>
      </c>
      <c r="J4" s="104">
        <v>156548.71</v>
      </c>
      <c r="K4" s="76">
        <f t="shared" si="1"/>
        <v>1.7247028097516743</v>
      </c>
      <c r="L4" s="84"/>
      <c r="M4" s="85"/>
    </row>
    <row r="5" spans="1:13" s="66" customFormat="1" ht="16.5">
      <c r="A5" s="81">
        <f t="shared" si="2"/>
        <v>42646</v>
      </c>
      <c r="B5" s="82">
        <v>17</v>
      </c>
      <c r="C5" s="82">
        <v>5</v>
      </c>
      <c r="D5" s="82">
        <v>16</v>
      </c>
      <c r="E5" s="82"/>
      <c r="F5" s="76">
        <f t="shared" si="0"/>
        <v>16</v>
      </c>
      <c r="G5" s="82">
        <v>38</v>
      </c>
      <c r="H5" s="82">
        <v>13</v>
      </c>
      <c r="I5" s="82">
        <v>41</v>
      </c>
      <c r="J5" s="104">
        <v>207948.67</v>
      </c>
      <c r="K5" s="76">
        <f t="shared" si="1"/>
        <v>1.9716404052980956</v>
      </c>
      <c r="L5" s="84"/>
      <c r="M5" s="85"/>
    </row>
    <row r="6" spans="1:13" s="66" customFormat="1" ht="16.5">
      <c r="A6" s="81">
        <f t="shared" si="2"/>
        <v>42647</v>
      </c>
      <c r="B6" s="82">
        <v>9</v>
      </c>
      <c r="C6" s="82">
        <v>1</v>
      </c>
      <c r="D6" s="82">
        <v>17</v>
      </c>
      <c r="E6" s="82">
        <v>12168</v>
      </c>
      <c r="F6" s="76">
        <f t="shared" si="0"/>
        <v>13.971071663379355</v>
      </c>
      <c r="G6" s="82">
        <v>30</v>
      </c>
      <c r="H6" s="82">
        <v>7</v>
      </c>
      <c r="I6" s="82">
        <v>49</v>
      </c>
      <c r="J6" s="104">
        <v>263321.42</v>
      </c>
      <c r="K6" s="76">
        <f t="shared" si="1"/>
        <v>1.8608436791811318</v>
      </c>
      <c r="L6" s="84"/>
      <c r="M6" s="85"/>
    </row>
    <row r="7" spans="1:13" s="66" customFormat="1" ht="15.95" customHeight="1">
      <c r="A7" s="81">
        <f t="shared" si="2"/>
        <v>42648</v>
      </c>
      <c r="B7" s="82">
        <v>16</v>
      </c>
      <c r="C7" s="82">
        <v>6</v>
      </c>
      <c r="D7" s="82">
        <v>24</v>
      </c>
      <c r="E7" s="82">
        <v>14810</v>
      </c>
      <c r="F7" s="76">
        <f t="shared" si="0"/>
        <v>16.205266711681297</v>
      </c>
      <c r="G7" s="82">
        <v>43</v>
      </c>
      <c r="H7" s="82">
        <v>13</v>
      </c>
      <c r="I7" s="82">
        <v>63</v>
      </c>
      <c r="J7" s="104">
        <v>321863.39</v>
      </c>
      <c r="K7" s="76">
        <f t="shared" si="1"/>
        <v>1.9573521549002513</v>
      </c>
      <c r="L7" s="84"/>
      <c r="M7" s="85"/>
    </row>
    <row r="8" spans="1:13" s="66" customFormat="1" ht="15.95" customHeight="1">
      <c r="A8" s="81">
        <f t="shared" si="2"/>
        <v>42649</v>
      </c>
      <c r="B8" s="82">
        <v>18</v>
      </c>
      <c r="C8" s="82">
        <v>6</v>
      </c>
      <c r="D8" s="82">
        <v>31</v>
      </c>
      <c r="E8" s="82">
        <v>17484</v>
      </c>
      <c r="F8" s="76">
        <f t="shared" si="0"/>
        <v>17.730496453900709</v>
      </c>
      <c r="G8" s="82">
        <v>38</v>
      </c>
      <c r="H8" s="82">
        <v>14</v>
      </c>
      <c r="I8" s="82">
        <v>78</v>
      </c>
      <c r="J8" s="104">
        <v>381551.37</v>
      </c>
      <c r="K8" s="76">
        <f t="shared" si="1"/>
        <v>2.0442856750848515</v>
      </c>
      <c r="L8" s="84"/>
      <c r="M8" s="85"/>
    </row>
    <row r="9" spans="1:13" s="66" customFormat="1" ht="16.5">
      <c r="A9" s="81">
        <f t="shared" si="2"/>
        <v>42650</v>
      </c>
      <c r="B9" s="82">
        <v>11</v>
      </c>
      <c r="C9" s="82">
        <v>4</v>
      </c>
      <c r="D9" s="82">
        <v>35</v>
      </c>
      <c r="E9" s="82">
        <v>20146</v>
      </c>
      <c r="F9" s="76">
        <f t="shared" si="0"/>
        <v>17.373175816539263</v>
      </c>
      <c r="G9" s="82">
        <v>27</v>
      </c>
      <c r="H9" s="82">
        <v>6</v>
      </c>
      <c r="I9" s="82">
        <v>85</v>
      </c>
      <c r="J9" s="104">
        <v>439767.23</v>
      </c>
      <c r="K9" s="76">
        <f t="shared" si="1"/>
        <v>1.9328406984758733</v>
      </c>
      <c r="L9" s="84"/>
      <c r="M9" s="85"/>
    </row>
    <row r="10" spans="1:13" s="66" customFormat="1" ht="16.5">
      <c r="A10" s="81">
        <f t="shared" si="2"/>
        <v>42651</v>
      </c>
      <c r="B10" s="82">
        <v>10</v>
      </c>
      <c r="C10" s="82">
        <v>3</v>
      </c>
      <c r="D10" s="82">
        <v>38</v>
      </c>
      <c r="E10" s="82">
        <v>22435</v>
      </c>
      <c r="F10" s="76">
        <f t="shared" si="0"/>
        <v>16.937820369957656</v>
      </c>
      <c r="G10" s="82">
        <v>19</v>
      </c>
      <c r="H10" s="82">
        <v>7</v>
      </c>
      <c r="I10" s="82">
        <v>92</v>
      </c>
      <c r="J10" s="104">
        <v>488719.68</v>
      </c>
      <c r="K10" s="76">
        <f t="shared" si="1"/>
        <v>1.8824697217022239</v>
      </c>
      <c r="L10" s="84"/>
      <c r="M10" s="85"/>
    </row>
    <row r="11" spans="1:13" s="66" customFormat="1" ht="15.95" customHeight="1">
      <c r="A11" s="81">
        <f t="shared" si="2"/>
        <v>42652</v>
      </c>
      <c r="B11" s="82">
        <v>11</v>
      </c>
      <c r="C11" s="82">
        <v>4</v>
      </c>
      <c r="D11" s="82">
        <v>43</v>
      </c>
      <c r="E11" s="82">
        <v>24504</v>
      </c>
      <c r="F11" s="76">
        <f t="shared" si="0"/>
        <v>17.548155403199477</v>
      </c>
      <c r="G11" s="82">
        <v>16</v>
      </c>
      <c r="H11" s="82">
        <v>6</v>
      </c>
      <c r="I11" s="82">
        <v>99</v>
      </c>
      <c r="J11" s="104">
        <v>534003.30000000005</v>
      </c>
      <c r="K11" s="76">
        <f t="shared" si="1"/>
        <v>1.8539211274537064</v>
      </c>
      <c r="L11" s="84"/>
      <c r="M11" s="85"/>
    </row>
    <row r="12" spans="1:13" s="66" customFormat="1" ht="15.95" customHeight="1">
      <c r="A12" s="81">
        <f t="shared" si="2"/>
        <v>42653</v>
      </c>
      <c r="B12" s="82">
        <v>20</v>
      </c>
      <c r="C12" s="82">
        <v>5</v>
      </c>
      <c r="D12" s="82">
        <v>48</v>
      </c>
      <c r="E12" s="82">
        <v>26214</v>
      </c>
      <c r="F12" s="76">
        <f t="shared" si="0"/>
        <v>18.310826276035705</v>
      </c>
      <c r="G12" s="82">
        <v>30</v>
      </c>
      <c r="H12" s="82">
        <v>8</v>
      </c>
      <c r="I12" s="82">
        <v>107</v>
      </c>
      <c r="J12" s="104">
        <v>570189.87</v>
      </c>
      <c r="K12" s="76">
        <f t="shared" si="1"/>
        <v>1.8765678878160359</v>
      </c>
      <c r="L12" s="84"/>
      <c r="M12" s="85"/>
    </row>
    <row r="13" spans="1:13" s="66" customFormat="1" ht="15.95" customHeight="1">
      <c r="A13" s="81">
        <f t="shared" si="2"/>
        <v>42654</v>
      </c>
      <c r="B13" s="82">
        <v>11</v>
      </c>
      <c r="C13" s="82">
        <v>3</v>
      </c>
      <c r="D13" s="82">
        <v>51</v>
      </c>
      <c r="E13" s="82">
        <v>28113</v>
      </c>
      <c r="F13" s="76">
        <f t="shared" si="0"/>
        <v>18.141073524703874</v>
      </c>
      <c r="G13" s="82">
        <v>28</v>
      </c>
      <c r="H13" s="82">
        <v>10</v>
      </c>
      <c r="I13" s="82">
        <v>117</v>
      </c>
      <c r="J13" s="104">
        <v>610220.4</v>
      </c>
      <c r="K13" s="76">
        <f t="shared" si="1"/>
        <v>1.9173400299301693</v>
      </c>
      <c r="L13" s="84"/>
      <c r="M13" s="85"/>
    </row>
    <row r="14" spans="1:13" s="66" customFormat="1" ht="15.95" customHeight="1">
      <c r="A14" s="81">
        <f t="shared" si="2"/>
        <v>42655</v>
      </c>
      <c r="B14" s="82">
        <v>8</v>
      </c>
      <c r="C14" s="82">
        <v>2</v>
      </c>
      <c r="D14" s="82">
        <v>54</v>
      </c>
      <c r="E14" s="82">
        <v>29769</v>
      </c>
      <c r="F14" s="76">
        <f t="shared" si="0"/>
        <v>18.139675501360475</v>
      </c>
      <c r="G14" s="82">
        <v>19</v>
      </c>
      <c r="H14" s="82">
        <v>5</v>
      </c>
      <c r="I14" s="82">
        <v>123</v>
      </c>
      <c r="J14" s="104">
        <v>645255.84</v>
      </c>
      <c r="K14" s="76">
        <f t="shared" si="1"/>
        <v>1.9062206395528323</v>
      </c>
      <c r="L14" s="84"/>
      <c r="M14" s="85"/>
    </row>
    <row r="15" spans="1:13" s="66" customFormat="1" ht="15.95" customHeight="1">
      <c r="A15" s="81">
        <f t="shared" si="2"/>
        <v>42656</v>
      </c>
      <c r="B15" s="82">
        <v>9</v>
      </c>
      <c r="C15" s="82">
        <v>2</v>
      </c>
      <c r="D15" s="82">
        <v>56</v>
      </c>
      <c r="E15" s="82">
        <v>31685</v>
      </c>
      <c r="F15" s="76">
        <f t="shared" si="0"/>
        <v>17.673978223133975</v>
      </c>
      <c r="G15" s="82">
        <v>19</v>
      </c>
      <c r="H15" s="82">
        <v>4</v>
      </c>
      <c r="I15" s="82">
        <v>127</v>
      </c>
      <c r="J15" s="104">
        <v>686464.72</v>
      </c>
      <c r="K15" s="76">
        <f t="shared" si="1"/>
        <v>1.8500586599701732</v>
      </c>
      <c r="L15" s="84"/>
      <c r="M15" s="85"/>
    </row>
    <row r="16" spans="1:13" s="66" customFormat="1" ht="15.95" customHeight="1">
      <c r="A16" s="81">
        <f t="shared" si="2"/>
        <v>42657</v>
      </c>
      <c r="B16" s="82">
        <v>4</v>
      </c>
      <c r="C16" s="82">
        <v>0</v>
      </c>
      <c r="D16" s="82">
        <v>57</v>
      </c>
      <c r="E16" s="82">
        <v>33968</v>
      </c>
      <c r="F16" s="76">
        <f t="shared" si="0"/>
        <v>16.78049929345266</v>
      </c>
      <c r="G16" s="82">
        <v>15</v>
      </c>
      <c r="H16" s="82">
        <v>3</v>
      </c>
      <c r="I16" s="82">
        <v>131</v>
      </c>
      <c r="J16" s="104">
        <v>733811.29</v>
      </c>
      <c r="K16" s="76">
        <f t="shared" si="1"/>
        <v>1.7852001159589681</v>
      </c>
      <c r="L16" s="84"/>
      <c r="M16" s="85"/>
    </row>
    <row r="17" spans="1:13" s="66" customFormat="1" ht="15.95" customHeight="1">
      <c r="A17" s="81">
        <f t="shared" si="2"/>
        <v>42658</v>
      </c>
      <c r="B17" s="82"/>
      <c r="C17" s="82"/>
      <c r="D17" s="82"/>
      <c r="E17" s="82"/>
      <c r="F17" s="76">
        <f t="shared" si="0"/>
        <v>0</v>
      </c>
      <c r="G17" s="82"/>
      <c r="H17" s="82"/>
      <c r="I17" s="82"/>
      <c r="J17" s="104"/>
      <c r="K17" s="76">
        <f t="shared" si="1"/>
        <v>0</v>
      </c>
      <c r="L17" s="84"/>
      <c r="M17" s="85"/>
    </row>
    <row r="18" spans="1:13" s="66" customFormat="1" ht="15.95" customHeight="1">
      <c r="A18" s="81">
        <f t="shared" si="2"/>
        <v>42659</v>
      </c>
      <c r="B18" s="82"/>
      <c r="C18" s="82"/>
      <c r="D18" s="82"/>
      <c r="E18" s="82"/>
      <c r="F18" s="76">
        <f t="shared" si="0"/>
        <v>0</v>
      </c>
      <c r="G18" s="82"/>
      <c r="H18" s="82"/>
      <c r="I18" s="82"/>
      <c r="J18" s="104"/>
      <c r="K18" s="76">
        <f t="shared" si="1"/>
        <v>0</v>
      </c>
      <c r="L18" s="84"/>
      <c r="M18" s="85"/>
    </row>
    <row r="19" spans="1:13" s="66" customFormat="1" ht="15.95" customHeight="1">
      <c r="A19" s="81">
        <f t="shared" si="2"/>
        <v>42660</v>
      </c>
      <c r="B19" s="82"/>
      <c r="C19" s="82"/>
      <c r="D19" s="82"/>
      <c r="E19" s="82"/>
      <c r="F19" s="76">
        <f t="shared" si="0"/>
        <v>0</v>
      </c>
      <c r="G19" s="82"/>
      <c r="H19" s="82"/>
      <c r="I19" s="82"/>
      <c r="J19" s="104"/>
      <c r="K19" s="76">
        <f t="shared" si="1"/>
        <v>0</v>
      </c>
      <c r="L19" s="84"/>
      <c r="M19" s="85"/>
    </row>
    <row r="20" spans="1:13" s="66" customFormat="1" ht="15.95" customHeight="1">
      <c r="A20" s="81">
        <f t="shared" si="2"/>
        <v>42661</v>
      </c>
      <c r="B20" s="82"/>
      <c r="C20" s="82"/>
      <c r="D20" s="82"/>
      <c r="E20" s="82"/>
      <c r="F20" s="76">
        <f t="shared" si="0"/>
        <v>0</v>
      </c>
      <c r="G20" s="82"/>
      <c r="H20" s="82"/>
      <c r="I20" s="82"/>
      <c r="J20" s="104"/>
      <c r="K20" s="76">
        <f t="shared" si="1"/>
        <v>0</v>
      </c>
      <c r="L20" s="84"/>
      <c r="M20" s="85"/>
    </row>
    <row r="21" spans="1:13" s="66" customFormat="1" ht="15.95" customHeight="1">
      <c r="A21" s="81">
        <f t="shared" si="2"/>
        <v>42662</v>
      </c>
      <c r="B21" s="82"/>
      <c r="C21" s="82"/>
      <c r="D21" s="82"/>
      <c r="E21" s="82"/>
      <c r="F21" s="76">
        <f t="shared" si="0"/>
        <v>0</v>
      </c>
      <c r="G21" s="82"/>
      <c r="H21" s="82"/>
      <c r="I21" s="82"/>
      <c r="J21" s="104"/>
      <c r="K21" s="76">
        <f t="shared" si="1"/>
        <v>0</v>
      </c>
      <c r="L21" s="84"/>
      <c r="M21" s="85"/>
    </row>
    <row r="22" spans="1:13" s="66" customFormat="1" ht="15.95" customHeight="1">
      <c r="A22" s="81">
        <f t="shared" si="2"/>
        <v>42663</v>
      </c>
      <c r="B22" s="82"/>
      <c r="C22" s="82"/>
      <c r="D22" s="82"/>
      <c r="E22" s="82"/>
      <c r="F22" s="76">
        <f t="shared" si="0"/>
        <v>0</v>
      </c>
      <c r="G22" s="82"/>
      <c r="H22" s="82"/>
      <c r="I22" s="82"/>
      <c r="J22" s="104"/>
      <c r="K22" s="76">
        <f t="shared" si="1"/>
        <v>0</v>
      </c>
      <c r="L22" s="84"/>
      <c r="M22" s="85"/>
    </row>
    <row r="23" spans="1:13" s="66" customFormat="1" ht="15.95" customHeight="1">
      <c r="A23" s="81">
        <f t="shared" si="2"/>
        <v>42664</v>
      </c>
      <c r="B23" s="82"/>
      <c r="C23" s="82"/>
      <c r="D23" s="82"/>
      <c r="E23" s="82"/>
      <c r="F23" s="76">
        <f t="shared" si="0"/>
        <v>0</v>
      </c>
      <c r="G23" s="82"/>
      <c r="H23" s="82"/>
      <c r="I23" s="82"/>
      <c r="J23" s="104"/>
      <c r="K23" s="76">
        <f t="shared" si="1"/>
        <v>0</v>
      </c>
      <c r="L23" s="84"/>
      <c r="M23" s="85"/>
    </row>
    <row r="24" spans="1:13" s="66" customFormat="1" ht="15.75" customHeight="1">
      <c r="A24" s="81">
        <f t="shared" si="2"/>
        <v>42665</v>
      </c>
      <c r="B24" s="82"/>
      <c r="C24" s="82"/>
      <c r="D24" s="82"/>
      <c r="E24" s="82"/>
      <c r="F24" s="76">
        <f t="shared" si="0"/>
        <v>0</v>
      </c>
      <c r="G24" s="82"/>
      <c r="H24" s="82"/>
      <c r="I24" s="82"/>
      <c r="J24" s="104"/>
      <c r="K24" s="76">
        <f t="shared" si="1"/>
        <v>0</v>
      </c>
      <c r="L24" s="84"/>
      <c r="M24" s="85"/>
    </row>
    <row r="25" spans="1:13" s="66" customFormat="1" ht="15.95" customHeight="1">
      <c r="A25" s="81">
        <f t="shared" si="2"/>
        <v>42666</v>
      </c>
      <c r="B25" s="82"/>
      <c r="C25" s="82"/>
      <c r="D25" s="82"/>
      <c r="E25" s="82"/>
      <c r="F25" s="76">
        <f t="shared" si="0"/>
        <v>0</v>
      </c>
      <c r="G25" s="82"/>
      <c r="H25" s="82"/>
      <c r="I25" s="82"/>
      <c r="J25" s="104"/>
      <c r="K25" s="76">
        <f t="shared" si="1"/>
        <v>0</v>
      </c>
      <c r="L25" s="84"/>
      <c r="M25" s="85"/>
    </row>
    <row r="26" spans="1:13" s="66" customFormat="1" ht="15.95" customHeight="1">
      <c r="A26" s="81">
        <f t="shared" si="2"/>
        <v>42667</v>
      </c>
      <c r="B26" s="82"/>
      <c r="C26" s="82"/>
      <c r="D26" s="82"/>
      <c r="E26" s="82"/>
      <c r="F26" s="76">
        <f t="shared" si="0"/>
        <v>0</v>
      </c>
      <c r="G26" s="82"/>
      <c r="H26" s="82"/>
      <c r="I26" s="82"/>
      <c r="J26" s="104"/>
      <c r="K26" s="76">
        <f t="shared" si="1"/>
        <v>0</v>
      </c>
      <c r="L26" s="84"/>
      <c r="M26" s="85"/>
    </row>
    <row r="27" spans="1:13" s="66" customFormat="1" ht="15.95" customHeight="1">
      <c r="A27" s="81">
        <f t="shared" si="2"/>
        <v>42668</v>
      </c>
      <c r="B27" s="82"/>
      <c r="C27" s="82"/>
      <c r="D27" s="82"/>
      <c r="E27" s="82"/>
      <c r="F27" s="76">
        <f t="shared" si="0"/>
        <v>0</v>
      </c>
      <c r="G27" s="82"/>
      <c r="H27" s="82"/>
      <c r="I27" s="82"/>
      <c r="J27" s="104"/>
      <c r="K27" s="76">
        <f t="shared" si="1"/>
        <v>0</v>
      </c>
      <c r="L27" s="84"/>
      <c r="M27" s="85"/>
    </row>
    <row r="28" spans="1:13" s="66" customFormat="1" ht="15.95" customHeight="1">
      <c r="A28" s="81">
        <f t="shared" si="2"/>
        <v>42669</v>
      </c>
      <c r="B28" s="82"/>
      <c r="C28" s="82"/>
      <c r="D28" s="82"/>
      <c r="E28" s="82"/>
      <c r="F28" s="76">
        <f t="shared" si="0"/>
        <v>0</v>
      </c>
      <c r="G28" s="82"/>
      <c r="H28" s="82"/>
      <c r="I28" s="82"/>
      <c r="J28" s="104"/>
      <c r="K28" s="76">
        <f t="shared" si="1"/>
        <v>0</v>
      </c>
      <c r="L28" s="84"/>
      <c r="M28" s="85"/>
    </row>
    <row r="29" spans="1:13" s="66" customFormat="1" ht="15.95" customHeight="1">
      <c r="A29" s="81">
        <f t="shared" si="2"/>
        <v>42670</v>
      </c>
      <c r="B29" s="82"/>
      <c r="C29" s="82"/>
      <c r="D29" s="82"/>
      <c r="E29" s="82"/>
      <c r="F29" s="76">
        <f t="shared" si="0"/>
        <v>0</v>
      </c>
      <c r="G29" s="82"/>
      <c r="H29" s="82"/>
      <c r="I29" s="82"/>
      <c r="J29" s="104"/>
      <c r="K29" s="76">
        <f t="shared" si="1"/>
        <v>0</v>
      </c>
      <c r="L29" s="84"/>
      <c r="M29" s="85"/>
    </row>
    <row r="30" spans="1:13" s="66" customFormat="1" ht="15.95" customHeight="1">
      <c r="A30" s="81">
        <f t="shared" si="2"/>
        <v>42671</v>
      </c>
      <c r="B30" s="82"/>
      <c r="C30" s="82"/>
      <c r="D30" s="82"/>
      <c r="E30" s="82"/>
      <c r="F30" s="76">
        <f t="shared" si="0"/>
        <v>0</v>
      </c>
      <c r="G30" s="82"/>
      <c r="H30" s="82"/>
      <c r="I30" s="82"/>
      <c r="J30" s="104"/>
      <c r="K30" s="76">
        <f t="shared" si="1"/>
        <v>0</v>
      </c>
      <c r="L30" s="84"/>
      <c r="M30" s="85"/>
    </row>
    <row r="31" spans="1:13" s="66" customFormat="1" ht="15.95" customHeight="1">
      <c r="A31" s="81">
        <f t="shared" si="2"/>
        <v>42672</v>
      </c>
      <c r="B31" s="82"/>
      <c r="C31" s="82"/>
      <c r="D31" s="82"/>
      <c r="E31" s="82"/>
      <c r="F31" s="76">
        <f t="shared" si="0"/>
        <v>0</v>
      </c>
      <c r="G31" s="82"/>
      <c r="H31" s="82"/>
      <c r="I31" s="82"/>
      <c r="J31" s="104"/>
      <c r="K31" s="76">
        <f t="shared" si="1"/>
        <v>0</v>
      </c>
      <c r="L31" s="84"/>
      <c r="M31" s="85"/>
    </row>
    <row r="32" spans="1:13" s="66" customFormat="1" ht="15.95" customHeight="1">
      <c r="A32" s="81">
        <f t="shared" si="2"/>
        <v>42673</v>
      </c>
      <c r="B32" s="82"/>
      <c r="C32" s="82"/>
      <c r="D32" s="82"/>
      <c r="E32" s="82"/>
      <c r="F32" s="76">
        <f t="shared" si="0"/>
        <v>0</v>
      </c>
      <c r="G32" s="82"/>
      <c r="H32" s="82"/>
      <c r="I32" s="82"/>
      <c r="J32" s="104"/>
      <c r="K32" s="76">
        <f t="shared" si="1"/>
        <v>0</v>
      </c>
      <c r="L32" s="84"/>
      <c r="M32" s="85"/>
    </row>
  </sheetData>
  <phoneticPr fontId="1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178"/>
  <sheetViews>
    <sheetView workbookViewId="0">
      <pane ySplit="2" topLeftCell="A1172" activePane="bottomLeft" state="frozen"/>
      <selection pane="bottomLeft" activeCell="C1179" sqref="C1179"/>
    </sheetView>
  </sheetViews>
  <sheetFormatPr defaultColWidth="12.140625" defaultRowHeight="24.75" customHeight="1"/>
  <cols>
    <col min="1" max="1" width="12.140625" style="208"/>
    <col min="2" max="2" width="12.140625" style="209"/>
    <col min="3" max="3" width="19.7109375" style="226" customWidth="1"/>
    <col min="4" max="4" width="18.28515625" style="209" customWidth="1"/>
    <col min="5" max="11" width="12.140625" style="209"/>
  </cols>
  <sheetData>
    <row r="1" spans="1:11" s="47" customFormat="1" ht="48" customHeight="1">
      <c r="A1" s="273" t="s">
        <v>475</v>
      </c>
      <c r="B1" s="274" t="s">
        <v>273</v>
      </c>
      <c r="C1" s="275" t="s">
        <v>178</v>
      </c>
      <c r="D1" s="274" t="s">
        <v>179</v>
      </c>
      <c r="E1" s="274" t="s">
        <v>180</v>
      </c>
      <c r="F1" s="274" t="s">
        <v>181</v>
      </c>
      <c r="G1" s="274" t="s">
        <v>185</v>
      </c>
      <c r="H1" s="274" t="s">
        <v>182</v>
      </c>
      <c r="I1" s="274" t="s">
        <v>183</v>
      </c>
      <c r="J1" s="274" t="s">
        <v>186</v>
      </c>
      <c r="K1" s="274" t="s">
        <v>184</v>
      </c>
    </row>
    <row r="2" spans="1:11" ht="24.75" customHeight="1">
      <c r="A2" s="260">
        <v>42644</v>
      </c>
      <c r="B2" s="209" t="s">
        <v>491</v>
      </c>
      <c r="C2" s="226">
        <v>300007875924</v>
      </c>
      <c r="D2" s="209" t="s">
        <v>492</v>
      </c>
      <c r="E2" s="209">
        <v>0</v>
      </c>
      <c r="F2" s="209">
        <v>0</v>
      </c>
      <c r="G2" s="209">
        <v>0</v>
      </c>
      <c r="H2" s="209">
        <v>0</v>
      </c>
      <c r="I2" s="209">
        <v>0</v>
      </c>
      <c r="J2" s="209">
        <v>0</v>
      </c>
      <c r="K2" s="209">
        <v>2</v>
      </c>
    </row>
    <row r="3" spans="1:11" ht="24.75" customHeight="1">
      <c r="A3" s="260">
        <v>42644</v>
      </c>
      <c r="B3" s="209" t="s">
        <v>491</v>
      </c>
      <c r="C3" s="226">
        <v>300008074001</v>
      </c>
      <c r="D3" s="272" t="s">
        <v>493</v>
      </c>
      <c r="E3" s="209">
        <v>0</v>
      </c>
      <c r="F3" s="209">
        <v>0</v>
      </c>
      <c r="G3" s="209">
        <v>0</v>
      </c>
      <c r="H3" s="209">
        <v>0</v>
      </c>
      <c r="I3" s="209">
        <v>0</v>
      </c>
      <c r="J3" s="209">
        <v>0</v>
      </c>
      <c r="K3" s="209">
        <v>9</v>
      </c>
    </row>
    <row r="4" spans="1:11" ht="24.75" customHeight="1">
      <c r="A4" s="260">
        <v>42644</v>
      </c>
      <c r="B4" s="209" t="s">
        <v>491</v>
      </c>
      <c r="C4" s="226">
        <v>300008183804</v>
      </c>
      <c r="D4" s="272" t="s">
        <v>494</v>
      </c>
      <c r="E4" s="209">
        <v>0</v>
      </c>
      <c r="F4" s="209">
        <v>0</v>
      </c>
      <c r="G4" s="209">
        <v>0</v>
      </c>
      <c r="H4" s="209">
        <v>0</v>
      </c>
      <c r="I4" s="209">
        <v>0</v>
      </c>
      <c r="J4" s="209">
        <v>0</v>
      </c>
      <c r="K4" s="209">
        <v>4</v>
      </c>
    </row>
    <row r="5" spans="1:11" ht="24.75" customHeight="1">
      <c r="A5" s="260">
        <v>42644</v>
      </c>
      <c r="B5" s="209" t="s">
        <v>491</v>
      </c>
      <c r="C5" s="226">
        <v>300008841062</v>
      </c>
      <c r="D5" s="272" t="s">
        <v>277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351</v>
      </c>
    </row>
    <row r="6" spans="1:11" ht="24.75" customHeight="1">
      <c r="A6" s="260">
        <v>42644</v>
      </c>
      <c r="B6" s="209" t="s">
        <v>491</v>
      </c>
      <c r="C6" s="226">
        <v>300008868585</v>
      </c>
      <c r="D6" s="272" t="s">
        <v>495</v>
      </c>
      <c r="E6" s="209">
        <v>0</v>
      </c>
      <c r="F6" s="209">
        <v>0</v>
      </c>
      <c r="G6" s="209">
        <v>0</v>
      </c>
      <c r="H6" s="209">
        <v>0</v>
      </c>
      <c r="I6" s="209">
        <v>0</v>
      </c>
      <c r="J6" s="209">
        <v>0</v>
      </c>
      <c r="K6" s="209">
        <v>56</v>
      </c>
    </row>
    <row r="7" spans="1:11" ht="24.75" customHeight="1">
      <c r="A7" s="260">
        <v>42644</v>
      </c>
      <c r="B7" s="209" t="s">
        <v>491</v>
      </c>
      <c r="C7" s="226">
        <v>300008975991</v>
      </c>
      <c r="D7" s="209" t="s">
        <v>496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1</v>
      </c>
    </row>
    <row r="8" spans="1:11" ht="24.75" customHeight="1">
      <c r="A8" s="260">
        <v>42644</v>
      </c>
      <c r="B8" s="209" t="s">
        <v>491</v>
      </c>
      <c r="C8" s="226">
        <v>300008993578</v>
      </c>
      <c r="D8" s="272" t="s">
        <v>497</v>
      </c>
      <c r="E8" s="209">
        <v>0</v>
      </c>
      <c r="F8" s="209">
        <v>0</v>
      </c>
      <c r="G8" s="209">
        <v>0</v>
      </c>
      <c r="H8" s="209">
        <v>0</v>
      </c>
      <c r="I8" s="209">
        <v>0</v>
      </c>
      <c r="J8" s="209">
        <v>0</v>
      </c>
      <c r="K8" s="209">
        <v>289</v>
      </c>
    </row>
    <row r="9" spans="1:11" ht="24.75" customHeight="1">
      <c r="A9" s="260">
        <v>42644</v>
      </c>
      <c r="B9" s="209" t="s">
        <v>491</v>
      </c>
      <c r="C9" s="226">
        <v>300009016017</v>
      </c>
      <c r="D9" s="272" t="s">
        <v>498</v>
      </c>
      <c r="E9" s="209">
        <v>0</v>
      </c>
      <c r="F9" s="209">
        <v>0</v>
      </c>
      <c r="G9" s="209">
        <v>0</v>
      </c>
      <c r="H9" s="209">
        <v>0</v>
      </c>
      <c r="I9" s="209">
        <v>0</v>
      </c>
      <c r="J9" s="209">
        <v>0</v>
      </c>
      <c r="K9" s="209">
        <v>19</v>
      </c>
    </row>
    <row r="10" spans="1:11" ht="24.75" customHeight="1">
      <c r="A10" s="260">
        <v>42644</v>
      </c>
      <c r="B10" s="209" t="s">
        <v>491</v>
      </c>
      <c r="C10" s="226">
        <v>300009197635</v>
      </c>
      <c r="D10" s="272" t="s">
        <v>282</v>
      </c>
      <c r="E10" s="209">
        <v>0</v>
      </c>
      <c r="F10" s="209">
        <v>0</v>
      </c>
      <c r="G10" s="209">
        <v>0</v>
      </c>
      <c r="H10" s="209">
        <v>0</v>
      </c>
      <c r="I10" s="209">
        <v>0</v>
      </c>
      <c r="J10" s="209">
        <v>0</v>
      </c>
      <c r="K10" s="209">
        <v>409</v>
      </c>
    </row>
    <row r="11" spans="1:11" ht="24.75" customHeight="1">
      <c r="A11" s="260">
        <v>42644</v>
      </c>
      <c r="B11" s="209" t="s">
        <v>491</v>
      </c>
      <c r="C11" s="226">
        <v>300009232016</v>
      </c>
      <c r="D11" s="272" t="s">
        <v>499</v>
      </c>
      <c r="E11" s="209">
        <v>0</v>
      </c>
      <c r="F11" s="209">
        <v>0</v>
      </c>
      <c r="G11" s="209">
        <v>0</v>
      </c>
      <c r="H11" s="209">
        <v>0</v>
      </c>
      <c r="I11" s="209">
        <v>0</v>
      </c>
      <c r="J11" s="209">
        <v>0</v>
      </c>
      <c r="K11" s="209">
        <v>323</v>
      </c>
    </row>
    <row r="12" spans="1:11" ht="24.75" customHeight="1">
      <c r="A12" s="260">
        <v>42644</v>
      </c>
      <c r="B12" s="209" t="s">
        <v>491</v>
      </c>
      <c r="C12" s="226">
        <v>300009235974</v>
      </c>
      <c r="D12" s="272" t="s">
        <v>187</v>
      </c>
      <c r="E12" s="209">
        <v>0</v>
      </c>
      <c r="F12" s="209">
        <v>0</v>
      </c>
      <c r="G12" s="209">
        <v>0</v>
      </c>
      <c r="H12" s="209">
        <v>0</v>
      </c>
      <c r="I12" s="209">
        <v>0</v>
      </c>
      <c r="J12" s="209">
        <v>0</v>
      </c>
      <c r="K12" s="209">
        <v>0</v>
      </c>
    </row>
    <row r="13" spans="1:11" ht="24.75" customHeight="1">
      <c r="A13" s="260">
        <v>42644</v>
      </c>
      <c r="B13" s="209" t="s">
        <v>491</v>
      </c>
      <c r="C13" s="226">
        <v>300009358277</v>
      </c>
      <c r="D13" s="272" t="s">
        <v>500</v>
      </c>
      <c r="E13" s="209">
        <v>0</v>
      </c>
      <c r="F13" s="209">
        <v>0</v>
      </c>
      <c r="G13" s="209">
        <v>0</v>
      </c>
      <c r="H13" s="209">
        <v>0</v>
      </c>
      <c r="I13" s="209">
        <v>0</v>
      </c>
      <c r="J13" s="209">
        <v>0</v>
      </c>
      <c r="K13" s="209">
        <v>0</v>
      </c>
    </row>
    <row r="14" spans="1:11" ht="24.75" customHeight="1">
      <c r="A14" s="260">
        <v>42644</v>
      </c>
      <c r="B14" s="209" t="s">
        <v>491</v>
      </c>
      <c r="C14" s="226">
        <v>300009374212</v>
      </c>
      <c r="D14" s="272" t="s">
        <v>235</v>
      </c>
      <c r="E14" s="209">
        <v>0</v>
      </c>
      <c r="F14" s="209">
        <v>0</v>
      </c>
      <c r="G14" s="209">
        <v>0</v>
      </c>
      <c r="H14" s="209">
        <v>0</v>
      </c>
      <c r="I14" s="209">
        <v>0</v>
      </c>
      <c r="J14" s="209">
        <v>0</v>
      </c>
      <c r="K14" s="209">
        <v>0</v>
      </c>
    </row>
    <row r="15" spans="1:11" ht="24.75" customHeight="1">
      <c r="A15" s="260">
        <v>42644</v>
      </c>
      <c r="B15" s="209" t="s">
        <v>491</v>
      </c>
      <c r="C15" s="226">
        <v>300009410229</v>
      </c>
      <c r="D15" s="272" t="s">
        <v>279</v>
      </c>
      <c r="E15" s="209">
        <v>0</v>
      </c>
      <c r="F15" s="209">
        <v>0</v>
      </c>
      <c r="G15" s="209">
        <v>0</v>
      </c>
      <c r="H15" s="209">
        <v>0</v>
      </c>
      <c r="I15" s="209">
        <v>0</v>
      </c>
      <c r="J15" s="209">
        <v>0</v>
      </c>
      <c r="K15" s="209">
        <v>14</v>
      </c>
    </row>
    <row r="16" spans="1:11" ht="24.75" customHeight="1">
      <c r="A16" s="208">
        <v>42645</v>
      </c>
      <c r="B16" s="209" t="s">
        <v>491</v>
      </c>
      <c r="C16" s="226">
        <v>300007875924</v>
      </c>
      <c r="D16" s="209" t="s">
        <v>492</v>
      </c>
      <c r="E16" s="209">
        <v>0</v>
      </c>
      <c r="F16" s="209">
        <v>0</v>
      </c>
      <c r="G16" s="209">
        <v>0</v>
      </c>
      <c r="H16" s="209">
        <v>0</v>
      </c>
      <c r="I16" s="209">
        <v>0</v>
      </c>
      <c r="J16" s="209">
        <v>0</v>
      </c>
      <c r="K16" s="209">
        <v>3</v>
      </c>
    </row>
    <row r="17" spans="1:11" ht="24.75" customHeight="1">
      <c r="A17" s="208">
        <v>42645</v>
      </c>
      <c r="B17" s="209" t="s">
        <v>491</v>
      </c>
      <c r="C17" s="226">
        <v>300008074001</v>
      </c>
      <c r="D17" s="272" t="s">
        <v>493</v>
      </c>
      <c r="E17" s="209">
        <v>0</v>
      </c>
      <c r="F17" s="209">
        <v>0</v>
      </c>
      <c r="G17" s="209">
        <v>0</v>
      </c>
      <c r="H17" s="209">
        <v>0</v>
      </c>
      <c r="I17" s="209">
        <v>0</v>
      </c>
      <c r="J17" s="209">
        <v>0</v>
      </c>
      <c r="K17" s="209">
        <v>17</v>
      </c>
    </row>
    <row r="18" spans="1:11" ht="24.75" customHeight="1">
      <c r="A18" s="208">
        <v>42645</v>
      </c>
      <c r="B18" s="209" t="s">
        <v>491</v>
      </c>
      <c r="C18" s="226">
        <v>300008183804</v>
      </c>
      <c r="D18" s="272" t="s">
        <v>494</v>
      </c>
      <c r="E18" s="209">
        <v>0</v>
      </c>
      <c r="F18" s="209">
        <v>0</v>
      </c>
      <c r="G18" s="209">
        <v>0</v>
      </c>
      <c r="H18" s="209">
        <v>0</v>
      </c>
      <c r="I18" s="209">
        <v>0</v>
      </c>
      <c r="J18" s="209">
        <v>0</v>
      </c>
      <c r="K18" s="209">
        <v>5</v>
      </c>
    </row>
    <row r="19" spans="1:11" ht="24.75" customHeight="1">
      <c r="A19" s="208">
        <v>42645</v>
      </c>
      <c r="B19" s="209" t="s">
        <v>491</v>
      </c>
      <c r="C19" s="226">
        <v>300008841062</v>
      </c>
      <c r="D19" s="272" t="s">
        <v>277</v>
      </c>
      <c r="E19" s="209">
        <v>0</v>
      </c>
      <c r="F19" s="209">
        <v>0</v>
      </c>
      <c r="G19" s="209">
        <v>0</v>
      </c>
      <c r="H19" s="209">
        <v>0</v>
      </c>
      <c r="I19" s="209">
        <v>0</v>
      </c>
      <c r="J19" s="209">
        <v>0</v>
      </c>
      <c r="K19" s="209">
        <v>655</v>
      </c>
    </row>
    <row r="20" spans="1:11" ht="24.75" customHeight="1">
      <c r="A20" s="208">
        <v>42645</v>
      </c>
      <c r="B20" s="209" t="s">
        <v>491</v>
      </c>
      <c r="C20" s="226">
        <v>300008868585</v>
      </c>
      <c r="D20" s="272" t="s">
        <v>495</v>
      </c>
      <c r="E20" s="209">
        <v>0</v>
      </c>
      <c r="F20" s="209">
        <v>0</v>
      </c>
      <c r="G20" s="209">
        <v>0</v>
      </c>
      <c r="H20" s="209">
        <v>0</v>
      </c>
      <c r="I20" s="209">
        <v>0</v>
      </c>
      <c r="J20" s="209">
        <v>0</v>
      </c>
      <c r="K20" s="209">
        <v>107</v>
      </c>
    </row>
    <row r="21" spans="1:11" ht="24.75" customHeight="1">
      <c r="A21" s="208">
        <v>42645</v>
      </c>
      <c r="B21" s="209" t="s">
        <v>491</v>
      </c>
      <c r="C21" s="226">
        <v>300008975991</v>
      </c>
      <c r="D21" s="209" t="s">
        <v>496</v>
      </c>
      <c r="E21" s="209">
        <v>0</v>
      </c>
      <c r="F21" s="209">
        <v>0</v>
      </c>
      <c r="G21" s="209">
        <v>0</v>
      </c>
      <c r="H21" s="209">
        <v>0</v>
      </c>
      <c r="I21" s="209">
        <v>0</v>
      </c>
      <c r="J21" s="209">
        <v>0</v>
      </c>
      <c r="K21" s="209">
        <v>1</v>
      </c>
    </row>
    <row r="22" spans="1:11" ht="24.75" customHeight="1">
      <c r="A22" s="208">
        <v>42645</v>
      </c>
      <c r="B22" s="209" t="s">
        <v>491</v>
      </c>
      <c r="C22" s="226">
        <v>300008993578</v>
      </c>
      <c r="D22" s="272" t="s">
        <v>497</v>
      </c>
      <c r="E22" s="209">
        <v>0</v>
      </c>
      <c r="F22" s="209">
        <v>0</v>
      </c>
      <c r="G22" s="209">
        <v>0</v>
      </c>
      <c r="H22" s="209">
        <v>0</v>
      </c>
      <c r="I22" s="209">
        <v>0</v>
      </c>
      <c r="J22" s="209">
        <v>0</v>
      </c>
      <c r="K22" s="209">
        <v>321</v>
      </c>
    </row>
    <row r="23" spans="1:11" ht="24.75" customHeight="1">
      <c r="A23" s="208">
        <v>42645</v>
      </c>
      <c r="B23" s="209" t="s">
        <v>491</v>
      </c>
      <c r="C23" s="226">
        <v>300009016017</v>
      </c>
      <c r="D23" s="272" t="s">
        <v>498</v>
      </c>
      <c r="E23" s="209">
        <v>0</v>
      </c>
      <c r="F23" s="209">
        <v>0</v>
      </c>
      <c r="G23" s="209">
        <v>0</v>
      </c>
      <c r="H23" s="209">
        <v>0</v>
      </c>
      <c r="I23" s="209">
        <v>0</v>
      </c>
      <c r="J23" s="209">
        <v>0</v>
      </c>
      <c r="K23" s="209">
        <v>58</v>
      </c>
    </row>
    <row r="24" spans="1:11" ht="24.75" customHeight="1">
      <c r="A24" s="208">
        <v>42645</v>
      </c>
      <c r="B24" s="209" t="s">
        <v>491</v>
      </c>
      <c r="C24" s="226">
        <v>300009197635</v>
      </c>
      <c r="D24" s="272" t="s">
        <v>282</v>
      </c>
      <c r="E24" s="209">
        <v>1</v>
      </c>
      <c r="F24" s="209">
        <v>1</v>
      </c>
      <c r="G24" s="209">
        <v>1</v>
      </c>
      <c r="H24" s="209">
        <v>0</v>
      </c>
      <c r="I24" s="209">
        <v>0</v>
      </c>
      <c r="J24" s="209">
        <v>0</v>
      </c>
      <c r="K24" s="209">
        <v>782</v>
      </c>
    </row>
    <row r="25" spans="1:11" ht="24.75" customHeight="1">
      <c r="A25" s="208">
        <v>42645</v>
      </c>
      <c r="B25" s="209" t="s">
        <v>491</v>
      </c>
      <c r="C25" s="226">
        <v>300009232016</v>
      </c>
      <c r="D25" s="272" t="s">
        <v>499</v>
      </c>
      <c r="E25" s="209">
        <v>0</v>
      </c>
      <c r="F25" s="209">
        <v>0</v>
      </c>
      <c r="G25" s="209">
        <v>0</v>
      </c>
      <c r="H25" s="209">
        <v>0</v>
      </c>
      <c r="I25" s="209">
        <v>0</v>
      </c>
      <c r="J25" s="209">
        <v>0</v>
      </c>
      <c r="K25" s="209">
        <v>610</v>
      </c>
    </row>
    <row r="26" spans="1:11" ht="24.75" customHeight="1">
      <c r="A26" s="208">
        <v>42645</v>
      </c>
      <c r="B26" s="209" t="s">
        <v>491</v>
      </c>
      <c r="C26" s="226">
        <v>300009235974</v>
      </c>
      <c r="D26" s="272" t="s">
        <v>187</v>
      </c>
      <c r="E26" s="209">
        <v>0</v>
      </c>
      <c r="F26" s="209">
        <v>0</v>
      </c>
      <c r="G26" s="209">
        <v>0</v>
      </c>
      <c r="H26" s="209">
        <v>0</v>
      </c>
      <c r="I26" s="209">
        <v>0</v>
      </c>
      <c r="J26" s="209">
        <v>0</v>
      </c>
      <c r="K26" s="209">
        <v>0</v>
      </c>
    </row>
    <row r="27" spans="1:11" ht="24.75" customHeight="1">
      <c r="A27" s="208">
        <v>42645</v>
      </c>
      <c r="B27" s="209" t="s">
        <v>491</v>
      </c>
      <c r="C27" s="226">
        <v>300009358277</v>
      </c>
      <c r="D27" s="272" t="s">
        <v>500</v>
      </c>
      <c r="E27" s="209">
        <v>0</v>
      </c>
      <c r="F27" s="209">
        <v>0</v>
      </c>
      <c r="G27" s="209">
        <v>0</v>
      </c>
      <c r="H27" s="209">
        <v>0</v>
      </c>
      <c r="I27" s="209">
        <v>0</v>
      </c>
      <c r="J27" s="209">
        <v>0</v>
      </c>
      <c r="K27" s="209">
        <v>40</v>
      </c>
    </row>
    <row r="28" spans="1:11" ht="24.75" customHeight="1">
      <c r="A28" s="208">
        <v>42645</v>
      </c>
      <c r="B28" s="209" t="s">
        <v>491</v>
      </c>
      <c r="C28" s="226">
        <v>300009374212</v>
      </c>
      <c r="D28" s="272" t="s">
        <v>235</v>
      </c>
      <c r="E28" s="209">
        <v>0</v>
      </c>
      <c r="F28" s="209">
        <v>0</v>
      </c>
      <c r="G28" s="209">
        <v>0</v>
      </c>
      <c r="H28" s="209">
        <v>0</v>
      </c>
      <c r="I28" s="209">
        <v>0</v>
      </c>
      <c r="J28" s="209">
        <v>0</v>
      </c>
      <c r="K28" s="209">
        <v>0</v>
      </c>
    </row>
    <row r="29" spans="1:11" ht="24.75" customHeight="1">
      <c r="A29" s="208">
        <v>42645</v>
      </c>
      <c r="B29" s="209" t="s">
        <v>491</v>
      </c>
      <c r="C29" s="226">
        <v>300009374215</v>
      </c>
      <c r="D29" s="272" t="s">
        <v>236</v>
      </c>
      <c r="E29" s="209">
        <v>0</v>
      </c>
      <c r="F29" s="209">
        <v>0</v>
      </c>
      <c r="G29" s="209">
        <v>0</v>
      </c>
      <c r="H29" s="209">
        <v>0</v>
      </c>
      <c r="I29" s="209">
        <v>0</v>
      </c>
      <c r="J29" s="209">
        <v>0</v>
      </c>
      <c r="K29" s="209">
        <v>0</v>
      </c>
    </row>
    <row r="30" spans="1:11" ht="24.75" customHeight="1">
      <c r="A30" s="208">
        <v>42645</v>
      </c>
      <c r="B30" s="209" t="s">
        <v>491</v>
      </c>
      <c r="C30" s="226">
        <v>300009410229</v>
      </c>
      <c r="D30" s="272" t="s">
        <v>279</v>
      </c>
      <c r="E30" s="209">
        <v>0</v>
      </c>
      <c r="F30" s="209">
        <v>0</v>
      </c>
      <c r="G30" s="209">
        <v>0</v>
      </c>
      <c r="H30" s="209">
        <v>0</v>
      </c>
      <c r="I30" s="209">
        <v>0</v>
      </c>
      <c r="J30" s="209">
        <v>0</v>
      </c>
      <c r="K30" s="209">
        <v>30</v>
      </c>
    </row>
    <row r="31" spans="1:11" ht="24.75" customHeight="1">
      <c r="A31" s="208">
        <v>42646</v>
      </c>
      <c r="B31" s="209" t="s">
        <v>491</v>
      </c>
      <c r="C31" s="226">
        <v>300007875924</v>
      </c>
      <c r="D31" s="209" t="s">
        <v>492</v>
      </c>
      <c r="E31" s="209">
        <v>0</v>
      </c>
      <c r="F31" s="209">
        <v>0</v>
      </c>
      <c r="G31" s="209">
        <v>0</v>
      </c>
      <c r="H31" s="209">
        <v>0</v>
      </c>
      <c r="I31" s="209">
        <v>0</v>
      </c>
      <c r="J31" s="209">
        <v>0</v>
      </c>
      <c r="K31" s="209">
        <v>5</v>
      </c>
    </row>
    <row r="32" spans="1:11" ht="24.75" customHeight="1">
      <c r="A32" s="208">
        <v>42646</v>
      </c>
      <c r="B32" s="209" t="s">
        <v>491</v>
      </c>
      <c r="C32" s="226">
        <v>300008074001</v>
      </c>
      <c r="D32" s="272" t="s">
        <v>493</v>
      </c>
      <c r="E32" s="209">
        <v>0</v>
      </c>
      <c r="F32" s="209">
        <v>0</v>
      </c>
      <c r="G32" s="209">
        <v>0</v>
      </c>
      <c r="H32" s="209">
        <v>0</v>
      </c>
      <c r="I32" s="209">
        <v>0</v>
      </c>
      <c r="J32" s="209">
        <v>0</v>
      </c>
      <c r="K32" s="209">
        <v>24</v>
      </c>
    </row>
    <row r="33" spans="1:11" ht="24.75" customHeight="1">
      <c r="A33" s="208">
        <v>42646</v>
      </c>
      <c r="B33" s="209" t="s">
        <v>491</v>
      </c>
      <c r="C33" s="226">
        <v>300008183804</v>
      </c>
      <c r="D33" s="272" t="s">
        <v>494</v>
      </c>
      <c r="E33" s="209">
        <v>0</v>
      </c>
      <c r="F33" s="209">
        <v>0</v>
      </c>
      <c r="G33" s="209">
        <v>0</v>
      </c>
      <c r="H33" s="209">
        <v>0</v>
      </c>
      <c r="I33" s="209">
        <v>0</v>
      </c>
      <c r="J33" s="209">
        <v>0</v>
      </c>
      <c r="K33" s="209">
        <v>5</v>
      </c>
    </row>
    <row r="34" spans="1:11" ht="24.75" customHeight="1">
      <c r="A34" s="208">
        <v>42646</v>
      </c>
      <c r="B34" s="209" t="s">
        <v>491</v>
      </c>
      <c r="C34" s="226">
        <v>300008841062</v>
      </c>
      <c r="D34" s="272" t="s">
        <v>277</v>
      </c>
      <c r="E34" s="209">
        <v>0</v>
      </c>
      <c r="F34" s="209">
        <v>0</v>
      </c>
      <c r="G34" s="209">
        <v>0</v>
      </c>
      <c r="H34" s="209">
        <v>0</v>
      </c>
      <c r="I34" s="209">
        <v>0</v>
      </c>
      <c r="J34" s="209">
        <v>0</v>
      </c>
      <c r="K34" s="209">
        <v>929</v>
      </c>
    </row>
    <row r="35" spans="1:11" ht="24.75" customHeight="1">
      <c r="A35" s="208">
        <v>42646</v>
      </c>
      <c r="B35" s="209" t="s">
        <v>491</v>
      </c>
      <c r="C35" s="226">
        <v>300008868585</v>
      </c>
      <c r="D35" s="272" t="s">
        <v>495</v>
      </c>
      <c r="E35" s="209">
        <v>0</v>
      </c>
      <c r="F35" s="209">
        <v>0</v>
      </c>
      <c r="G35" s="209">
        <v>0</v>
      </c>
      <c r="H35" s="209">
        <v>0</v>
      </c>
      <c r="I35" s="209">
        <v>0</v>
      </c>
      <c r="J35" s="209">
        <v>0</v>
      </c>
      <c r="K35" s="209">
        <v>143</v>
      </c>
    </row>
    <row r="36" spans="1:11" ht="24.75" customHeight="1">
      <c r="A36" s="208">
        <v>42646</v>
      </c>
      <c r="B36" s="209" t="s">
        <v>491</v>
      </c>
      <c r="C36" s="226">
        <v>300008975991</v>
      </c>
      <c r="D36" s="209" t="s">
        <v>496</v>
      </c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2</v>
      </c>
    </row>
    <row r="37" spans="1:11" ht="24.75" customHeight="1">
      <c r="A37" s="208">
        <v>42646</v>
      </c>
      <c r="B37" s="209" t="s">
        <v>491</v>
      </c>
      <c r="C37" s="226">
        <v>300008993578</v>
      </c>
      <c r="D37" s="272" t="s">
        <v>497</v>
      </c>
      <c r="E37" s="209">
        <v>0</v>
      </c>
      <c r="F37" s="209">
        <v>0</v>
      </c>
      <c r="G37" s="209">
        <v>0</v>
      </c>
      <c r="H37" s="209">
        <v>0</v>
      </c>
      <c r="I37" s="209">
        <v>0</v>
      </c>
      <c r="J37" s="209">
        <v>0</v>
      </c>
      <c r="K37" s="209">
        <v>450</v>
      </c>
    </row>
    <row r="38" spans="1:11" ht="24.75" customHeight="1">
      <c r="A38" s="208">
        <v>42646</v>
      </c>
      <c r="B38" s="209" t="s">
        <v>491</v>
      </c>
      <c r="C38" s="226">
        <v>300009016017</v>
      </c>
      <c r="D38" s="272" t="s">
        <v>498</v>
      </c>
      <c r="E38" s="209">
        <v>0</v>
      </c>
      <c r="F38" s="209">
        <v>0</v>
      </c>
      <c r="G38" s="209">
        <v>0</v>
      </c>
      <c r="H38" s="209">
        <v>0</v>
      </c>
      <c r="I38" s="209">
        <v>0</v>
      </c>
      <c r="J38" s="209">
        <v>0</v>
      </c>
      <c r="K38" s="209">
        <v>93</v>
      </c>
    </row>
    <row r="39" spans="1:11" ht="24.75" customHeight="1">
      <c r="A39" s="208">
        <v>42646</v>
      </c>
      <c r="B39" s="209" t="s">
        <v>491</v>
      </c>
      <c r="C39" s="226">
        <v>300009197635</v>
      </c>
      <c r="D39" s="272" t="s">
        <v>282</v>
      </c>
      <c r="E39" s="209">
        <v>0</v>
      </c>
      <c r="F39" s="209">
        <v>2</v>
      </c>
      <c r="G39" s="209">
        <v>2</v>
      </c>
      <c r="H39" s="209">
        <v>0</v>
      </c>
      <c r="I39" s="209">
        <v>0</v>
      </c>
      <c r="J39" s="209">
        <v>0</v>
      </c>
      <c r="K39" s="209">
        <v>1108</v>
      </c>
    </row>
    <row r="40" spans="1:11" ht="24.75" customHeight="1">
      <c r="A40" s="208">
        <v>42646</v>
      </c>
      <c r="B40" s="209" t="s">
        <v>491</v>
      </c>
      <c r="C40" s="226">
        <v>300009232016</v>
      </c>
      <c r="D40" s="272" t="s">
        <v>499</v>
      </c>
      <c r="E40" s="209">
        <v>0</v>
      </c>
      <c r="F40" s="209">
        <v>0</v>
      </c>
      <c r="G40" s="209">
        <v>0</v>
      </c>
      <c r="H40" s="209">
        <v>0</v>
      </c>
      <c r="I40" s="209">
        <v>0</v>
      </c>
      <c r="J40" s="209">
        <v>0</v>
      </c>
      <c r="K40" s="209">
        <v>858</v>
      </c>
    </row>
    <row r="41" spans="1:11" ht="24.75" customHeight="1">
      <c r="A41" s="208">
        <v>42646</v>
      </c>
      <c r="B41" s="209" t="s">
        <v>491</v>
      </c>
      <c r="C41" s="226">
        <v>300009235974</v>
      </c>
      <c r="D41" s="272" t="s">
        <v>187</v>
      </c>
      <c r="E41" s="209">
        <v>0</v>
      </c>
      <c r="F41" s="209">
        <v>0</v>
      </c>
      <c r="G41" s="209">
        <v>0</v>
      </c>
      <c r="H41" s="209">
        <v>0</v>
      </c>
      <c r="I41" s="209">
        <v>0</v>
      </c>
      <c r="J41" s="209">
        <v>0</v>
      </c>
      <c r="K41" s="209">
        <v>0</v>
      </c>
    </row>
    <row r="42" spans="1:11" ht="24.75" customHeight="1">
      <c r="A42" s="208">
        <v>42646</v>
      </c>
      <c r="B42" s="209" t="s">
        <v>491</v>
      </c>
      <c r="C42" s="226">
        <v>300009358277</v>
      </c>
      <c r="D42" s="272" t="s">
        <v>500</v>
      </c>
      <c r="E42" s="209">
        <v>0</v>
      </c>
      <c r="F42" s="209">
        <v>0</v>
      </c>
      <c r="G42" s="209">
        <v>0</v>
      </c>
      <c r="H42" s="209">
        <v>0</v>
      </c>
      <c r="I42" s="209">
        <v>0</v>
      </c>
      <c r="J42" s="209">
        <v>0</v>
      </c>
      <c r="K42" s="209">
        <v>592</v>
      </c>
    </row>
    <row r="43" spans="1:11" ht="24.75" customHeight="1">
      <c r="A43" s="208">
        <v>42646</v>
      </c>
      <c r="B43" s="209" t="s">
        <v>491</v>
      </c>
      <c r="C43" s="226">
        <v>300009374212</v>
      </c>
      <c r="D43" s="272" t="s">
        <v>235</v>
      </c>
      <c r="E43" s="209">
        <v>0</v>
      </c>
      <c r="F43" s="209">
        <v>0</v>
      </c>
      <c r="G43" s="209">
        <v>0</v>
      </c>
      <c r="H43" s="209">
        <v>0</v>
      </c>
      <c r="I43" s="209">
        <v>0</v>
      </c>
      <c r="J43" s="209">
        <v>0</v>
      </c>
      <c r="K43" s="209">
        <v>0</v>
      </c>
    </row>
    <row r="44" spans="1:11" ht="24.75" customHeight="1">
      <c r="A44" s="208">
        <v>42646</v>
      </c>
      <c r="B44" s="209" t="s">
        <v>491</v>
      </c>
      <c r="C44" s="226">
        <v>300009374215</v>
      </c>
      <c r="D44" s="272" t="s">
        <v>236</v>
      </c>
      <c r="E44" s="209">
        <v>0</v>
      </c>
      <c r="F44" s="209">
        <v>0</v>
      </c>
      <c r="G44" s="209">
        <v>0</v>
      </c>
      <c r="H44" s="209">
        <v>0</v>
      </c>
      <c r="I44" s="209">
        <v>0</v>
      </c>
      <c r="J44" s="209">
        <v>0</v>
      </c>
      <c r="K44" s="209">
        <v>0</v>
      </c>
    </row>
    <row r="45" spans="1:11" ht="24.75" customHeight="1">
      <c r="A45" s="208">
        <v>42646</v>
      </c>
      <c r="B45" s="209" t="s">
        <v>491</v>
      </c>
      <c r="C45" s="226">
        <v>300009410229</v>
      </c>
      <c r="D45" s="272" t="s">
        <v>279</v>
      </c>
      <c r="E45" s="209">
        <v>0</v>
      </c>
      <c r="F45" s="209">
        <v>0</v>
      </c>
      <c r="G45" s="209">
        <v>0</v>
      </c>
      <c r="H45" s="209">
        <v>0</v>
      </c>
      <c r="I45" s="209">
        <v>0</v>
      </c>
      <c r="J45" s="209">
        <v>0</v>
      </c>
      <c r="K45" s="209">
        <v>35</v>
      </c>
    </row>
    <row r="46" spans="1:11" ht="24.75" customHeight="1">
      <c r="A46" s="208">
        <v>42647</v>
      </c>
      <c r="B46" s="209" t="s">
        <v>491</v>
      </c>
      <c r="C46" s="226">
        <v>300008841062</v>
      </c>
      <c r="D46" s="272" t="s">
        <v>277</v>
      </c>
      <c r="E46" s="209">
        <v>1</v>
      </c>
      <c r="F46" s="209">
        <v>2</v>
      </c>
      <c r="G46" s="209">
        <v>2</v>
      </c>
      <c r="H46" s="209">
        <v>1</v>
      </c>
      <c r="I46" s="209">
        <v>2</v>
      </c>
      <c r="J46" s="209">
        <v>2</v>
      </c>
      <c r="K46" s="209">
        <v>1260</v>
      </c>
    </row>
    <row r="47" spans="1:11" ht="24.75" customHeight="1">
      <c r="A47" s="208">
        <v>42647</v>
      </c>
      <c r="B47" s="209" t="s">
        <v>491</v>
      </c>
      <c r="C47" s="226">
        <v>300007875924</v>
      </c>
      <c r="D47" s="209" t="s">
        <v>492</v>
      </c>
      <c r="E47" s="209">
        <v>0</v>
      </c>
      <c r="F47" s="209">
        <v>0</v>
      </c>
      <c r="G47" s="209">
        <v>0</v>
      </c>
      <c r="H47" s="209">
        <v>0</v>
      </c>
      <c r="I47" s="209">
        <v>0</v>
      </c>
      <c r="J47" s="209">
        <v>0</v>
      </c>
      <c r="K47" s="209">
        <v>6</v>
      </c>
    </row>
    <row r="48" spans="1:11" ht="24.75" customHeight="1">
      <c r="A48" s="208">
        <v>42647</v>
      </c>
      <c r="B48" s="209" t="s">
        <v>491</v>
      </c>
      <c r="C48" s="226">
        <v>300008074001</v>
      </c>
      <c r="D48" s="272" t="s">
        <v>493</v>
      </c>
      <c r="E48" s="209">
        <v>0</v>
      </c>
      <c r="F48" s="209">
        <v>0</v>
      </c>
      <c r="G48" s="209">
        <v>0</v>
      </c>
      <c r="H48" s="209">
        <v>0</v>
      </c>
      <c r="I48" s="209">
        <v>0</v>
      </c>
      <c r="J48" s="209">
        <v>0</v>
      </c>
      <c r="K48" s="209">
        <v>29</v>
      </c>
    </row>
    <row r="49" spans="1:11" ht="24.75" customHeight="1">
      <c r="A49" s="208">
        <v>42647</v>
      </c>
      <c r="B49" s="209" t="s">
        <v>491</v>
      </c>
      <c r="C49" s="226">
        <v>300008183804</v>
      </c>
      <c r="D49" s="272" t="s">
        <v>494</v>
      </c>
      <c r="E49" s="209">
        <v>0</v>
      </c>
      <c r="F49" s="209">
        <v>0</v>
      </c>
      <c r="G49" s="209">
        <v>0</v>
      </c>
      <c r="H49" s="209">
        <v>0</v>
      </c>
      <c r="I49" s="209">
        <v>0</v>
      </c>
      <c r="J49" s="209">
        <v>0</v>
      </c>
      <c r="K49" s="209">
        <v>7</v>
      </c>
    </row>
    <row r="50" spans="1:11" ht="24.75" customHeight="1">
      <c r="A50" s="208">
        <v>42647</v>
      </c>
      <c r="B50" s="209" t="s">
        <v>491</v>
      </c>
      <c r="C50" s="226">
        <v>300008508327</v>
      </c>
      <c r="D50" s="209" t="s">
        <v>501</v>
      </c>
      <c r="E50" s="209">
        <v>0</v>
      </c>
      <c r="F50" s="209">
        <v>0</v>
      </c>
      <c r="G50" s="209">
        <v>0</v>
      </c>
      <c r="H50" s="209">
        <v>0</v>
      </c>
      <c r="I50" s="209">
        <v>0</v>
      </c>
      <c r="J50" s="209">
        <v>0</v>
      </c>
      <c r="K50" s="209">
        <v>191</v>
      </c>
    </row>
    <row r="51" spans="1:11" ht="24.75" customHeight="1">
      <c r="A51" s="208">
        <v>42647</v>
      </c>
      <c r="B51" s="209" t="s">
        <v>491</v>
      </c>
      <c r="C51" s="226">
        <v>300008868585</v>
      </c>
      <c r="D51" s="272" t="s">
        <v>495</v>
      </c>
      <c r="E51" s="209">
        <v>0</v>
      </c>
      <c r="F51" s="209">
        <v>0</v>
      </c>
      <c r="G51" s="209">
        <v>0</v>
      </c>
      <c r="H51" s="209">
        <v>0</v>
      </c>
      <c r="I51" s="209">
        <v>0</v>
      </c>
      <c r="J51" s="209">
        <v>0</v>
      </c>
      <c r="K51" s="209">
        <v>221</v>
      </c>
    </row>
    <row r="52" spans="1:11" ht="24.75" customHeight="1">
      <c r="A52" s="208">
        <v>42647</v>
      </c>
      <c r="B52" s="209" t="s">
        <v>491</v>
      </c>
      <c r="C52" s="226">
        <v>300008975991</v>
      </c>
      <c r="D52" s="209" t="s">
        <v>496</v>
      </c>
      <c r="E52" s="209">
        <v>0</v>
      </c>
      <c r="F52" s="209">
        <v>0</v>
      </c>
      <c r="G52" s="209">
        <v>0</v>
      </c>
      <c r="H52" s="209">
        <v>0</v>
      </c>
      <c r="I52" s="209">
        <v>0</v>
      </c>
      <c r="J52" s="209">
        <v>0</v>
      </c>
      <c r="K52" s="209">
        <v>4</v>
      </c>
    </row>
    <row r="53" spans="1:11" ht="24.75" customHeight="1">
      <c r="A53" s="208">
        <v>42647</v>
      </c>
      <c r="B53" s="209" t="s">
        <v>491</v>
      </c>
      <c r="C53" s="226">
        <v>300008993578</v>
      </c>
      <c r="D53" s="272" t="s">
        <v>497</v>
      </c>
      <c r="E53" s="209">
        <v>1</v>
      </c>
      <c r="F53" s="209">
        <v>1</v>
      </c>
      <c r="G53" s="209">
        <v>1</v>
      </c>
      <c r="H53" s="209">
        <v>0</v>
      </c>
      <c r="I53" s="209">
        <v>0</v>
      </c>
      <c r="J53" s="209">
        <v>0</v>
      </c>
      <c r="K53" s="209">
        <v>620</v>
      </c>
    </row>
    <row r="54" spans="1:11" ht="24.75" customHeight="1">
      <c r="A54" s="208">
        <v>42647</v>
      </c>
      <c r="B54" s="209" t="s">
        <v>491</v>
      </c>
      <c r="C54" s="226">
        <v>300009016017</v>
      </c>
      <c r="D54" s="272" t="s">
        <v>498</v>
      </c>
      <c r="E54" s="209">
        <v>0</v>
      </c>
      <c r="F54" s="209">
        <v>0</v>
      </c>
      <c r="G54" s="209">
        <v>0</v>
      </c>
      <c r="H54" s="209">
        <v>0</v>
      </c>
      <c r="I54" s="209">
        <v>0</v>
      </c>
      <c r="J54" s="209">
        <v>0</v>
      </c>
      <c r="K54" s="209">
        <v>145</v>
      </c>
    </row>
    <row r="55" spans="1:11" ht="24.75" customHeight="1">
      <c r="A55" s="208">
        <v>42647</v>
      </c>
      <c r="B55" s="209" t="s">
        <v>491</v>
      </c>
      <c r="C55" s="226">
        <v>300009193471</v>
      </c>
      <c r="D55" s="272" t="s">
        <v>502</v>
      </c>
      <c r="E55" s="209">
        <v>0</v>
      </c>
      <c r="F55" s="209">
        <v>0</v>
      </c>
      <c r="G55" s="209">
        <v>0</v>
      </c>
      <c r="H55" s="209">
        <v>0</v>
      </c>
      <c r="I55" s="209">
        <v>0</v>
      </c>
      <c r="J55" s="209">
        <v>0</v>
      </c>
      <c r="K55" s="209">
        <v>150</v>
      </c>
    </row>
    <row r="56" spans="1:11" ht="24.75" customHeight="1">
      <c r="A56" s="208">
        <v>42647</v>
      </c>
      <c r="B56" s="209" t="s">
        <v>491</v>
      </c>
      <c r="C56" s="226">
        <v>300009197635</v>
      </c>
      <c r="D56" s="272" t="s">
        <v>282</v>
      </c>
      <c r="E56" s="209">
        <v>2</v>
      </c>
      <c r="F56" s="209">
        <v>4</v>
      </c>
      <c r="G56" s="209">
        <v>4</v>
      </c>
      <c r="H56" s="209">
        <v>0</v>
      </c>
      <c r="I56" s="209">
        <v>0</v>
      </c>
      <c r="J56" s="209">
        <v>0</v>
      </c>
      <c r="K56" s="209">
        <v>1447</v>
      </c>
    </row>
    <row r="57" spans="1:11" ht="24.75" customHeight="1">
      <c r="A57" s="208">
        <v>42647</v>
      </c>
      <c r="B57" s="209" t="s">
        <v>491</v>
      </c>
      <c r="C57" s="226">
        <v>300009232016</v>
      </c>
      <c r="D57" s="272" t="s">
        <v>499</v>
      </c>
      <c r="E57" s="209">
        <v>0</v>
      </c>
      <c r="F57" s="209">
        <v>0</v>
      </c>
      <c r="G57" s="209">
        <v>0</v>
      </c>
      <c r="H57" s="209">
        <v>0</v>
      </c>
      <c r="I57" s="209">
        <v>0</v>
      </c>
      <c r="J57" s="209">
        <v>0</v>
      </c>
      <c r="K57" s="209">
        <v>1087</v>
      </c>
    </row>
    <row r="58" spans="1:11" ht="24.75" customHeight="1">
      <c r="A58" s="208">
        <v>42647</v>
      </c>
      <c r="B58" s="209" t="s">
        <v>491</v>
      </c>
      <c r="C58" s="226">
        <v>300009235974</v>
      </c>
      <c r="D58" s="272" t="s">
        <v>187</v>
      </c>
      <c r="E58" s="209">
        <v>0</v>
      </c>
      <c r="F58" s="209">
        <v>0</v>
      </c>
      <c r="G58" s="209">
        <v>0</v>
      </c>
      <c r="H58" s="209">
        <v>0</v>
      </c>
      <c r="I58" s="209">
        <v>0</v>
      </c>
      <c r="J58" s="209">
        <v>0</v>
      </c>
      <c r="K58" s="209">
        <v>0</v>
      </c>
    </row>
    <row r="59" spans="1:11" ht="24.75" customHeight="1">
      <c r="A59" s="208">
        <v>42647</v>
      </c>
      <c r="B59" s="209" t="s">
        <v>491</v>
      </c>
      <c r="C59" s="226">
        <v>300009358277</v>
      </c>
      <c r="D59" s="272" t="s">
        <v>500</v>
      </c>
      <c r="E59" s="209">
        <v>1</v>
      </c>
      <c r="F59" s="209">
        <v>1</v>
      </c>
      <c r="G59" s="209">
        <v>1</v>
      </c>
      <c r="H59" s="209">
        <v>0</v>
      </c>
      <c r="I59" s="209">
        <v>0</v>
      </c>
      <c r="J59" s="209">
        <v>0</v>
      </c>
      <c r="K59" s="209">
        <v>1108</v>
      </c>
    </row>
    <row r="60" spans="1:11" ht="24.75" customHeight="1">
      <c r="A60" s="208">
        <v>42647</v>
      </c>
      <c r="B60" s="209" t="s">
        <v>491</v>
      </c>
      <c r="C60" s="226">
        <v>300009374212</v>
      </c>
      <c r="D60" s="272" t="s">
        <v>235</v>
      </c>
      <c r="E60" s="209">
        <v>0</v>
      </c>
      <c r="F60" s="209">
        <v>0</v>
      </c>
      <c r="G60" s="209">
        <v>0</v>
      </c>
      <c r="H60" s="209">
        <v>0</v>
      </c>
      <c r="I60" s="209">
        <v>0</v>
      </c>
      <c r="J60" s="209">
        <v>0</v>
      </c>
      <c r="K60" s="209">
        <v>0</v>
      </c>
    </row>
    <row r="61" spans="1:11" ht="24.75" customHeight="1">
      <c r="A61" s="208">
        <v>42647</v>
      </c>
      <c r="B61" s="209" t="s">
        <v>491</v>
      </c>
      <c r="C61" s="226">
        <v>300009374215</v>
      </c>
      <c r="D61" s="272" t="s">
        <v>236</v>
      </c>
      <c r="E61" s="209">
        <v>0</v>
      </c>
      <c r="F61" s="209">
        <v>0</v>
      </c>
      <c r="G61" s="209">
        <v>0</v>
      </c>
      <c r="H61" s="209">
        <v>0</v>
      </c>
      <c r="I61" s="209">
        <v>0</v>
      </c>
      <c r="J61" s="209">
        <v>0</v>
      </c>
      <c r="K61" s="209">
        <v>0</v>
      </c>
    </row>
    <row r="62" spans="1:11" ht="24.75" customHeight="1">
      <c r="A62" s="208">
        <v>42647</v>
      </c>
      <c r="B62" s="209" t="s">
        <v>491</v>
      </c>
      <c r="C62" s="226">
        <v>300009410229</v>
      </c>
      <c r="D62" s="272" t="s">
        <v>279</v>
      </c>
      <c r="E62" s="209">
        <v>0</v>
      </c>
      <c r="F62" s="209">
        <v>0</v>
      </c>
      <c r="G62" s="209">
        <v>0</v>
      </c>
      <c r="H62" s="209">
        <v>0</v>
      </c>
      <c r="I62" s="209">
        <v>0</v>
      </c>
      <c r="J62" s="209">
        <v>0</v>
      </c>
      <c r="K62" s="209">
        <v>41</v>
      </c>
    </row>
    <row r="63" spans="1:11" ht="24.75" customHeight="1">
      <c r="A63" s="208">
        <v>42648</v>
      </c>
      <c r="B63" s="209" t="s">
        <v>491</v>
      </c>
      <c r="C63" s="226">
        <v>300009197635</v>
      </c>
      <c r="D63" s="272" t="s">
        <v>282</v>
      </c>
      <c r="E63" s="209">
        <v>4</v>
      </c>
      <c r="F63" s="209">
        <v>8</v>
      </c>
      <c r="G63" s="209">
        <v>8</v>
      </c>
      <c r="H63" s="209">
        <v>1</v>
      </c>
      <c r="I63" s="209">
        <v>1</v>
      </c>
      <c r="J63" s="209">
        <v>1</v>
      </c>
      <c r="K63" s="209">
        <v>1785</v>
      </c>
    </row>
    <row r="64" spans="1:11" ht="24.75" customHeight="1">
      <c r="A64" s="208">
        <v>42648</v>
      </c>
      <c r="B64" s="209" t="s">
        <v>491</v>
      </c>
      <c r="C64" s="226">
        <v>300009358277</v>
      </c>
      <c r="D64" s="272" t="s">
        <v>500</v>
      </c>
      <c r="E64" s="209">
        <v>5</v>
      </c>
      <c r="F64" s="209">
        <v>6</v>
      </c>
      <c r="G64" s="209">
        <v>6</v>
      </c>
      <c r="H64" s="209">
        <v>1</v>
      </c>
      <c r="I64" s="209">
        <v>1</v>
      </c>
      <c r="J64" s="209">
        <v>1</v>
      </c>
      <c r="K64" s="209">
        <v>1563</v>
      </c>
    </row>
    <row r="65" spans="1:11" ht="24.75" customHeight="1">
      <c r="A65" s="208">
        <v>42648</v>
      </c>
      <c r="B65" s="209" t="s">
        <v>491</v>
      </c>
      <c r="C65" s="226">
        <v>300007875924</v>
      </c>
      <c r="D65" s="209" t="s">
        <v>492</v>
      </c>
      <c r="E65" s="209">
        <v>0</v>
      </c>
      <c r="F65" s="209">
        <v>0</v>
      </c>
      <c r="G65" s="209">
        <v>0</v>
      </c>
      <c r="H65" s="209">
        <v>0</v>
      </c>
      <c r="I65" s="209">
        <v>0</v>
      </c>
      <c r="J65" s="209">
        <v>0</v>
      </c>
      <c r="K65" s="209">
        <v>7</v>
      </c>
    </row>
    <row r="66" spans="1:11" ht="24.75" customHeight="1">
      <c r="A66" s="208">
        <v>42648</v>
      </c>
      <c r="B66" s="209" t="s">
        <v>491</v>
      </c>
      <c r="C66" s="226">
        <v>300008508327</v>
      </c>
      <c r="D66" s="209" t="s">
        <v>501</v>
      </c>
      <c r="E66" s="209">
        <v>0</v>
      </c>
      <c r="F66" s="209">
        <v>0</v>
      </c>
      <c r="G66" s="209">
        <v>0</v>
      </c>
      <c r="H66" s="209">
        <v>0</v>
      </c>
      <c r="I66" s="209">
        <v>0</v>
      </c>
      <c r="J66" s="209">
        <v>0</v>
      </c>
      <c r="K66" s="209">
        <v>406</v>
      </c>
    </row>
    <row r="67" spans="1:11" ht="24.75" customHeight="1">
      <c r="A67" s="208">
        <v>42648</v>
      </c>
      <c r="B67" s="209" t="s">
        <v>491</v>
      </c>
      <c r="C67" s="226">
        <v>300008841062</v>
      </c>
      <c r="D67" s="272" t="s">
        <v>277</v>
      </c>
      <c r="E67" s="209">
        <v>0</v>
      </c>
      <c r="F67" s="209">
        <v>2</v>
      </c>
      <c r="G67" s="209">
        <v>2</v>
      </c>
      <c r="H67" s="209">
        <v>0</v>
      </c>
      <c r="I67" s="209">
        <v>2</v>
      </c>
      <c r="J67" s="209">
        <v>2</v>
      </c>
      <c r="K67" s="209">
        <v>1554</v>
      </c>
    </row>
    <row r="68" spans="1:11" ht="24.75" customHeight="1">
      <c r="A68" s="208">
        <v>42648</v>
      </c>
      <c r="B68" s="209" t="s">
        <v>491</v>
      </c>
      <c r="C68" s="226">
        <v>300008868585</v>
      </c>
      <c r="D68" s="272" t="s">
        <v>495</v>
      </c>
      <c r="E68" s="209">
        <v>0</v>
      </c>
      <c r="F68" s="209">
        <v>0</v>
      </c>
      <c r="G68" s="209">
        <v>0</v>
      </c>
      <c r="H68" s="209">
        <v>0</v>
      </c>
      <c r="I68" s="209">
        <v>0</v>
      </c>
      <c r="J68" s="209">
        <v>0</v>
      </c>
      <c r="K68" s="209">
        <v>319</v>
      </c>
    </row>
    <row r="69" spans="1:11" ht="24.75" customHeight="1">
      <c r="A69" s="208">
        <v>42648</v>
      </c>
      <c r="B69" s="209" t="s">
        <v>491</v>
      </c>
      <c r="C69" s="226">
        <v>300008975991</v>
      </c>
      <c r="D69" s="209" t="s">
        <v>496</v>
      </c>
      <c r="E69" s="209">
        <v>0</v>
      </c>
      <c r="F69" s="209">
        <v>0</v>
      </c>
      <c r="G69" s="209">
        <v>0</v>
      </c>
      <c r="H69" s="209">
        <v>0</v>
      </c>
      <c r="I69" s="209">
        <v>0</v>
      </c>
      <c r="J69" s="209">
        <v>0</v>
      </c>
      <c r="K69" s="209">
        <v>4</v>
      </c>
    </row>
    <row r="70" spans="1:11" ht="24.75" customHeight="1">
      <c r="A70" s="208">
        <v>42648</v>
      </c>
      <c r="B70" s="209" t="s">
        <v>491</v>
      </c>
      <c r="C70" s="226">
        <v>300008993578</v>
      </c>
      <c r="D70" s="272" t="s">
        <v>497</v>
      </c>
      <c r="E70" s="209">
        <v>0</v>
      </c>
      <c r="F70" s="209">
        <v>1</v>
      </c>
      <c r="G70" s="209">
        <v>1</v>
      </c>
      <c r="H70" s="209">
        <v>0</v>
      </c>
      <c r="I70" s="209">
        <v>0</v>
      </c>
      <c r="J70" s="209">
        <v>0</v>
      </c>
      <c r="K70" s="209">
        <v>765</v>
      </c>
    </row>
    <row r="71" spans="1:11" ht="24.75" customHeight="1">
      <c r="A71" s="208">
        <v>42648</v>
      </c>
      <c r="B71" s="209" t="s">
        <v>491</v>
      </c>
      <c r="C71" s="226">
        <v>300009016017</v>
      </c>
      <c r="D71" s="272" t="s">
        <v>498</v>
      </c>
      <c r="E71" s="209">
        <v>0</v>
      </c>
      <c r="F71" s="209">
        <v>0</v>
      </c>
      <c r="G71" s="209">
        <v>0</v>
      </c>
      <c r="H71" s="209">
        <v>0</v>
      </c>
      <c r="I71" s="209">
        <v>0</v>
      </c>
      <c r="J71" s="209">
        <v>0</v>
      </c>
      <c r="K71" s="209">
        <v>197</v>
      </c>
    </row>
    <row r="72" spans="1:11" ht="24.75" customHeight="1">
      <c r="A72" s="208">
        <v>42648</v>
      </c>
      <c r="B72" s="209" t="s">
        <v>491</v>
      </c>
      <c r="C72" s="226">
        <v>300009193471</v>
      </c>
      <c r="D72" s="272" t="s">
        <v>502</v>
      </c>
      <c r="E72" s="209">
        <v>0</v>
      </c>
      <c r="F72" s="209">
        <v>0</v>
      </c>
      <c r="G72" s="209">
        <v>0</v>
      </c>
      <c r="H72" s="209">
        <v>0</v>
      </c>
      <c r="I72" s="209">
        <v>0</v>
      </c>
      <c r="J72" s="209">
        <v>0</v>
      </c>
      <c r="K72" s="209">
        <v>280</v>
      </c>
    </row>
    <row r="73" spans="1:11" ht="24.75" customHeight="1">
      <c r="A73" s="208">
        <v>42648</v>
      </c>
      <c r="B73" s="209" t="s">
        <v>491</v>
      </c>
      <c r="C73" s="226">
        <v>300009016017</v>
      </c>
      <c r="D73" s="272" t="s">
        <v>498</v>
      </c>
      <c r="E73" s="209">
        <v>0</v>
      </c>
      <c r="F73" s="209">
        <v>0</v>
      </c>
      <c r="G73" s="209">
        <v>0</v>
      </c>
      <c r="H73" s="209">
        <v>0</v>
      </c>
      <c r="I73" s="209">
        <v>0</v>
      </c>
      <c r="J73" s="209">
        <v>0</v>
      </c>
      <c r="K73" s="209">
        <v>197</v>
      </c>
    </row>
    <row r="74" spans="1:11" ht="24.75" customHeight="1">
      <c r="A74" s="208">
        <v>42648</v>
      </c>
      <c r="B74" s="209" t="s">
        <v>491</v>
      </c>
      <c r="C74" s="226">
        <v>300009193471</v>
      </c>
      <c r="D74" s="272" t="s">
        <v>502</v>
      </c>
      <c r="E74" s="209">
        <v>0</v>
      </c>
      <c r="F74" s="209">
        <v>0</v>
      </c>
      <c r="G74" s="209">
        <v>0</v>
      </c>
      <c r="H74" s="209">
        <v>0</v>
      </c>
      <c r="I74" s="209">
        <v>0</v>
      </c>
      <c r="J74" s="209">
        <v>0</v>
      </c>
      <c r="K74" s="209">
        <v>280</v>
      </c>
    </row>
    <row r="75" spans="1:11" ht="24.75" customHeight="1">
      <c r="A75" s="208">
        <v>42648</v>
      </c>
      <c r="B75" s="209" t="s">
        <v>491</v>
      </c>
      <c r="C75" s="226">
        <v>300009232016</v>
      </c>
      <c r="D75" s="272" t="s">
        <v>499</v>
      </c>
      <c r="E75" s="209">
        <v>0</v>
      </c>
      <c r="F75" s="209">
        <v>1</v>
      </c>
      <c r="G75" s="209">
        <v>1</v>
      </c>
      <c r="H75" s="209">
        <v>0</v>
      </c>
      <c r="I75" s="209">
        <v>1</v>
      </c>
      <c r="J75" s="209">
        <v>1</v>
      </c>
      <c r="K75" s="209">
        <v>1307</v>
      </c>
    </row>
    <row r="76" spans="1:11" ht="24.75" customHeight="1">
      <c r="A76" s="208">
        <v>42648</v>
      </c>
      <c r="B76" s="209" t="s">
        <v>491</v>
      </c>
      <c r="C76" s="226">
        <v>300009235974</v>
      </c>
      <c r="D76" s="272" t="s">
        <v>187</v>
      </c>
      <c r="E76" s="209">
        <v>0</v>
      </c>
      <c r="F76" s="209">
        <v>0</v>
      </c>
      <c r="G76" s="209">
        <v>0</v>
      </c>
      <c r="H76" s="209">
        <v>0</v>
      </c>
      <c r="I76" s="209">
        <v>0</v>
      </c>
      <c r="J76" s="209">
        <v>0</v>
      </c>
      <c r="K76" s="209">
        <v>0</v>
      </c>
    </row>
    <row r="77" spans="1:11" ht="24.75" customHeight="1">
      <c r="A77" s="208">
        <v>42648</v>
      </c>
      <c r="B77" s="209" t="s">
        <v>491</v>
      </c>
      <c r="C77" s="226">
        <v>300009374212</v>
      </c>
      <c r="D77" s="272" t="s">
        <v>235</v>
      </c>
      <c r="E77" s="209">
        <v>0</v>
      </c>
      <c r="F77" s="209">
        <v>0</v>
      </c>
      <c r="G77" s="209">
        <v>0</v>
      </c>
      <c r="H77" s="209">
        <v>0</v>
      </c>
      <c r="I77" s="209">
        <v>0</v>
      </c>
      <c r="J77" s="209">
        <v>0</v>
      </c>
      <c r="K77" s="209">
        <v>0</v>
      </c>
    </row>
    <row r="78" spans="1:11" ht="24.75" customHeight="1">
      <c r="A78" s="208">
        <v>42648</v>
      </c>
      <c r="B78" s="209" t="s">
        <v>491</v>
      </c>
      <c r="C78" s="226">
        <v>300009374215</v>
      </c>
      <c r="D78" s="272" t="s">
        <v>236</v>
      </c>
      <c r="E78" s="209">
        <v>0</v>
      </c>
      <c r="F78" s="209">
        <v>0</v>
      </c>
      <c r="G78" s="209">
        <v>0</v>
      </c>
      <c r="H78" s="209">
        <v>0</v>
      </c>
      <c r="I78" s="209">
        <v>0</v>
      </c>
      <c r="J78" s="209">
        <v>0</v>
      </c>
      <c r="K78" s="209">
        <v>0</v>
      </c>
    </row>
    <row r="79" spans="1:11" ht="24.75" customHeight="1">
      <c r="A79" s="208">
        <v>42648</v>
      </c>
      <c r="B79" s="209" t="s">
        <v>491</v>
      </c>
      <c r="C79" s="226">
        <v>300009410229</v>
      </c>
      <c r="D79" s="272" t="s">
        <v>279</v>
      </c>
      <c r="E79" s="209">
        <v>0</v>
      </c>
      <c r="F79" s="209">
        <v>0</v>
      </c>
      <c r="G79" s="209">
        <v>0</v>
      </c>
      <c r="H79" s="209">
        <v>0</v>
      </c>
      <c r="I79" s="209">
        <v>0</v>
      </c>
      <c r="J79" s="209">
        <v>0</v>
      </c>
      <c r="K79" s="209">
        <v>46</v>
      </c>
    </row>
    <row r="80" spans="1:11" ht="24.75" customHeight="1">
      <c r="A80" s="208">
        <v>42649</v>
      </c>
      <c r="B80" s="209" t="s">
        <v>491</v>
      </c>
      <c r="C80" s="226">
        <v>300009193471</v>
      </c>
      <c r="D80" s="272" t="s">
        <v>502</v>
      </c>
      <c r="E80" s="209">
        <v>1</v>
      </c>
      <c r="F80" s="209">
        <v>1</v>
      </c>
      <c r="G80" s="209">
        <v>1</v>
      </c>
      <c r="H80" s="209">
        <v>1</v>
      </c>
      <c r="I80" s="209">
        <v>1</v>
      </c>
      <c r="J80" s="209">
        <v>1</v>
      </c>
      <c r="K80" s="209">
        <v>388</v>
      </c>
    </row>
    <row r="81" spans="1:11" ht="24.75" customHeight="1">
      <c r="A81" s="208">
        <v>42649</v>
      </c>
      <c r="B81" s="209" t="s">
        <v>491</v>
      </c>
      <c r="C81" s="226">
        <v>300007875924</v>
      </c>
      <c r="D81" s="209" t="s">
        <v>492</v>
      </c>
      <c r="E81" s="209">
        <v>0</v>
      </c>
      <c r="F81" s="209">
        <v>0</v>
      </c>
      <c r="G81" s="209">
        <v>0</v>
      </c>
      <c r="H81" s="209">
        <v>0</v>
      </c>
      <c r="I81" s="209">
        <v>0</v>
      </c>
      <c r="J81" s="209">
        <v>0</v>
      </c>
      <c r="K81" s="209">
        <v>7</v>
      </c>
    </row>
    <row r="82" spans="1:11" ht="24.75" customHeight="1">
      <c r="A82" s="208">
        <v>42649</v>
      </c>
      <c r="B82" s="209" t="s">
        <v>491</v>
      </c>
      <c r="C82" s="226">
        <v>300008074001</v>
      </c>
      <c r="D82" s="272" t="s">
        <v>493</v>
      </c>
      <c r="E82" s="209">
        <v>0</v>
      </c>
      <c r="F82" s="209">
        <v>0</v>
      </c>
      <c r="G82" s="209">
        <v>0</v>
      </c>
      <c r="H82" s="209">
        <v>0</v>
      </c>
      <c r="I82" s="209">
        <v>0</v>
      </c>
      <c r="J82" s="209">
        <v>0</v>
      </c>
      <c r="K82" s="209">
        <v>41</v>
      </c>
    </row>
    <row r="83" spans="1:11" ht="24.75" customHeight="1">
      <c r="A83" s="208">
        <v>42649</v>
      </c>
      <c r="B83" s="209" t="s">
        <v>491</v>
      </c>
      <c r="C83" s="226">
        <v>300008183804</v>
      </c>
      <c r="D83" s="272" t="s">
        <v>494</v>
      </c>
      <c r="E83" s="209">
        <v>0</v>
      </c>
      <c r="F83" s="209">
        <v>0</v>
      </c>
      <c r="G83" s="209">
        <v>0</v>
      </c>
      <c r="H83" s="209">
        <v>0</v>
      </c>
      <c r="I83" s="209">
        <v>0</v>
      </c>
      <c r="J83" s="209">
        <v>0</v>
      </c>
      <c r="K83" s="209">
        <v>8</v>
      </c>
    </row>
    <row r="84" spans="1:11" ht="24.75" customHeight="1">
      <c r="A84" s="208">
        <v>42649</v>
      </c>
      <c r="B84" s="209" t="s">
        <v>491</v>
      </c>
      <c r="C84" s="226">
        <v>300008508327</v>
      </c>
      <c r="D84" s="209" t="s">
        <v>501</v>
      </c>
      <c r="E84" s="209">
        <v>0</v>
      </c>
      <c r="F84" s="209">
        <v>0</v>
      </c>
      <c r="G84" s="209">
        <v>0</v>
      </c>
      <c r="H84" s="209">
        <v>0</v>
      </c>
      <c r="I84" s="209">
        <v>0</v>
      </c>
      <c r="J84" s="209">
        <v>0</v>
      </c>
      <c r="K84" s="209">
        <v>601</v>
      </c>
    </row>
    <row r="85" spans="1:11" ht="24.75" customHeight="1">
      <c r="A85" s="208">
        <v>42649</v>
      </c>
      <c r="B85" s="209" t="s">
        <v>491</v>
      </c>
      <c r="C85" s="226">
        <v>300008841062</v>
      </c>
      <c r="D85" s="272" t="s">
        <v>277</v>
      </c>
      <c r="E85" s="209">
        <v>1</v>
      </c>
      <c r="F85" s="209">
        <v>4</v>
      </c>
      <c r="G85" s="209">
        <v>4</v>
      </c>
      <c r="H85" s="209">
        <v>0</v>
      </c>
      <c r="I85" s="209">
        <v>3</v>
      </c>
      <c r="J85" s="209">
        <v>3</v>
      </c>
      <c r="K85" s="209">
        <v>1849</v>
      </c>
    </row>
    <row r="86" spans="1:11" ht="24.75" customHeight="1">
      <c r="A86" s="208">
        <v>42649</v>
      </c>
      <c r="B86" s="209" t="s">
        <v>491</v>
      </c>
      <c r="C86" s="226">
        <v>300008868585</v>
      </c>
      <c r="D86" s="272" t="s">
        <v>495</v>
      </c>
      <c r="E86" s="209">
        <v>0</v>
      </c>
      <c r="F86" s="209">
        <v>0</v>
      </c>
      <c r="G86" s="209">
        <v>0</v>
      </c>
      <c r="H86" s="209">
        <v>0</v>
      </c>
      <c r="I86" s="209">
        <v>0</v>
      </c>
      <c r="J86" s="209">
        <v>0</v>
      </c>
      <c r="K86" s="209">
        <v>413</v>
      </c>
    </row>
    <row r="87" spans="1:11" ht="24.75" customHeight="1">
      <c r="A87" s="208">
        <v>42649</v>
      </c>
      <c r="B87" s="209" t="s">
        <v>491</v>
      </c>
      <c r="C87" s="226">
        <v>300008975991</v>
      </c>
      <c r="D87" s="209" t="s">
        <v>496</v>
      </c>
      <c r="E87" s="209">
        <v>0</v>
      </c>
      <c r="F87" s="209">
        <v>0</v>
      </c>
      <c r="G87" s="209">
        <v>0</v>
      </c>
      <c r="H87" s="209">
        <v>0</v>
      </c>
      <c r="I87" s="209">
        <v>0</v>
      </c>
      <c r="J87" s="209">
        <v>0</v>
      </c>
      <c r="K87" s="209">
        <v>5</v>
      </c>
    </row>
    <row r="88" spans="1:11" ht="24.75" customHeight="1">
      <c r="A88" s="208">
        <v>42649</v>
      </c>
      <c r="B88" s="209" t="s">
        <v>491</v>
      </c>
      <c r="C88" s="226">
        <v>300008993578</v>
      </c>
      <c r="D88" s="272" t="s">
        <v>497</v>
      </c>
      <c r="E88" s="209">
        <v>0</v>
      </c>
      <c r="F88" s="209">
        <v>2</v>
      </c>
      <c r="G88" s="209">
        <v>2</v>
      </c>
      <c r="H88" s="209">
        <v>0</v>
      </c>
      <c r="I88" s="209">
        <v>1</v>
      </c>
      <c r="J88" s="209">
        <v>1</v>
      </c>
      <c r="K88" s="209">
        <v>936</v>
      </c>
    </row>
    <row r="89" spans="1:11" ht="24.75" customHeight="1">
      <c r="A89" s="208">
        <v>42649</v>
      </c>
      <c r="B89" s="209" t="s">
        <v>491</v>
      </c>
      <c r="C89" s="226">
        <v>300009016017</v>
      </c>
      <c r="D89" s="272" t="s">
        <v>498</v>
      </c>
      <c r="E89" s="209">
        <v>0</v>
      </c>
      <c r="F89" s="209">
        <v>0</v>
      </c>
      <c r="G89" s="209">
        <v>0</v>
      </c>
      <c r="H89" s="209">
        <v>0</v>
      </c>
      <c r="I89" s="209">
        <v>0</v>
      </c>
      <c r="J89" s="209">
        <v>0</v>
      </c>
      <c r="K89" s="209">
        <v>255</v>
      </c>
    </row>
    <row r="90" spans="1:11" ht="24.75" customHeight="1">
      <c r="A90" s="208">
        <v>42649</v>
      </c>
      <c r="B90" s="209" t="s">
        <v>491</v>
      </c>
      <c r="C90" s="226">
        <v>300009197635</v>
      </c>
      <c r="D90" s="272" t="s">
        <v>282</v>
      </c>
      <c r="E90" s="209">
        <v>1</v>
      </c>
      <c r="F90" s="209">
        <v>10</v>
      </c>
      <c r="G90" s="209">
        <v>10</v>
      </c>
      <c r="H90" s="209">
        <v>0</v>
      </c>
      <c r="I90" s="209">
        <v>2</v>
      </c>
      <c r="J90" s="209">
        <v>2</v>
      </c>
      <c r="K90" s="209">
        <v>2092</v>
      </c>
    </row>
    <row r="91" spans="1:11" ht="24.75" customHeight="1">
      <c r="A91" s="208">
        <v>42649</v>
      </c>
      <c r="B91" s="209" t="s">
        <v>491</v>
      </c>
      <c r="C91" s="226">
        <v>300009232016</v>
      </c>
      <c r="D91" s="272" t="s">
        <v>499</v>
      </c>
      <c r="E91" s="209">
        <v>0</v>
      </c>
      <c r="F91" s="209">
        <v>2</v>
      </c>
      <c r="G91" s="209">
        <v>2</v>
      </c>
      <c r="H91" s="209">
        <v>0</v>
      </c>
      <c r="I91" s="209">
        <v>2</v>
      </c>
      <c r="J91" s="209">
        <v>2</v>
      </c>
      <c r="K91" s="209">
        <v>1519</v>
      </c>
    </row>
    <row r="92" spans="1:11" ht="24.75" customHeight="1">
      <c r="A92" s="208">
        <v>42649</v>
      </c>
      <c r="B92" s="209" t="s">
        <v>491</v>
      </c>
      <c r="C92" s="226">
        <v>300009235974</v>
      </c>
      <c r="D92" s="272" t="s">
        <v>187</v>
      </c>
      <c r="E92" s="209">
        <v>0</v>
      </c>
      <c r="F92" s="209">
        <v>0</v>
      </c>
      <c r="G92" s="209">
        <v>0</v>
      </c>
      <c r="H92" s="209">
        <v>0</v>
      </c>
      <c r="I92" s="209">
        <v>0</v>
      </c>
      <c r="J92" s="209">
        <v>0</v>
      </c>
      <c r="K92" s="209">
        <v>0</v>
      </c>
    </row>
    <row r="93" spans="1:11" ht="24.75" customHeight="1">
      <c r="A93" s="208">
        <v>42649</v>
      </c>
      <c r="B93" s="209" t="s">
        <v>491</v>
      </c>
      <c r="C93" s="226">
        <v>300009358277</v>
      </c>
      <c r="D93" s="272" t="s">
        <v>500</v>
      </c>
      <c r="E93" s="209">
        <v>1</v>
      </c>
      <c r="F93" s="209">
        <v>8</v>
      </c>
      <c r="G93" s="209">
        <v>8</v>
      </c>
      <c r="H93" s="209">
        <v>0</v>
      </c>
      <c r="I93" s="209">
        <v>1</v>
      </c>
      <c r="J93" s="209">
        <v>1</v>
      </c>
      <c r="K93" s="209">
        <v>2012</v>
      </c>
    </row>
    <row r="94" spans="1:11" ht="24.75" customHeight="1">
      <c r="A94" s="208">
        <v>42649</v>
      </c>
      <c r="B94" s="209" t="s">
        <v>491</v>
      </c>
      <c r="C94" s="226">
        <v>300009374212</v>
      </c>
      <c r="D94" s="272" t="s">
        <v>235</v>
      </c>
      <c r="E94" s="209">
        <v>0</v>
      </c>
      <c r="F94" s="209">
        <v>0</v>
      </c>
      <c r="G94" s="209">
        <v>0</v>
      </c>
      <c r="H94" s="209">
        <v>0</v>
      </c>
      <c r="I94" s="209">
        <v>0</v>
      </c>
      <c r="J94" s="209">
        <v>0</v>
      </c>
      <c r="K94" s="209">
        <v>0</v>
      </c>
    </row>
    <row r="95" spans="1:11" ht="24.75" customHeight="1">
      <c r="A95" s="208">
        <v>42649</v>
      </c>
      <c r="B95" s="209" t="s">
        <v>491</v>
      </c>
      <c r="C95" s="226">
        <v>300009374215</v>
      </c>
      <c r="D95" s="272" t="s">
        <v>236</v>
      </c>
      <c r="E95" s="209">
        <v>0</v>
      </c>
      <c r="F95" s="209">
        <v>0</v>
      </c>
      <c r="G95" s="209">
        <v>0</v>
      </c>
      <c r="H95" s="209">
        <v>0</v>
      </c>
      <c r="I95" s="209">
        <v>0</v>
      </c>
      <c r="J95" s="209">
        <v>0</v>
      </c>
      <c r="K95" s="209">
        <v>0</v>
      </c>
    </row>
    <row r="96" spans="1:11" ht="24.75" customHeight="1">
      <c r="A96" s="208">
        <v>42649</v>
      </c>
      <c r="B96" s="209" t="s">
        <v>491</v>
      </c>
      <c r="C96" s="226">
        <v>300009410229</v>
      </c>
      <c r="D96" s="272" t="s">
        <v>279</v>
      </c>
      <c r="E96" s="209">
        <v>0</v>
      </c>
      <c r="F96" s="209">
        <v>0</v>
      </c>
      <c r="G96" s="209">
        <v>0</v>
      </c>
      <c r="H96" s="209">
        <v>0</v>
      </c>
      <c r="I96" s="209">
        <v>0</v>
      </c>
      <c r="J96" s="209">
        <v>0</v>
      </c>
      <c r="K96" s="209">
        <v>48</v>
      </c>
    </row>
    <row r="97" spans="1:11" ht="24.75" customHeight="1">
      <c r="A97" s="208">
        <v>42650</v>
      </c>
      <c r="B97" s="209" t="s">
        <v>491</v>
      </c>
      <c r="C97" s="226">
        <v>300007875924</v>
      </c>
      <c r="D97" s="209" t="s">
        <v>492</v>
      </c>
      <c r="E97" s="209">
        <v>0</v>
      </c>
      <c r="F97" s="209">
        <v>0</v>
      </c>
      <c r="G97" s="209">
        <v>0</v>
      </c>
      <c r="H97" s="209">
        <v>0</v>
      </c>
      <c r="I97" s="209">
        <v>0</v>
      </c>
      <c r="J97" s="209">
        <v>0</v>
      </c>
      <c r="K97" s="209">
        <v>7</v>
      </c>
    </row>
    <row r="98" spans="1:11" ht="24.75" customHeight="1">
      <c r="A98" s="208">
        <v>42650</v>
      </c>
      <c r="B98" s="209" t="s">
        <v>491</v>
      </c>
      <c r="C98" s="226">
        <v>300008074001</v>
      </c>
      <c r="D98" s="272" t="s">
        <v>493</v>
      </c>
      <c r="E98" s="209">
        <v>0</v>
      </c>
      <c r="F98" s="209">
        <v>0</v>
      </c>
      <c r="G98" s="209">
        <v>0</v>
      </c>
      <c r="H98" s="209">
        <v>0</v>
      </c>
      <c r="I98" s="209">
        <v>0</v>
      </c>
      <c r="J98" s="209">
        <v>0</v>
      </c>
      <c r="K98" s="209">
        <v>43</v>
      </c>
    </row>
    <row r="99" spans="1:11" ht="24.75" customHeight="1">
      <c r="A99" s="208">
        <v>42650</v>
      </c>
      <c r="B99" s="209" t="s">
        <v>491</v>
      </c>
      <c r="C99" s="226">
        <v>300008183804</v>
      </c>
      <c r="D99" s="272" t="s">
        <v>494</v>
      </c>
      <c r="E99" s="209">
        <v>0</v>
      </c>
      <c r="F99" s="209">
        <v>0</v>
      </c>
      <c r="G99" s="209">
        <v>0</v>
      </c>
      <c r="H99" s="209">
        <v>0</v>
      </c>
      <c r="I99" s="209">
        <v>0</v>
      </c>
      <c r="J99" s="209">
        <v>0</v>
      </c>
      <c r="K99" s="209">
        <v>9</v>
      </c>
    </row>
    <row r="100" spans="1:11" ht="24.75" customHeight="1">
      <c r="A100" s="208">
        <v>42650</v>
      </c>
      <c r="B100" s="209" t="s">
        <v>491</v>
      </c>
      <c r="C100" s="226">
        <v>300008508327</v>
      </c>
      <c r="D100" s="209" t="s">
        <v>501</v>
      </c>
      <c r="E100" s="209">
        <v>0</v>
      </c>
      <c r="F100" s="209">
        <v>0</v>
      </c>
      <c r="G100" s="209">
        <v>0</v>
      </c>
      <c r="H100" s="209">
        <v>0</v>
      </c>
      <c r="I100" s="209">
        <v>0</v>
      </c>
      <c r="J100" s="209">
        <v>0</v>
      </c>
      <c r="K100" s="209">
        <v>756</v>
      </c>
    </row>
    <row r="101" spans="1:11" ht="24.75" customHeight="1">
      <c r="A101" s="208">
        <v>42650</v>
      </c>
      <c r="B101" s="209" t="s">
        <v>491</v>
      </c>
      <c r="C101" s="226">
        <v>300008841062</v>
      </c>
      <c r="D101" s="272" t="s">
        <v>277</v>
      </c>
      <c r="E101" s="209">
        <v>0</v>
      </c>
      <c r="F101" s="209">
        <v>4</v>
      </c>
      <c r="G101" s="209">
        <v>4</v>
      </c>
      <c r="H101" s="209">
        <v>0</v>
      </c>
      <c r="I101" s="209">
        <v>3</v>
      </c>
      <c r="J101" s="209">
        <v>3</v>
      </c>
      <c r="K101" s="209">
        <v>2140</v>
      </c>
    </row>
    <row r="102" spans="1:11" ht="24.75" customHeight="1">
      <c r="A102" s="208">
        <v>42650</v>
      </c>
      <c r="B102" s="209" t="s">
        <v>491</v>
      </c>
      <c r="C102" s="226">
        <v>300008868585</v>
      </c>
      <c r="D102" s="272" t="s">
        <v>495</v>
      </c>
      <c r="E102" s="209">
        <v>0</v>
      </c>
      <c r="F102" s="209">
        <v>0</v>
      </c>
      <c r="G102" s="209">
        <v>0</v>
      </c>
      <c r="H102" s="209">
        <v>0</v>
      </c>
      <c r="I102" s="209">
        <v>0</v>
      </c>
      <c r="J102" s="209">
        <v>0</v>
      </c>
      <c r="K102" s="209">
        <v>494</v>
      </c>
    </row>
    <row r="103" spans="1:11" ht="24.75" customHeight="1">
      <c r="A103" s="208">
        <v>42650</v>
      </c>
      <c r="B103" s="209" t="s">
        <v>491</v>
      </c>
      <c r="C103" s="226">
        <v>300008975991</v>
      </c>
      <c r="D103" s="209" t="s">
        <v>496</v>
      </c>
      <c r="E103" s="209">
        <v>0</v>
      </c>
      <c r="F103" s="209">
        <v>0</v>
      </c>
      <c r="G103" s="209">
        <v>0</v>
      </c>
      <c r="H103" s="209">
        <v>0</v>
      </c>
      <c r="I103" s="209">
        <v>0</v>
      </c>
      <c r="J103" s="209">
        <v>0</v>
      </c>
      <c r="K103" s="209">
        <v>5</v>
      </c>
    </row>
    <row r="104" spans="1:11" ht="24.75" customHeight="1">
      <c r="A104" s="208">
        <v>42650</v>
      </c>
      <c r="B104" s="209" t="s">
        <v>491</v>
      </c>
      <c r="C104" s="226">
        <v>300008993578</v>
      </c>
      <c r="D104" s="272" t="s">
        <v>497</v>
      </c>
      <c r="E104" s="209">
        <v>0</v>
      </c>
      <c r="F104" s="209">
        <v>2</v>
      </c>
      <c r="G104" s="209">
        <v>2</v>
      </c>
      <c r="H104" s="209">
        <v>0</v>
      </c>
      <c r="I104" s="209">
        <v>1</v>
      </c>
      <c r="J104" s="209">
        <v>1</v>
      </c>
      <c r="K104" s="209">
        <v>1085</v>
      </c>
    </row>
    <row r="105" spans="1:11" ht="24.75" customHeight="1">
      <c r="A105" s="208">
        <v>42650</v>
      </c>
      <c r="B105" s="209" t="s">
        <v>491</v>
      </c>
      <c r="C105" s="226">
        <v>300009016017</v>
      </c>
      <c r="D105" s="272" t="s">
        <v>498</v>
      </c>
      <c r="E105" s="209">
        <v>0</v>
      </c>
      <c r="F105" s="209">
        <v>0</v>
      </c>
      <c r="G105" s="209">
        <v>0</v>
      </c>
      <c r="H105" s="209">
        <v>0</v>
      </c>
      <c r="I105" s="209">
        <v>0</v>
      </c>
      <c r="J105" s="209">
        <v>0</v>
      </c>
      <c r="K105" s="209">
        <v>302</v>
      </c>
    </row>
    <row r="106" spans="1:11" ht="24.75" customHeight="1">
      <c r="A106" s="208">
        <v>42650</v>
      </c>
      <c r="B106" s="209" t="s">
        <v>491</v>
      </c>
      <c r="C106" s="226">
        <v>300009193471</v>
      </c>
      <c r="D106" s="272" t="s">
        <v>502</v>
      </c>
      <c r="E106" s="209">
        <v>0</v>
      </c>
      <c r="F106" s="209">
        <v>2</v>
      </c>
      <c r="G106" s="209">
        <v>2</v>
      </c>
      <c r="H106" s="209">
        <v>0</v>
      </c>
      <c r="I106" s="209">
        <v>1</v>
      </c>
      <c r="J106" s="209">
        <v>1</v>
      </c>
      <c r="K106" s="209">
        <v>500</v>
      </c>
    </row>
    <row r="107" spans="1:11" ht="24.75" customHeight="1">
      <c r="A107" s="208">
        <v>42650</v>
      </c>
      <c r="B107" s="209" t="s">
        <v>491</v>
      </c>
      <c r="C107" s="226">
        <v>300009197635</v>
      </c>
      <c r="D107" s="272" t="s">
        <v>282</v>
      </c>
      <c r="E107" s="209">
        <v>0</v>
      </c>
      <c r="F107" s="209">
        <v>10</v>
      </c>
      <c r="G107" s="209">
        <v>10</v>
      </c>
      <c r="H107" s="209">
        <v>0</v>
      </c>
      <c r="I107" s="209">
        <v>2</v>
      </c>
      <c r="J107" s="209">
        <v>2</v>
      </c>
      <c r="K107" s="209">
        <v>2425</v>
      </c>
    </row>
    <row r="108" spans="1:11" ht="24.75" customHeight="1">
      <c r="A108" s="208">
        <v>42650</v>
      </c>
      <c r="B108" s="209" t="s">
        <v>491</v>
      </c>
      <c r="C108" s="226">
        <v>300009228510</v>
      </c>
      <c r="D108" s="272" t="s">
        <v>503</v>
      </c>
      <c r="E108" s="209">
        <v>0</v>
      </c>
      <c r="F108" s="209">
        <v>0</v>
      </c>
      <c r="G108" s="209">
        <v>0</v>
      </c>
      <c r="H108" s="209">
        <v>0</v>
      </c>
      <c r="I108" s="209">
        <v>0</v>
      </c>
      <c r="J108" s="209">
        <v>0</v>
      </c>
      <c r="K108" s="209">
        <v>1</v>
      </c>
    </row>
    <row r="109" spans="1:11" ht="24.75" customHeight="1">
      <c r="A109" s="208">
        <v>42650</v>
      </c>
      <c r="B109" s="209" t="s">
        <v>491</v>
      </c>
      <c r="C109" s="226">
        <v>300009232016</v>
      </c>
      <c r="D109" s="272" t="s">
        <v>499</v>
      </c>
      <c r="E109" s="209">
        <v>0</v>
      </c>
      <c r="F109" s="209">
        <v>3</v>
      </c>
      <c r="G109" s="209">
        <v>3</v>
      </c>
      <c r="H109" s="209">
        <v>0</v>
      </c>
      <c r="I109" s="209">
        <v>3</v>
      </c>
      <c r="J109" s="209">
        <v>3</v>
      </c>
      <c r="K109" s="209">
        <v>1772</v>
      </c>
    </row>
    <row r="110" spans="1:11" ht="24.75" customHeight="1">
      <c r="A110" s="208">
        <v>42650</v>
      </c>
      <c r="B110" s="209" t="s">
        <v>491</v>
      </c>
      <c r="C110" s="226">
        <v>300009235974</v>
      </c>
      <c r="D110" s="272" t="s">
        <v>187</v>
      </c>
      <c r="E110" s="209">
        <v>0</v>
      </c>
      <c r="F110" s="209">
        <v>0</v>
      </c>
      <c r="G110" s="209">
        <v>0</v>
      </c>
      <c r="H110" s="209">
        <v>0</v>
      </c>
      <c r="I110" s="209">
        <v>0</v>
      </c>
      <c r="J110" s="209">
        <v>0</v>
      </c>
      <c r="K110" s="209">
        <v>0</v>
      </c>
    </row>
    <row r="111" spans="1:11" ht="24.75" customHeight="1">
      <c r="A111" s="208">
        <v>42650</v>
      </c>
      <c r="B111" s="209" t="s">
        <v>491</v>
      </c>
      <c r="C111" s="226">
        <v>300009358277</v>
      </c>
      <c r="D111" s="272" t="s">
        <v>500</v>
      </c>
      <c r="E111" s="209">
        <v>0</v>
      </c>
      <c r="F111" s="209">
        <v>9</v>
      </c>
      <c r="G111" s="209">
        <v>9</v>
      </c>
      <c r="H111" s="209">
        <v>0</v>
      </c>
      <c r="I111" s="209">
        <v>1</v>
      </c>
      <c r="J111" s="209">
        <v>1</v>
      </c>
      <c r="K111" s="209">
        <v>2446</v>
      </c>
    </row>
    <row r="112" spans="1:11" ht="24.75" customHeight="1">
      <c r="A112" s="208">
        <v>42650</v>
      </c>
      <c r="B112" s="209" t="s">
        <v>491</v>
      </c>
      <c r="C112" s="226">
        <v>300009374212</v>
      </c>
      <c r="D112" s="272" t="s">
        <v>235</v>
      </c>
      <c r="E112" s="209">
        <v>0</v>
      </c>
      <c r="F112" s="209">
        <v>0</v>
      </c>
      <c r="G112" s="209">
        <v>0</v>
      </c>
      <c r="H112" s="209">
        <v>0</v>
      </c>
      <c r="I112" s="209">
        <v>0</v>
      </c>
      <c r="J112" s="209">
        <v>0</v>
      </c>
      <c r="K112" s="209">
        <v>0</v>
      </c>
    </row>
    <row r="113" spans="1:11" ht="24.75" customHeight="1">
      <c r="A113" s="208">
        <v>42650</v>
      </c>
      <c r="B113" s="209" t="s">
        <v>491</v>
      </c>
      <c r="C113" s="226">
        <v>300009374215</v>
      </c>
      <c r="D113" s="272" t="s">
        <v>236</v>
      </c>
      <c r="E113" s="209">
        <v>0</v>
      </c>
      <c r="F113" s="209">
        <v>1</v>
      </c>
      <c r="G113" s="209">
        <v>1</v>
      </c>
      <c r="H113" s="209">
        <v>0</v>
      </c>
      <c r="I113" s="209">
        <v>0</v>
      </c>
      <c r="J113" s="209">
        <v>0</v>
      </c>
      <c r="K113" s="209">
        <v>0</v>
      </c>
    </row>
    <row r="114" spans="1:11" ht="24.75" customHeight="1">
      <c r="A114" s="208">
        <v>42650</v>
      </c>
      <c r="B114" s="209" t="s">
        <v>491</v>
      </c>
      <c r="C114" s="226">
        <v>300009410229</v>
      </c>
      <c r="D114" s="272" t="s">
        <v>279</v>
      </c>
      <c r="E114" s="209">
        <v>0</v>
      </c>
      <c r="F114" s="209">
        <v>0</v>
      </c>
      <c r="G114" s="209">
        <v>0</v>
      </c>
      <c r="H114" s="209">
        <v>0</v>
      </c>
      <c r="I114" s="209">
        <v>0</v>
      </c>
      <c r="J114" s="209">
        <v>0</v>
      </c>
      <c r="K114" s="209">
        <v>53</v>
      </c>
    </row>
    <row r="115" spans="1:11" ht="24.75" customHeight="1">
      <c r="A115" s="260">
        <v>42644</v>
      </c>
      <c r="B115" s="209" t="s">
        <v>511</v>
      </c>
      <c r="C115" s="226">
        <v>300009235971</v>
      </c>
      <c r="D115" s="272" t="s">
        <v>241</v>
      </c>
      <c r="E115" s="209">
        <v>0</v>
      </c>
      <c r="F115" s="209">
        <v>0</v>
      </c>
      <c r="G115" s="209">
        <v>0</v>
      </c>
      <c r="H115" s="209" t="s">
        <v>242</v>
      </c>
      <c r="I115" s="209" t="s">
        <v>242</v>
      </c>
      <c r="J115" s="209" t="s">
        <v>242</v>
      </c>
      <c r="K115" s="209">
        <v>0</v>
      </c>
    </row>
    <row r="116" spans="1:11" ht="24.75" customHeight="1">
      <c r="A116" s="260">
        <v>42644</v>
      </c>
      <c r="B116" s="209" t="s">
        <v>511</v>
      </c>
      <c r="C116" s="226">
        <v>300008193965</v>
      </c>
      <c r="D116" s="272" t="s">
        <v>512</v>
      </c>
      <c r="E116" s="209">
        <v>0</v>
      </c>
      <c r="F116" s="209">
        <v>0</v>
      </c>
      <c r="G116" s="209">
        <v>0</v>
      </c>
      <c r="H116" s="209">
        <v>0</v>
      </c>
      <c r="I116" s="209">
        <v>0</v>
      </c>
      <c r="J116" s="209">
        <v>0</v>
      </c>
      <c r="K116" s="209">
        <v>1</v>
      </c>
    </row>
    <row r="117" spans="1:11" ht="24.75" customHeight="1">
      <c r="A117" s="260">
        <v>42644</v>
      </c>
      <c r="B117" s="209" t="s">
        <v>511</v>
      </c>
      <c r="C117" s="226">
        <v>300008508327</v>
      </c>
      <c r="D117" s="209" t="s">
        <v>501</v>
      </c>
      <c r="E117" s="209">
        <v>0</v>
      </c>
      <c r="F117" s="209">
        <v>0</v>
      </c>
      <c r="G117" s="209">
        <v>0</v>
      </c>
      <c r="H117" s="209">
        <v>0</v>
      </c>
      <c r="I117" s="209">
        <v>0</v>
      </c>
      <c r="J117" s="209">
        <v>0</v>
      </c>
      <c r="K117" s="209">
        <v>180</v>
      </c>
    </row>
    <row r="118" spans="1:11" ht="24.75" customHeight="1">
      <c r="A118" s="260">
        <v>42644</v>
      </c>
      <c r="B118" s="209" t="s">
        <v>511</v>
      </c>
      <c r="C118" s="226">
        <v>300008579657</v>
      </c>
      <c r="D118" s="272" t="s">
        <v>513</v>
      </c>
      <c r="E118" s="209">
        <v>0</v>
      </c>
      <c r="F118" s="209">
        <v>0</v>
      </c>
      <c r="G118" s="209">
        <v>0</v>
      </c>
      <c r="H118" s="209">
        <v>0</v>
      </c>
      <c r="I118" s="209">
        <v>0</v>
      </c>
      <c r="J118" s="209">
        <v>0</v>
      </c>
      <c r="K118" s="209">
        <v>0</v>
      </c>
    </row>
    <row r="119" spans="1:11" ht="24.75" customHeight="1">
      <c r="A119" s="260">
        <v>42644</v>
      </c>
      <c r="B119" s="209" t="s">
        <v>511</v>
      </c>
      <c r="C119" s="226">
        <v>300008841062</v>
      </c>
      <c r="D119" s="272" t="s">
        <v>277</v>
      </c>
      <c r="E119" s="209">
        <v>0</v>
      </c>
      <c r="F119" s="209">
        <v>0</v>
      </c>
      <c r="G119" s="209">
        <v>0</v>
      </c>
      <c r="H119" s="209">
        <v>0</v>
      </c>
      <c r="I119" s="209">
        <v>0</v>
      </c>
      <c r="J119" s="209">
        <v>0</v>
      </c>
      <c r="K119" s="209">
        <v>327</v>
      </c>
    </row>
    <row r="120" spans="1:11" ht="24.75" customHeight="1">
      <c r="A120" s="260">
        <v>42644</v>
      </c>
      <c r="B120" s="209" t="s">
        <v>511</v>
      </c>
      <c r="C120" s="226">
        <v>300008868585</v>
      </c>
      <c r="D120" s="272" t="s">
        <v>495</v>
      </c>
      <c r="E120" s="209">
        <v>0</v>
      </c>
      <c r="F120" s="209">
        <v>0</v>
      </c>
      <c r="G120" s="209">
        <v>0</v>
      </c>
      <c r="H120" s="209">
        <v>0</v>
      </c>
      <c r="I120" s="209">
        <v>0</v>
      </c>
      <c r="J120" s="209">
        <v>0</v>
      </c>
      <c r="K120" s="209">
        <v>75</v>
      </c>
    </row>
    <row r="121" spans="1:11" ht="24.75" customHeight="1">
      <c r="A121" s="260">
        <v>42644</v>
      </c>
      <c r="B121" s="209" t="s">
        <v>511</v>
      </c>
      <c r="C121" s="226">
        <v>300008993578</v>
      </c>
      <c r="D121" s="272" t="s">
        <v>497</v>
      </c>
      <c r="E121" s="209">
        <v>0</v>
      </c>
      <c r="F121" s="209">
        <v>0</v>
      </c>
      <c r="G121" s="209">
        <v>0</v>
      </c>
      <c r="H121" s="209">
        <v>0</v>
      </c>
      <c r="I121" s="209">
        <v>0</v>
      </c>
      <c r="J121" s="209">
        <v>0</v>
      </c>
      <c r="K121" s="209">
        <v>279</v>
      </c>
    </row>
    <row r="122" spans="1:11" ht="24.75" customHeight="1">
      <c r="A122" s="260">
        <v>42644</v>
      </c>
      <c r="B122" s="209" t="s">
        <v>511</v>
      </c>
      <c r="C122" s="226">
        <v>300009016017</v>
      </c>
      <c r="D122" s="272" t="s">
        <v>498</v>
      </c>
      <c r="E122" s="209">
        <v>0</v>
      </c>
      <c r="F122" s="209">
        <v>0</v>
      </c>
      <c r="G122" s="209">
        <v>0</v>
      </c>
      <c r="H122" s="209">
        <v>0</v>
      </c>
      <c r="I122" s="209">
        <v>0</v>
      </c>
      <c r="J122" s="209">
        <v>0</v>
      </c>
      <c r="K122" s="209">
        <v>35</v>
      </c>
    </row>
    <row r="123" spans="1:11" ht="24.75" customHeight="1">
      <c r="A123" s="260">
        <v>42644</v>
      </c>
      <c r="B123" s="209" t="s">
        <v>511</v>
      </c>
      <c r="C123" s="226">
        <v>300009192151</v>
      </c>
      <c r="D123" s="272" t="s">
        <v>514</v>
      </c>
      <c r="E123" s="209">
        <v>0</v>
      </c>
      <c r="F123" s="209">
        <v>0</v>
      </c>
      <c r="G123" s="209">
        <v>0</v>
      </c>
      <c r="H123" s="209">
        <v>0</v>
      </c>
      <c r="I123" s="209">
        <v>0</v>
      </c>
      <c r="J123" s="209">
        <v>0</v>
      </c>
      <c r="K123" s="209">
        <v>171</v>
      </c>
    </row>
    <row r="124" spans="1:11" ht="24.75" customHeight="1">
      <c r="A124" s="260">
        <v>42644</v>
      </c>
      <c r="B124" s="209" t="s">
        <v>511</v>
      </c>
      <c r="C124" s="226">
        <v>300009197635</v>
      </c>
      <c r="D124" s="272" t="s">
        <v>282</v>
      </c>
      <c r="E124" s="209">
        <v>0</v>
      </c>
      <c r="F124" s="209">
        <v>0</v>
      </c>
      <c r="G124" s="209">
        <v>0</v>
      </c>
      <c r="H124" s="209">
        <v>0</v>
      </c>
      <c r="I124" s="209">
        <v>0</v>
      </c>
      <c r="J124" s="209">
        <v>0</v>
      </c>
      <c r="K124" s="209">
        <v>422</v>
      </c>
    </row>
    <row r="125" spans="1:11" ht="24.75" customHeight="1">
      <c r="A125" s="260">
        <v>42644</v>
      </c>
      <c r="B125" s="209" t="s">
        <v>511</v>
      </c>
      <c r="C125" s="226">
        <v>300009197635</v>
      </c>
      <c r="D125" s="272" t="s">
        <v>282</v>
      </c>
      <c r="E125" s="209">
        <v>0</v>
      </c>
      <c r="F125" s="209">
        <v>0</v>
      </c>
      <c r="G125" s="209">
        <v>0</v>
      </c>
      <c r="H125" s="209">
        <v>0</v>
      </c>
      <c r="I125" s="209">
        <v>0</v>
      </c>
      <c r="J125" s="209">
        <v>0</v>
      </c>
      <c r="K125" s="209">
        <v>422</v>
      </c>
    </row>
    <row r="126" spans="1:11" ht="24.75" customHeight="1">
      <c r="A126" s="260">
        <v>42644</v>
      </c>
      <c r="B126" s="209" t="s">
        <v>511</v>
      </c>
      <c r="C126" s="226">
        <v>300009232016</v>
      </c>
      <c r="D126" s="272" t="s">
        <v>499</v>
      </c>
      <c r="E126" s="209">
        <v>0</v>
      </c>
      <c r="F126" s="209">
        <v>0</v>
      </c>
      <c r="G126" s="209">
        <v>0</v>
      </c>
      <c r="H126" s="209">
        <v>0</v>
      </c>
      <c r="I126" s="209">
        <v>0</v>
      </c>
      <c r="J126" s="209">
        <v>0</v>
      </c>
      <c r="K126" s="209">
        <v>303</v>
      </c>
    </row>
    <row r="127" spans="1:11" ht="24.75" customHeight="1">
      <c r="A127" s="260">
        <v>42644</v>
      </c>
      <c r="B127" s="209" t="s">
        <v>511</v>
      </c>
      <c r="C127" s="226">
        <v>300009358277</v>
      </c>
      <c r="D127" s="272" t="s">
        <v>500</v>
      </c>
      <c r="E127" s="209">
        <v>0</v>
      </c>
      <c r="F127" s="209">
        <v>0</v>
      </c>
      <c r="G127" s="209">
        <v>0</v>
      </c>
      <c r="H127" s="209">
        <v>0</v>
      </c>
      <c r="I127" s="209">
        <v>0</v>
      </c>
      <c r="J127" s="209">
        <v>0</v>
      </c>
      <c r="K127" s="209">
        <v>816</v>
      </c>
    </row>
    <row r="128" spans="1:11" ht="24.75" customHeight="1">
      <c r="A128" s="260">
        <v>42644</v>
      </c>
      <c r="B128" s="209" t="s">
        <v>511</v>
      </c>
      <c r="C128" s="226">
        <v>300009374212</v>
      </c>
      <c r="D128" s="272" t="s">
        <v>235</v>
      </c>
      <c r="E128" s="209">
        <v>0</v>
      </c>
      <c r="F128" s="209">
        <v>0</v>
      </c>
      <c r="G128" s="209">
        <v>0</v>
      </c>
      <c r="H128" s="209">
        <v>0</v>
      </c>
      <c r="I128" s="209">
        <v>0</v>
      </c>
      <c r="J128" s="209">
        <v>0</v>
      </c>
      <c r="K128" s="209">
        <v>207</v>
      </c>
    </row>
    <row r="129" spans="1:11" ht="24.75" customHeight="1">
      <c r="A129" s="260">
        <v>42644</v>
      </c>
      <c r="B129" s="209" t="s">
        <v>511</v>
      </c>
      <c r="C129" s="226">
        <v>300009406201</v>
      </c>
      <c r="D129" s="272" t="s">
        <v>234</v>
      </c>
      <c r="E129" s="209">
        <v>0</v>
      </c>
      <c r="F129" s="209">
        <v>0</v>
      </c>
      <c r="G129" s="209">
        <v>0</v>
      </c>
      <c r="H129" s="209">
        <v>0</v>
      </c>
      <c r="I129" s="209">
        <v>0</v>
      </c>
      <c r="J129" s="209">
        <v>0</v>
      </c>
      <c r="K129" s="209">
        <v>133</v>
      </c>
    </row>
    <row r="130" spans="1:11" ht="24.75" customHeight="1">
      <c r="A130" s="260">
        <v>42644</v>
      </c>
      <c r="B130" s="209" t="s">
        <v>511</v>
      </c>
      <c r="C130" s="226">
        <v>300009410229</v>
      </c>
      <c r="D130" s="272" t="s">
        <v>279</v>
      </c>
      <c r="E130" s="209">
        <v>0</v>
      </c>
      <c r="F130" s="209">
        <v>0</v>
      </c>
      <c r="G130" s="209">
        <v>0</v>
      </c>
      <c r="H130" s="209">
        <v>0</v>
      </c>
      <c r="I130" s="209">
        <v>0</v>
      </c>
      <c r="J130" s="209">
        <v>0</v>
      </c>
      <c r="K130" s="209">
        <v>6</v>
      </c>
    </row>
    <row r="131" spans="1:11" ht="24.75" customHeight="1">
      <c r="A131" s="260">
        <v>42644</v>
      </c>
      <c r="B131" s="209" t="s">
        <v>511</v>
      </c>
      <c r="C131" s="226">
        <v>300009480238</v>
      </c>
      <c r="D131" s="272" t="s">
        <v>263</v>
      </c>
      <c r="E131" s="209">
        <v>0</v>
      </c>
      <c r="F131" s="209">
        <v>0</v>
      </c>
      <c r="G131" s="209">
        <v>0</v>
      </c>
      <c r="H131" s="209">
        <v>0</v>
      </c>
      <c r="I131" s="209">
        <v>0</v>
      </c>
      <c r="J131" s="209">
        <v>0</v>
      </c>
      <c r="K131" s="209">
        <v>266</v>
      </c>
    </row>
    <row r="132" spans="1:11" ht="24.75" customHeight="1">
      <c r="A132" s="208">
        <v>42645</v>
      </c>
      <c r="B132" s="209" t="s">
        <v>511</v>
      </c>
      <c r="C132" s="226">
        <v>300009235971</v>
      </c>
      <c r="D132" s="272" t="s">
        <v>241</v>
      </c>
      <c r="E132" s="209">
        <v>0</v>
      </c>
      <c r="F132" s="209">
        <v>0</v>
      </c>
      <c r="G132" s="209">
        <v>0</v>
      </c>
      <c r="H132" s="209" t="s">
        <v>242</v>
      </c>
      <c r="I132" s="209" t="s">
        <v>242</v>
      </c>
      <c r="J132" s="209" t="s">
        <v>242</v>
      </c>
      <c r="K132" s="209">
        <v>0</v>
      </c>
    </row>
    <row r="133" spans="1:11" ht="24.75" customHeight="1">
      <c r="A133" s="208">
        <v>42645</v>
      </c>
      <c r="B133" s="209" t="s">
        <v>511</v>
      </c>
      <c r="C133" s="226">
        <v>300008841062</v>
      </c>
      <c r="D133" s="272" t="s">
        <v>277</v>
      </c>
      <c r="E133" s="209">
        <v>2</v>
      </c>
      <c r="F133" s="209">
        <v>2</v>
      </c>
      <c r="G133" s="209">
        <v>2</v>
      </c>
      <c r="H133" s="209">
        <v>2</v>
      </c>
      <c r="I133" s="209">
        <v>2</v>
      </c>
      <c r="J133" s="209">
        <v>2</v>
      </c>
      <c r="K133" s="209">
        <v>604</v>
      </c>
    </row>
    <row r="134" spans="1:11" ht="24.75" customHeight="1">
      <c r="A134" s="208">
        <v>42645</v>
      </c>
      <c r="B134" s="209" t="s">
        <v>511</v>
      </c>
      <c r="C134" s="226">
        <v>300009406201</v>
      </c>
      <c r="D134" s="272" t="s">
        <v>234</v>
      </c>
      <c r="E134" s="209">
        <v>1</v>
      </c>
      <c r="F134" s="209">
        <v>1</v>
      </c>
      <c r="G134" s="209">
        <v>1</v>
      </c>
      <c r="H134" s="209">
        <v>1</v>
      </c>
      <c r="I134" s="209">
        <v>1</v>
      </c>
      <c r="J134" s="209">
        <v>1</v>
      </c>
      <c r="K134" s="209">
        <v>244</v>
      </c>
    </row>
    <row r="135" spans="1:11" ht="24.75" customHeight="1">
      <c r="A135" s="208">
        <v>42645</v>
      </c>
      <c r="B135" s="209" t="s">
        <v>511</v>
      </c>
      <c r="C135" s="226">
        <v>300008193965</v>
      </c>
      <c r="D135" s="272" t="s">
        <v>512</v>
      </c>
      <c r="E135" s="209">
        <v>0</v>
      </c>
      <c r="F135" s="209">
        <v>0</v>
      </c>
      <c r="G135" s="209">
        <v>0</v>
      </c>
      <c r="H135" s="209">
        <v>0</v>
      </c>
      <c r="I135" s="209">
        <v>0</v>
      </c>
      <c r="J135" s="209">
        <v>0</v>
      </c>
      <c r="K135" s="209">
        <v>2</v>
      </c>
    </row>
    <row r="136" spans="1:11" ht="24.75" customHeight="1">
      <c r="A136" s="208">
        <v>42645</v>
      </c>
      <c r="B136" s="209" t="s">
        <v>511</v>
      </c>
      <c r="C136" s="226">
        <v>300008508327</v>
      </c>
      <c r="D136" s="209" t="s">
        <v>501</v>
      </c>
      <c r="E136" s="209">
        <v>0</v>
      </c>
      <c r="F136" s="209">
        <v>0</v>
      </c>
      <c r="G136" s="209">
        <v>0</v>
      </c>
      <c r="H136" s="209">
        <v>0</v>
      </c>
      <c r="I136" s="209">
        <v>0</v>
      </c>
      <c r="J136" s="209">
        <v>0</v>
      </c>
      <c r="K136" s="209">
        <v>339</v>
      </c>
    </row>
    <row r="137" spans="1:11" ht="24.75" customHeight="1">
      <c r="A137" s="208">
        <v>42645</v>
      </c>
      <c r="B137" s="209" t="s">
        <v>511</v>
      </c>
      <c r="C137" s="226">
        <v>300008579657</v>
      </c>
      <c r="D137" s="272" t="s">
        <v>513</v>
      </c>
      <c r="E137" s="209">
        <v>0</v>
      </c>
      <c r="F137" s="209">
        <v>0</v>
      </c>
      <c r="G137" s="209">
        <v>0</v>
      </c>
      <c r="H137" s="209">
        <v>0</v>
      </c>
      <c r="I137" s="209">
        <v>0</v>
      </c>
      <c r="J137" s="209">
        <v>0</v>
      </c>
      <c r="K137" s="209">
        <v>0</v>
      </c>
    </row>
    <row r="138" spans="1:11" ht="24.75" customHeight="1">
      <c r="A138" s="208">
        <v>42645</v>
      </c>
      <c r="B138" s="209" t="s">
        <v>511</v>
      </c>
      <c r="C138" s="226">
        <v>300008853065</v>
      </c>
      <c r="D138" s="272" t="s">
        <v>515</v>
      </c>
      <c r="E138" s="209">
        <v>0</v>
      </c>
      <c r="F138" s="209">
        <v>0</v>
      </c>
      <c r="G138" s="209">
        <v>0</v>
      </c>
      <c r="H138" s="209">
        <v>0</v>
      </c>
      <c r="I138" s="209">
        <v>0</v>
      </c>
      <c r="J138" s="209">
        <v>0</v>
      </c>
      <c r="K138" s="209">
        <v>1</v>
      </c>
    </row>
    <row r="139" spans="1:11" ht="24.75" customHeight="1">
      <c r="A139" s="208">
        <v>42645</v>
      </c>
      <c r="B139" s="209" t="s">
        <v>511</v>
      </c>
      <c r="C139" s="226">
        <v>300008868585</v>
      </c>
      <c r="D139" s="272" t="s">
        <v>495</v>
      </c>
      <c r="E139" s="209">
        <v>0</v>
      </c>
      <c r="F139" s="209">
        <v>0</v>
      </c>
      <c r="G139" s="209">
        <v>0</v>
      </c>
      <c r="H139" s="209">
        <v>0</v>
      </c>
      <c r="I139" s="209">
        <v>0</v>
      </c>
      <c r="J139" s="209">
        <v>0</v>
      </c>
      <c r="K139" s="209">
        <v>115</v>
      </c>
    </row>
    <row r="140" spans="1:11" ht="24.75" customHeight="1">
      <c r="A140" s="208">
        <v>42645</v>
      </c>
      <c r="B140" s="209" t="s">
        <v>511</v>
      </c>
      <c r="C140" s="226">
        <v>300008993578</v>
      </c>
      <c r="D140" s="272" t="s">
        <v>497</v>
      </c>
      <c r="E140" s="209">
        <v>0</v>
      </c>
      <c r="F140" s="209">
        <v>0</v>
      </c>
      <c r="G140" s="209">
        <v>0</v>
      </c>
      <c r="H140" s="209">
        <v>0</v>
      </c>
      <c r="I140" s="209">
        <v>0</v>
      </c>
      <c r="J140" s="209">
        <v>0</v>
      </c>
      <c r="K140" s="209">
        <v>556</v>
      </c>
    </row>
    <row r="141" spans="1:11" ht="24.75" customHeight="1">
      <c r="A141" s="208">
        <v>42645</v>
      </c>
      <c r="B141" s="209" t="s">
        <v>511</v>
      </c>
      <c r="C141" s="226">
        <v>300009016017</v>
      </c>
      <c r="D141" s="272" t="s">
        <v>498</v>
      </c>
      <c r="E141" s="209">
        <v>0</v>
      </c>
      <c r="F141" s="209">
        <v>0</v>
      </c>
      <c r="G141" s="209">
        <v>0</v>
      </c>
      <c r="H141" s="209">
        <v>0</v>
      </c>
      <c r="I141" s="209">
        <v>0</v>
      </c>
      <c r="J141" s="209">
        <v>0</v>
      </c>
      <c r="K141" s="209">
        <v>68</v>
      </c>
    </row>
    <row r="142" spans="1:11" ht="24.75" customHeight="1">
      <c r="A142" s="208">
        <v>42645</v>
      </c>
      <c r="B142" s="209" t="s">
        <v>511</v>
      </c>
      <c r="C142" s="226">
        <v>300008993578</v>
      </c>
      <c r="D142" s="272" t="s">
        <v>497</v>
      </c>
      <c r="E142" s="209">
        <v>0</v>
      </c>
      <c r="F142" s="209">
        <v>0</v>
      </c>
      <c r="G142" s="209">
        <v>0</v>
      </c>
      <c r="H142" s="209">
        <v>0</v>
      </c>
      <c r="I142" s="209">
        <v>0</v>
      </c>
      <c r="J142" s="209">
        <v>0</v>
      </c>
      <c r="K142" s="209">
        <v>556</v>
      </c>
    </row>
    <row r="143" spans="1:11" ht="24.75" customHeight="1">
      <c r="A143" s="208">
        <v>42645</v>
      </c>
      <c r="B143" s="209" t="s">
        <v>511</v>
      </c>
      <c r="C143" s="226">
        <v>300009016017</v>
      </c>
      <c r="D143" s="272" t="s">
        <v>498</v>
      </c>
      <c r="E143" s="209">
        <v>0</v>
      </c>
      <c r="F143" s="209">
        <v>0</v>
      </c>
      <c r="G143" s="209">
        <v>0</v>
      </c>
      <c r="H143" s="209">
        <v>0</v>
      </c>
      <c r="I143" s="209">
        <v>0</v>
      </c>
      <c r="J143" s="209">
        <v>0</v>
      </c>
      <c r="K143" s="209">
        <v>68</v>
      </c>
    </row>
    <row r="144" spans="1:11" ht="24.75" customHeight="1">
      <c r="A144" s="208">
        <v>42645</v>
      </c>
      <c r="B144" s="209" t="s">
        <v>511</v>
      </c>
      <c r="C144" s="226">
        <v>300009192151</v>
      </c>
      <c r="D144" s="272" t="s">
        <v>514</v>
      </c>
      <c r="E144" s="209">
        <v>0</v>
      </c>
      <c r="F144" s="209">
        <v>0</v>
      </c>
      <c r="G144" s="209">
        <v>0</v>
      </c>
      <c r="H144" s="209">
        <v>0</v>
      </c>
      <c r="I144" s="209">
        <v>0</v>
      </c>
      <c r="J144" s="209">
        <v>0</v>
      </c>
      <c r="K144" s="209">
        <v>317</v>
      </c>
    </row>
    <row r="145" spans="1:11" ht="24.75" customHeight="1">
      <c r="A145" s="208">
        <v>42645</v>
      </c>
      <c r="B145" s="209" t="s">
        <v>511</v>
      </c>
      <c r="C145" s="226">
        <v>300009197635</v>
      </c>
      <c r="D145" s="272" t="s">
        <v>282</v>
      </c>
      <c r="E145" s="209">
        <v>0</v>
      </c>
      <c r="F145" s="209">
        <v>0</v>
      </c>
      <c r="G145" s="209">
        <v>0</v>
      </c>
      <c r="H145" s="209">
        <v>0</v>
      </c>
      <c r="I145" s="209">
        <v>0</v>
      </c>
      <c r="J145" s="209">
        <v>0</v>
      </c>
      <c r="K145" s="209">
        <v>755</v>
      </c>
    </row>
    <row r="146" spans="1:11" ht="24.75" customHeight="1">
      <c r="A146" s="208">
        <v>42645</v>
      </c>
      <c r="B146" s="209" t="s">
        <v>511</v>
      </c>
      <c r="C146" s="226">
        <v>300009232016</v>
      </c>
      <c r="D146" s="272" t="s">
        <v>499</v>
      </c>
      <c r="E146" s="209">
        <v>0</v>
      </c>
      <c r="F146" s="209">
        <v>0</v>
      </c>
      <c r="G146" s="209">
        <v>0</v>
      </c>
      <c r="H146" s="209">
        <v>0</v>
      </c>
      <c r="I146" s="209">
        <v>0</v>
      </c>
      <c r="J146" s="209">
        <v>0</v>
      </c>
      <c r="K146" s="209">
        <v>600</v>
      </c>
    </row>
    <row r="147" spans="1:11" ht="24.75" customHeight="1">
      <c r="A147" s="208">
        <v>42645</v>
      </c>
      <c r="B147" s="209" t="s">
        <v>511</v>
      </c>
      <c r="C147" s="226">
        <v>300009358277</v>
      </c>
      <c r="D147" s="272" t="s">
        <v>500</v>
      </c>
      <c r="E147" s="209">
        <v>1</v>
      </c>
      <c r="F147" s="209">
        <v>2</v>
      </c>
      <c r="G147" s="209">
        <v>2</v>
      </c>
      <c r="H147" s="209">
        <v>0</v>
      </c>
      <c r="I147" s="209">
        <v>0</v>
      </c>
      <c r="J147" s="209">
        <v>0</v>
      </c>
      <c r="K147" s="209">
        <v>1386</v>
      </c>
    </row>
    <row r="148" spans="1:11" ht="24.75" customHeight="1">
      <c r="A148" s="208">
        <v>42645</v>
      </c>
      <c r="B148" s="209" t="s">
        <v>511</v>
      </c>
      <c r="C148" s="226">
        <v>300009374212</v>
      </c>
      <c r="D148" s="272" t="s">
        <v>235</v>
      </c>
      <c r="E148" s="209">
        <v>0</v>
      </c>
      <c r="F148" s="209">
        <v>0</v>
      </c>
      <c r="G148" s="209">
        <v>0</v>
      </c>
      <c r="H148" s="209">
        <v>0</v>
      </c>
      <c r="I148" s="209">
        <v>0</v>
      </c>
      <c r="J148" s="209">
        <v>0</v>
      </c>
      <c r="K148" s="209">
        <v>393</v>
      </c>
    </row>
    <row r="149" spans="1:11" ht="24.75" customHeight="1">
      <c r="A149" s="208">
        <v>42645</v>
      </c>
      <c r="B149" s="209" t="s">
        <v>511</v>
      </c>
      <c r="C149" s="226">
        <v>300009410229</v>
      </c>
      <c r="D149" s="272" t="s">
        <v>279</v>
      </c>
      <c r="E149" s="209">
        <v>0</v>
      </c>
      <c r="F149" s="209">
        <v>0</v>
      </c>
      <c r="G149" s="209">
        <v>0</v>
      </c>
      <c r="H149" s="209">
        <v>0</v>
      </c>
      <c r="I149" s="209">
        <v>0</v>
      </c>
      <c r="J149" s="209">
        <v>0</v>
      </c>
      <c r="K149" s="209">
        <v>15</v>
      </c>
    </row>
    <row r="150" spans="1:11" ht="24.75" customHeight="1">
      <c r="A150" s="208">
        <v>42645</v>
      </c>
      <c r="B150" s="209" t="s">
        <v>511</v>
      </c>
      <c r="C150" s="226">
        <v>300009480238</v>
      </c>
      <c r="D150" s="272" t="s">
        <v>263</v>
      </c>
      <c r="E150" s="209">
        <v>0</v>
      </c>
      <c r="F150" s="209">
        <v>0</v>
      </c>
      <c r="G150" s="209">
        <v>0</v>
      </c>
      <c r="H150" s="209">
        <v>0</v>
      </c>
      <c r="I150" s="209">
        <v>0</v>
      </c>
      <c r="J150" s="209">
        <v>0</v>
      </c>
      <c r="K150" s="209">
        <v>555</v>
      </c>
    </row>
    <row r="151" spans="1:11" ht="24.75" customHeight="1">
      <c r="A151" s="208">
        <v>42646</v>
      </c>
      <c r="B151" s="209" t="s">
        <v>511</v>
      </c>
      <c r="C151" s="226">
        <v>300009235971</v>
      </c>
      <c r="D151" s="272" t="s">
        <v>241</v>
      </c>
      <c r="E151" s="209">
        <v>0</v>
      </c>
      <c r="F151" s="209">
        <v>0</v>
      </c>
      <c r="G151" s="209">
        <v>0</v>
      </c>
      <c r="H151" s="209" t="s">
        <v>242</v>
      </c>
      <c r="I151" s="209" t="s">
        <v>242</v>
      </c>
      <c r="J151" s="209" t="s">
        <v>242</v>
      </c>
      <c r="K151" s="209">
        <v>0</v>
      </c>
    </row>
    <row r="152" spans="1:11" ht="24.75" customHeight="1">
      <c r="A152" s="208">
        <v>42646</v>
      </c>
      <c r="B152" s="209" t="s">
        <v>511</v>
      </c>
      <c r="C152" s="226">
        <v>300008193965</v>
      </c>
      <c r="D152" s="272" t="s">
        <v>512</v>
      </c>
      <c r="E152" s="209">
        <v>0</v>
      </c>
      <c r="F152" s="209">
        <v>0</v>
      </c>
      <c r="G152" s="209">
        <v>0</v>
      </c>
      <c r="H152" s="209">
        <v>0</v>
      </c>
      <c r="I152" s="209">
        <v>0</v>
      </c>
      <c r="J152" s="209">
        <v>0</v>
      </c>
      <c r="K152" s="209">
        <v>4</v>
      </c>
    </row>
    <row r="153" spans="1:11" ht="24.75" customHeight="1">
      <c r="A153" s="208">
        <v>42646</v>
      </c>
      <c r="B153" s="209" t="s">
        <v>511</v>
      </c>
      <c r="C153" s="226">
        <v>300008244937</v>
      </c>
      <c r="D153" s="272" t="s">
        <v>272</v>
      </c>
      <c r="E153" s="209">
        <v>0</v>
      </c>
      <c r="F153" s="209">
        <v>0</v>
      </c>
      <c r="G153" s="209">
        <v>0</v>
      </c>
      <c r="H153" s="209">
        <v>0</v>
      </c>
      <c r="I153" s="209">
        <v>0</v>
      </c>
      <c r="J153" s="209">
        <v>0</v>
      </c>
      <c r="K153" s="209">
        <v>0</v>
      </c>
    </row>
    <row r="154" spans="1:11" ht="24.75" customHeight="1">
      <c r="A154" s="208">
        <v>42646</v>
      </c>
      <c r="B154" s="209" t="s">
        <v>511</v>
      </c>
      <c r="C154" s="226">
        <v>300008508327</v>
      </c>
      <c r="D154" s="209" t="s">
        <v>501</v>
      </c>
      <c r="E154" s="209">
        <v>0</v>
      </c>
      <c r="F154" s="209">
        <v>0</v>
      </c>
      <c r="G154" s="209">
        <v>0</v>
      </c>
      <c r="H154" s="209">
        <v>0</v>
      </c>
      <c r="I154" s="209">
        <v>0</v>
      </c>
      <c r="J154" s="209">
        <v>0</v>
      </c>
      <c r="K154" s="209">
        <v>551</v>
      </c>
    </row>
    <row r="155" spans="1:11" ht="24.75" customHeight="1">
      <c r="A155" s="208">
        <v>42646</v>
      </c>
      <c r="B155" s="209" t="s">
        <v>511</v>
      </c>
      <c r="C155" s="226">
        <v>300008579657</v>
      </c>
      <c r="D155" s="272" t="s">
        <v>513</v>
      </c>
      <c r="E155" s="209">
        <v>0</v>
      </c>
      <c r="F155" s="209">
        <v>0</v>
      </c>
      <c r="G155" s="209">
        <v>0</v>
      </c>
      <c r="H155" s="209">
        <v>0</v>
      </c>
      <c r="I155" s="209">
        <v>0</v>
      </c>
      <c r="J155" s="209">
        <v>0</v>
      </c>
      <c r="K155" s="209">
        <v>0</v>
      </c>
    </row>
    <row r="156" spans="1:11" ht="24.75" customHeight="1">
      <c r="A156" s="208">
        <v>42646</v>
      </c>
      <c r="B156" s="209" t="s">
        <v>511</v>
      </c>
      <c r="C156" s="226">
        <v>300008841062</v>
      </c>
      <c r="D156" s="272" t="s">
        <v>277</v>
      </c>
      <c r="E156" s="209">
        <v>0</v>
      </c>
      <c r="F156" s="209">
        <v>3</v>
      </c>
      <c r="G156" s="209">
        <v>3</v>
      </c>
      <c r="H156" s="209">
        <v>0</v>
      </c>
      <c r="I156" s="209">
        <v>3</v>
      </c>
      <c r="J156" s="209">
        <v>3</v>
      </c>
      <c r="K156" s="209">
        <v>886</v>
      </c>
    </row>
    <row r="157" spans="1:11" ht="24.75" customHeight="1">
      <c r="A157" s="208">
        <v>42646</v>
      </c>
      <c r="B157" s="209" t="s">
        <v>511</v>
      </c>
      <c r="C157" s="226">
        <v>300008853065</v>
      </c>
      <c r="D157" s="272" t="s">
        <v>515</v>
      </c>
      <c r="E157" s="209">
        <v>0</v>
      </c>
      <c r="F157" s="209">
        <v>0</v>
      </c>
      <c r="G157" s="209">
        <v>0</v>
      </c>
      <c r="H157" s="209">
        <v>0</v>
      </c>
      <c r="I157" s="209">
        <v>0</v>
      </c>
      <c r="J157" s="209">
        <v>0</v>
      </c>
      <c r="K157" s="209">
        <v>2</v>
      </c>
    </row>
    <row r="158" spans="1:11" ht="24.75" customHeight="1">
      <c r="A158" s="208">
        <v>42646</v>
      </c>
      <c r="B158" s="209" t="s">
        <v>511</v>
      </c>
      <c r="C158" s="226">
        <v>300008868585</v>
      </c>
      <c r="D158" s="272" t="s">
        <v>495</v>
      </c>
      <c r="E158" s="209">
        <v>0</v>
      </c>
      <c r="F158" s="209">
        <v>0</v>
      </c>
      <c r="G158" s="209">
        <v>0</v>
      </c>
      <c r="H158" s="209">
        <v>0</v>
      </c>
      <c r="I158" s="209">
        <v>0</v>
      </c>
      <c r="J158" s="209">
        <v>0</v>
      </c>
      <c r="K158" s="209">
        <v>156</v>
      </c>
    </row>
    <row r="159" spans="1:11" ht="24.75" customHeight="1">
      <c r="A159" s="208">
        <v>42646</v>
      </c>
      <c r="B159" s="209" t="s">
        <v>511</v>
      </c>
      <c r="C159" s="226">
        <v>300008993578</v>
      </c>
      <c r="D159" s="272" t="s">
        <v>497</v>
      </c>
      <c r="E159" s="209">
        <v>1</v>
      </c>
      <c r="F159" s="209">
        <v>2</v>
      </c>
      <c r="G159" s="209">
        <v>2</v>
      </c>
      <c r="H159" s="209">
        <v>0</v>
      </c>
      <c r="I159" s="209">
        <v>1</v>
      </c>
      <c r="J159" s="209">
        <v>1</v>
      </c>
      <c r="K159" s="209">
        <v>674</v>
      </c>
    </row>
    <row r="160" spans="1:11" ht="24.75" customHeight="1">
      <c r="A160" s="208">
        <v>42646</v>
      </c>
      <c r="B160" s="209" t="s">
        <v>511</v>
      </c>
      <c r="C160" s="226">
        <v>300009016017</v>
      </c>
      <c r="D160" s="272" t="s">
        <v>498</v>
      </c>
      <c r="E160" s="209">
        <v>0</v>
      </c>
      <c r="F160" s="209">
        <v>0</v>
      </c>
      <c r="G160" s="209">
        <v>0</v>
      </c>
      <c r="H160" s="209">
        <v>0</v>
      </c>
      <c r="I160" s="209">
        <v>0</v>
      </c>
      <c r="J160" s="209">
        <v>0</v>
      </c>
      <c r="K160" s="209">
        <v>95</v>
      </c>
    </row>
    <row r="161" spans="1:11" ht="24.75" customHeight="1">
      <c r="A161" s="208">
        <v>42646</v>
      </c>
      <c r="B161" s="209" t="s">
        <v>511</v>
      </c>
      <c r="C161" s="226">
        <v>300009016017</v>
      </c>
      <c r="D161" s="272" t="s">
        <v>498</v>
      </c>
      <c r="E161" s="209">
        <v>0</v>
      </c>
      <c r="F161" s="209">
        <v>0</v>
      </c>
      <c r="G161" s="209">
        <v>0</v>
      </c>
      <c r="H161" s="209">
        <v>0</v>
      </c>
      <c r="I161" s="209">
        <v>0</v>
      </c>
      <c r="J161" s="209">
        <v>0</v>
      </c>
      <c r="K161" s="209">
        <v>95</v>
      </c>
    </row>
    <row r="162" spans="1:11" ht="24.75" customHeight="1">
      <c r="A162" s="208">
        <v>42646</v>
      </c>
      <c r="B162" s="209" t="s">
        <v>511</v>
      </c>
      <c r="C162" s="226">
        <v>300009190374</v>
      </c>
      <c r="D162" s="272" t="s">
        <v>516</v>
      </c>
      <c r="E162" s="209">
        <v>0</v>
      </c>
      <c r="F162" s="209">
        <v>0</v>
      </c>
      <c r="G162" s="209">
        <v>0</v>
      </c>
      <c r="H162" s="209">
        <v>0</v>
      </c>
      <c r="I162" s="209">
        <v>0</v>
      </c>
      <c r="J162" s="209">
        <v>0</v>
      </c>
      <c r="K162" s="209">
        <v>1</v>
      </c>
    </row>
    <row r="163" spans="1:11" ht="24.75" customHeight="1">
      <c r="A163" s="208">
        <v>42646</v>
      </c>
      <c r="B163" s="209" t="s">
        <v>511</v>
      </c>
      <c r="C163" s="226">
        <v>300009192151</v>
      </c>
      <c r="D163" s="272" t="s">
        <v>514</v>
      </c>
      <c r="E163" s="209">
        <v>0</v>
      </c>
      <c r="F163" s="209">
        <v>0</v>
      </c>
      <c r="G163" s="209">
        <v>0</v>
      </c>
      <c r="H163" s="209">
        <v>0</v>
      </c>
      <c r="I163" s="209">
        <v>0</v>
      </c>
      <c r="J163" s="209">
        <v>0</v>
      </c>
      <c r="K163" s="209">
        <v>463</v>
      </c>
    </row>
    <row r="164" spans="1:11" ht="24.75" customHeight="1">
      <c r="A164" s="208">
        <v>42646</v>
      </c>
      <c r="B164" s="209" t="s">
        <v>511</v>
      </c>
      <c r="C164" s="226">
        <v>300009193471</v>
      </c>
      <c r="D164" s="272" t="s">
        <v>502</v>
      </c>
      <c r="E164" s="209">
        <v>0</v>
      </c>
      <c r="F164" s="209">
        <v>0</v>
      </c>
      <c r="G164" s="209">
        <v>0</v>
      </c>
      <c r="H164" s="209">
        <v>0</v>
      </c>
      <c r="I164" s="209">
        <v>0</v>
      </c>
      <c r="J164" s="209">
        <v>0</v>
      </c>
      <c r="K164" s="209">
        <v>29</v>
      </c>
    </row>
    <row r="165" spans="1:11" ht="24.75" customHeight="1">
      <c r="A165" s="208">
        <v>42646</v>
      </c>
      <c r="B165" s="209" t="s">
        <v>511</v>
      </c>
      <c r="C165" s="226">
        <v>300009197635</v>
      </c>
      <c r="D165" s="272" t="s">
        <v>282</v>
      </c>
      <c r="E165" s="209">
        <v>0</v>
      </c>
      <c r="F165" s="209">
        <v>1</v>
      </c>
      <c r="G165" s="209">
        <v>1</v>
      </c>
      <c r="H165" s="209">
        <v>0</v>
      </c>
      <c r="I165" s="209">
        <v>0</v>
      </c>
      <c r="J165" s="209">
        <v>0</v>
      </c>
      <c r="K165" s="209">
        <v>1039</v>
      </c>
    </row>
    <row r="166" spans="1:11" ht="24.75" customHeight="1">
      <c r="A166" s="208">
        <v>42646</v>
      </c>
      <c r="B166" s="209" t="s">
        <v>511</v>
      </c>
      <c r="C166" s="226">
        <v>300009232016</v>
      </c>
      <c r="D166" s="272" t="s">
        <v>499</v>
      </c>
      <c r="E166" s="209">
        <v>0</v>
      </c>
      <c r="F166" s="209">
        <v>0</v>
      </c>
      <c r="G166" s="209">
        <v>0</v>
      </c>
      <c r="H166" s="209">
        <v>0</v>
      </c>
      <c r="I166" s="209">
        <v>0</v>
      </c>
      <c r="J166" s="209">
        <v>0</v>
      </c>
      <c r="K166" s="209">
        <v>824</v>
      </c>
    </row>
    <row r="167" spans="1:11" ht="24.75" customHeight="1">
      <c r="A167" s="208">
        <v>42646</v>
      </c>
      <c r="B167" s="209" t="s">
        <v>511</v>
      </c>
      <c r="C167" s="226">
        <v>300009358277</v>
      </c>
      <c r="D167" s="272" t="s">
        <v>500</v>
      </c>
      <c r="E167" s="209">
        <v>0</v>
      </c>
      <c r="F167" s="209">
        <v>2</v>
      </c>
      <c r="G167" s="209">
        <v>2</v>
      </c>
      <c r="H167" s="209">
        <v>0</v>
      </c>
      <c r="I167" s="209">
        <v>0</v>
      </c>
      <c r="J167" s="209">
        <v>0</v>
      </c>
      <c r="K167" s="209">
        <v>1895</v>
      </c>
    </row>
    <row r="168" spans="1:11" ht="24.75" customHeight="1">
      <c r="A168" s="208">
        <v>42646</v>
      </c>
      <c r="B168" s="209" t="s">
        <v>511</v>
      </c>
      <c r="C168" s="226">
        <v>300009374212</v>
      </c>
      <c r="D168" s="272" t="s">
        <v>235</v>
      </c>
      <c r="E168" s="209">
        <v>0</v>
      </c>
      <c r="F168" s="209">
        <v>0</v>
      </c>
      <c r="G168" s="209">
        <v>0</v>
      </c>
      <c r="H168" s="209">
        <v>0</v>
      </c>
      <c r="I168" s="209">
        <v>0</v>
      </c>
      <c r="J168" s="209">
        <v>0</v>
      </c>
      <c r="K168" s="209">
        <v>562</v>
      </c>
    </row>
    <row r="169" spans="1:11" ht="24.75" customHeight="1">
      <c r="A169" s="208">
        <v>42646</v>
      </c>
      <c r="B169" s="209" t="s">
        <v>511</v>
      </c>
      <c r="C169" s="226">
        <v>300009406201</v>
      </c>
      <c r="D169" s="272" t="s">
        <v>234</v>
      </c>
      <c r="E169" s="209">
        <v>2</v>
      </c>
      <c r="F169" s="209">
        <v>3</v>
      </c>
      <c r="G169" s="209">
        <v>3</v>
      </c>
      <c r="H169" s="209">
        <v>0</v>
      </c>
      <c r="I169" s="209">
        <v>1</v>
      </c>
      <c r="J169" s="209">
        <v>1</v>
      </c>
      <c r="K169" s="209">
        <v>388</v>
      </c>
    </row>
    <row r="170" spans="1:11" ht="24.75" customHeight="1">
      <c r="A170" s="208">
        <v>42646</v>
      </c>
      <c r="B170" s="209" t="s">
        <v>511</v>
      </c>
      <c r="C170" s="226">
        <v>300009410229</v>
      </c>
      <c r="D170" s="272" t="s">
        <v>279</v>
      </c>
      <c r="E170" s="209">
        <v>0</v>
      </c>
      <c r="F170" s="209">
        <v>0</v>
      </c>
      <c r="G170" s="209">
        <v>0</v>
      </c>
      <c r="H170" s="209">
        <v>0</v>
      </c>
      <c r="I170" s="209">
        <v>0</v>
      </c>
      <c r="J170" s="209">
        <v>0</v>
      </c>
      <c r="K170" s="209">
        <v>21</v>
      </c>
    </row>
    <row r="171" spans="1:11" ht="24.75" customHeight="1">
      <c r="A171" s="208">
        <v>42646</v>
      </c>
      <c r="B171" s="209" t="s">
        <v>511</v>
      </c>
      <c r="C171" s="226">
        <v>300009480238</v>
      </c>
      <c r="D171" s="272" t="s">
        <v>263</v>
      </c>
      <c r="E171" s="209">
        <v>2</v>
      </c>
      <c r="F171" s="209">
        <v>2</v>
      </c>
      <c r="G171" s="209">
        <v>2</v>
      </c>
      <c r="H171" s="209">
        <v>0</v>
      </c>
      <c r="I171" s="209">
        <v>0</v>
      </c>
      <c r="J171" s="209">
        <v>0</v>
      </c>
      <c r="K171" s="209">
        <v>858</v>
      </c>
    </row>
    <row r="172" spans="1:11" ht="24.75" customHeight="1">
      <c r="A172" s="208">
        <v>42647</v>
      </c>
      <c r="B172" s="209" t="s">
        <v>511</v>
      </c>
      <c r="C172" s="226">
        <v>300008841062</v>
      </c>
      <c r="D172" s="272" t="s">
        <v>277</v>
      </c>
      <c r="E172" s="209">
        <v>2</v>
      </c>
      <c r="F172" s="209">
        <v>5</v>
      </c>
      <c r="G172" s="209">
        <v>5</v>
      </c>
      <c r="H172" s="209">
        <v>2</v>
      </c>
      <c r="I172" s="209">
        <v>5</v>
      </c>
      <c r="J172" s="209">
        <v>5</v>
      </c>
      <c r="K172" s="209">
        <v>1192</v>
      </c>
    </row>
    <row r="173" spans="1:11" ht="24.75" customHeight="1">
      <c r="A173" s="208">
        <v>42647</v>
      </c>
      <c r="B173" s="209" t="s">
        <v>511</v>
      </c>
      <c r="C173" s="226">
        <v>300009232016</v>
      </c>
      <c r="D173" s="272" t="s">
        <v>499</v>
      </c>
      <c r="E173" s="209">
        <v>1</v>
      </c>
      <c r="F173" s="209">
        <v>1</v>
      </c>
      <c r="G173" s="209">
        <v>1</v>
      </c>
      <c r="H173" s="209">
        <v>1</v>
      </c>
      <c r="I173" s="209">
        <v>1</v>
      </c>
      <c r="J173" s="209">
        <v>1</v>
      </c>
      <c r="K173" s="209">
        <v>1095</v>
      </c>
    </row>
    <row r="174" spans="1:11" ht="24.75" customHeight="1">
      <c r="A174" s="208">
        <v>42647</v>
      </c>
      <c r="B174" s="209" t="s">
        <v>511</v>
      </c>
      <c r="C174" s="226">
        <v>300008193965</v>
      </c>
      <c r="D174" s="272" t="s">
        <v>512</v>
      </c>
      <c r="E174" s="209">
        <v>0</v>
      </c>
      <c r="F174" s="209">
        <v>0</v>
      </c>
      <c r="G174" s="209">
        <v>0</v>
      </c>
      <c r="H174" s="209">
        <v>0</v>
      </c>
      <c r="I174" s="209">
        <v>0</v>
      </c>
      <c r="J174" s="209">
        <v>0</v>
      </c>
      <c r="K174" s="209">
        <v>4</v>
      </c>
    </row>
    <row r="175" spans="1:11" ht="24.75" customHeight="1">
      <c r="A175" s="208">
        <v>42647</v>
      </c>
      <c r="B175" s="209" t="s">
        <v>511</v>
      </c>
      <c r="C175" s="226">
        <v>300008244937</v>
      </c>
      <c r="D175" s="272" t="s">
        <v>272</v>
      </c>
      <c r="E175" s="209">
        <v>0</v>
      </c>
      <c r="F175" s="209">
        <v>0</v>
      </c>
      <c r="G175" s="209">
        <v>0</v>
      </c>
      <c r="H175" s="209">
        <v>0</v>
      </c>
      <c r="I175" s="209">
        <v>0</v>
      </c>
      <c r="J175" s="209">
        <v>0</v>
      </c>
      <c r="K175" s="209">
        <v>0</v>
      </c>
    </row>
    <row r="176" spans="1:11" ht="24.75" customHeight="1">
      <c r="A176" s="208">
        <v>42647</v>
      </c>
      <c r="B176" s="209" t="s">
        <v>511</v>
      </c>
      <c r="C176" s="226">
        <v>300008508327</v>
      </c>
      <c r="D176" s="209" t="s">
        <v>501</v>
      </c>
      <c r="E176" s="209">
        <v>0</v>
      </c>
      <c r="F176" s="209">
        <v>0</v>
      </c>
      <c r="G176" s="209">
        <v>0</v>
      </c>
      <c r="H176" s="209">
        <v>0</v>
      </c>
      <c r="I176" s="209">
        <v>0</v>
      </c>
      <c r="J176" s="209">
        <v>0</v>
      </c>
      <c r="K176" s="209">
        <v>805</v>
      </c>
    </row>
    <row r="177" spans="1:11" ht="24.75" customHeight="1">
      <c r="A177" s="208">
        <v>42647</v>
      </c>
      <c r="B177" s="209" t="s">
        <v>511</v>
      </c>
      <c r="C177" s="226">
        <v>300008579657</v>
      </c>
      <c r="D177" s="272" t="s">
        <v>513</v>
      </c>
      <c r="E177" s="209">
        <v>0</v>
      </c>
      <c r="F177" s="209">
        <v>0</v>
      </c>
      <c r="G177" s="209">
        <v>0</v>
      </c>
      <c r="H177" s="209">
        <v>0</v>
      </c>
      <c r="I177" s="209">
        <v>0</v>
      </c>
      <c r="J177" s="209">
        <v>0</v>
      </c>
      <c r="K177" s="209">
        <v>0</v>
      </c>
    </row>
    <row r="178" spans="1:11" ht="24.75" customHeight="1">
      <c r="A178" s="208">
        <v>42647</v>
      </c>
      <c r="B178" s="209" t="s">
        <v>511</v>
      </c>
      <c r="C178" s="226">
        <v>300008853065</v>
      </c>
      <c r="D178" s="272" t="s">
        <v>515</v>
      </c>
      <c r="E178" s="209">
        <v>0</v>
      </c>
      <c r="F178" s="209">
        <v>0</v>
      </c>
      <c r="G178" s="209">
        <v>0</v>
      </c>
      <c r="H178" s="209">
        <v>0</v>
      </c>
      <c r="I178" s="209">
        <v>0</v>
      </c>
      <c r="J178" s="209">
        <v>0</v>
      </c>
      <c r="K178" s="209">
        <v>2</v>
      </c>
    </row>
    <row r="179" spans="1:11" ht="24.75" customHeight="1">
      <c r="A179" s="208">
        <v>42647</v>
      </c>
      <c r="B179" s="209" t="s">
        <v>511</v>
      </c>
      <c r="C179" s="226">
        <v>300008868585</v>
      </c>
      <c r="D179" s="272" t="s">
        <v>495</v>
      </c>
      <c r="E179" s="209">
        <v>0</v>
      </c>
      <c r="F179" s="209">
        <v>0</v>
      </c>
      <c r="G179" s="209">
        <v>0</v>
      </c>
      <c r="H179" s="209">
        <v>0</v>
      </c>
      <c r="I179" s="209">
        <v>0</v>
      </c>
      <c r="J179" s="209">
        <v>0</v>
      </c>
      <c r="K179" s="209">
        <v>242</v>
      </c>
    </row>
    <row r="180" spans="1:11" ht="24.75" customHeight="1">
      <c r="A180" s="208">
        <v>42647</v>
      </c>
      <c r="B180" s="209" t="s">
        <v>511</v>
      </c>
      <c r="C180" s="226">
        <v>300008993578</v>
      </c>
      <c r="D180" s="272" t="s">
        <v>497</v>
      </c>
      <c r="E180" s="209">
        <v>0</v>
      </c>
      <c r="F180" s="209">
        <v>2</v>
      </c>
      <c r="G180" s="209">
        <v>2</v>
      </c>
      <c r="H180" s="209">
        <v>0</v>
      </c>
      <c r="I180" s="209">
        <v>2</v>
      </c>
      <c r="J180" s="209">
        <v>2</v>
      </c>
      <c r="K180" s="209">
        <v>808</v>
      </c>
    </row>
    <row r="181" spans="1:11" ht="24.75" customHeight="1">
      <c r="A181" s="208">
        <v>42647</v>
      </c>
      <c r="B181" s="209" t="s">
        <v>511</v>
      </c>
      <c r="C181" s="226">
        <v>300009016017</v>
      </c>
      <c r="D181" s="272" t="s">
        <v>498</v>
      </c>
      <c r="E181" s="209">
        <v>0</v>
      </c>
      <c r="F181" s="209">
        <v>0</v>
      </c>
      <c r="G181" s="209">
        <v>0</v>
      </c>
      <c r="H181" s="209">
        <v>0</v>
      </c>
      <c r="I181" s="209">
        <v>0</v>
      </c>
      <c r="J181" s="209">
        <v>0</v>
      </c>
      <c r="K181" s="209">
        <v>137</v>
      </c>
    </row>
    <row r="182" spans="1:11" ht="24.75" customHeight="1">
      <c r="A182" s="208">
        <v>42647</v>
      </c>
      <c r="B182" s="209" t="s">
        <v>511</v>
      </c>
      <c r="C182" s="226">
        <v>300009016017</v>
      </c>
      <c r="D182" s="272" t="s">
        <v>498</v>
      </c>
      <c r="E182" s="209">
        <v>0</v>
      </c>
      <c r="F182" s="209">
        <v>0</v>
      </c>
      <c r="G182" s="209">
        <v>0</v>
      </c>
      <c r="H182" s="209">
        <v>0</v>
      </c>
      <c r="I182" s="209">
        <v>0</v>
      </c>
      <c r="J182" s="209">
        <v>0</v>
      </c>
      <c r="K182" s="209">
        <v>137</v>
      </c>
    </row>
    <row r="183" spans="1:11" ht="24.75" customHeight="1">
      <c r="A183" s="208">
        <v>42647</v>
      </c>
      <c r="B183" s="209" t="s">
        <v>511</v>
      </c>
      <c r="C183" s="226">
        <v>300009190374</v>
      </c>
      <c r="D183" s="272" t="s">
        <v>516</v>
      </c>
      <c r="E183" s="209">
        <v>0</v>
      </c>
      <c r="F183" s="209">
        <v>0</v>
      </c>
      <c r="G183" s="209">
        <v>0</v>
      </c>
      <c r="H183" s="209">
        <v>0</v>
      </c>
      <c r="I183" s="209">
        <v>0</v>
      </c>
      <c r="J183" s="209">
        <v>0</v>
      </c>
      <c r="K183" s="209">
        <v>1</v>
      </c>
    </row>
    <row r="184" spans="1:11" ht="24.75" customHeight="1">
      <c r="A184" s="208">
        <v>42647</v>
      </c>
      <c r="B184" s="209" t="s">
        <v>511</v>
      </c>
      <c r="C184" s="226">
        <v>300009192151</v>
      </c>
      <c r="D184" s="272" t="s">
        <v>514</v>
      </c>
      <c r="E184" s="209">
        <v>0</v>
      </c>
      <c r="F184" s="209">
        <v>0</v>
      </c>
      <c r="G184" s="209">
        <v>0</v>
      </c>
      <c r="H184" s="209">
        <v>0</v>
      </c>
      <c r="I184" s="209">
        <v>0</v>
      </c>
      <c r="J184" s="209">
        <v>0</v>
      </c>
      <c r="K184" s="209">
        <v>567</v>
      </c>
    </row>
    <row r="185" spans="1:11" ht="24.75" customHeight="1">
      <c r="A185" s="208">
        <v>42647</v>
      </c>
      <c r="B185" s="209" t="s">
        <v>511</v>
      </c>
      <c r="C185" s="226">
        <v>300009193471</v>
      </c>
      <c r="D185" s="272" t="s">
        <v>502</v>
      </c>
      <c r="E185" s="209">
        <v>1</v>
      </c>
      <c r="F185" s="209">
        <v>1</v>
      </c>
      <c r="G185" s="209">
        <v>1</v>
      </c>
      <c r="H185" s="209">
        <v>0</v>
      </c>
      <c r="I185" s="209">
        <v>0</v>
      </c>
      <c r="J185" s="209">
        <v>0</v>
      </c>
      <c r="K185" s="209">
        <v>153</v>
      </c>
    </row>
    <row r="186" spans="1:11" ht="24.75" customHeight="1">
      <c r="A186" s="208">
        <v>42647</v>
      </c>
      <c r="B186" s="209" t="s">
        <v>511</v>
      </c>
      <c r="C186" s="226">
        <v>300009197635</v>
      </c>
      <c r="D186" s="272" t="s">
        <v>282</v>
      </c>
      <c r="E186" s="209">
        <v>0</v>
      </c>
      <c r="F186" s="209">
        <v>1</v>
      </c>
      <c r="G186" s="209">
        <v>1</v>
      </c>
      <c r="H186" s="209">
        <v>0</v>
      </c>
      <c r="I186" s="209">
        <v>0</v>
      </c>
      <c r="J186" s="209">
        <v>0</v>
      </c>
      <c r="K186" s="209">
        <v>1405</v>
      </c>
    </row>
    <row r="187" spans="1:11" ht="24.75" customHeight="1">
      <c r="A187" s="208">
        <v>42647</v>
      </c>
      <c r="B187" s="209" t="s">
        <v>511</v>
      </c>
      <c r="C187" s="226">
        <v>300009235971</v>
      </c>
      <c r="D187" s="272" t="s">
        <v>241</v>
      </c>
      <c r="E187" s="209">
        <v>0</v>
      </c>
      <c r="F187" s="209">
        <v>0</v>
      </c>
      <c r="G187" s="209">
        <v>0</v>
      </c>
      <c r="H187" s="209">
        <v>0</v>
      </c>
      <c r="I187" s="209">
        <v>0</v>
      </c>
      <c r="J187" s="209">
        <v>0</v>
      </c>
      <c r="K187" s="209">
        <v>0</v>
      </c>
    </row>
    <row r="188" spans="1:11" ht="24.75" customHeight="1">
      <c r="A188" s="208">
        <v>42647</v>
      </c>
      <c r="B188" s="209" t="s">
        <v>511</v>
      </c>
      <c r="C188" s="226">
        <v>300009358277</v>
      </c>
      <c r="D188" s="272" t="s">
        <v>500</v>
      </c>
      <c r="E188" s="209">
        <v>1</v>
      </c>
      <c r="F188" s="209">
        <v>3</v>
      </c>
      <c r="G188" s="209">
        <v>3</v>
      </c>
      <c r="H188" s="209">
        <v>0</v>
      </c>
      <c r="I188" s="209">
        <v>0</v>
      </c>
      <c r="J188" s="209">
        <v>0</v>
      </c>
      <c r="K188" s="209">
        <v>2350</v>
      </c>
    </row>
    <row r="189" spans="1:11" ht="24.75" customHeight="1">
      <c r="A189" s="208">
        <v>42647</v>
      </c>
      <c r="B189" s="209" t="s">
        <v>511</v>
      </c>
      <c r="C189" s="226">
        <v>300009374212</v>
      </c>
      <c r="D189" s="272" t="s">
        <v>235</v>
      </c>
      <c r="E189" s="209">
        <v>2</v>
      </c>
      <c r="F189" s="209">
        <v>2</v>
      </c>
      <c r="G189" s="209">
        <v>2</v>
      </c>
      <c r="H189" s="209">
        <v>0</v>
      </c>
      <c r="I189" s="209">
        <v>0</v>
      </c>
      <c r="J189" s="209">
        <v>0</v>
      </c>
      <c r="K189" s="209">
        <v>683</v>
      </c>
    </row>
    <row r="190" spans="1:11" ht="24.75" customHeight="1">
      <c r="A190" s="208">
        <v>42647</v>
      </c>
      <c r="B190" s="209" t="s">
        <v>511</v>
      </c>
      <c r="C190" s="226">
        <v>300009406201</v>
      </c>
      <c r="D190" s="272" t="s">
        <v>234</v>
      </c>
      <c r="E190" s="209">
        <v>0</v>
      </c>
      <c r="F190" s="209">
        <v>3</v>
      </c>
      <c r="G190" s="209">
        <v>3</v>
      </c>
      <c r="H190" s="209">
        <v>0</v>
      </c>
      <c r="I190" s="209">
        <v>1</v>
      </c>
      <c r="J190" s="209">
        <v>1</v>
      </c>
      <c r="K190" s="209">
        <v>501</v>
      </c>
    </row>
    <row r="191" spans="1:11" ht="24.75" customHeight="1">
      <c r="A191" s="208">
        <v>42647</v>
      </c>
      <c r="B191" s="209" t="s">
        <v>511</v>
      </c>
      <c r="C191" s="226">
        <v>300009410229</v>
      </c>
      <c r="D191" s="272" t="s">
        <v>279</v>
      </c>
      <c r="E191" s="209">
        <v>0</v>
      </c>
      <c r="F191" s="209">
        <v>0</v>
      </c>
      <c r="G191" s="209">
        <v>0</v>
      </c>
      <c r="H191" s="209">
        <v>0</v>
      </c>
      <c r="I191" s="209">
        <v>0</v>
      </c>
      <c r="J191" s="209">
        <v>0</v>
      </c>
      <c r="K191" s="209">
        <v>29</v>
      </c>
    </row>
    <row r="192" spans="1:11" ht="24.75" customHeight="1">
      <c r="A192" s="208">
        <v>42647</v>
      </c>
      <c r="B192" s="209" t="s">
        <v>511</v>
      </c>
      <c r="C192" s="226">
        <v>300009480238</v>
      </c>
      <c r="D192" s="272" t="s">
        <v>263</v>
      </c>
      <c r="E192" s="209">
        <v>2</v>
      </c>
      <c r="F192" s="209">
        <v>4</v>
      </c>
      <c r="G192" s="209">
        <v>4</v>
      </c>
      <c r="H192" s="209">
        <v>0</v>
      </c>
      <c r="I192" s="209">
        <v>0</v>
      </c>
      <c r="J192" s="209">
        <v>0</v>
      </c>
      <c r="K192" s="209">
        <v>1116</v>
      </c>
    </row>
    <row r="193" spans="1:11" ht="24.75" customHeight="1">
      <c r="A193" s="208">
        <v>42648</v>
      </c>
      <c r="B193" s="209" t="s">
        <v>511</v>
      </c>
      <c r="C193" s="226">
        <v>300008841062</v>
      </c>
      <c r="D193" s="272" t="s">
        <v>277</v>
      </c>
      <c r="E193" s="209">
        <v>2</v>
      </c>
      <c r="F193" s="209">
        <v>7</v>
      </c>
      <c r="G193" s="209">
        <v>7</v>
      </c>
      <c r="H193" s="209">
        <v>2</v>
      </c>
      <c r="I193" s="209">
        <v>7</v>
      </c>
      <c r="J193" s="209">
        <v>7</v>
      </c>
      <c r="K193" s="209">
        <v>1505</v>
      </c>
    </row>
    <row r="194" spans="1:11" ht="24.75" customHeight="1">
      <c r="A194" s="208">
        <v>42648</v>
      </c>
      <c r="B194" s="209" t="s">
        <v>511</v>
      </c>
      <c r="C194" s="226">
        <v>300008993578</v>
      </c>
      <c r="D194" s="272" t="s">
        <v>497</v>
      </c>
      <c r="E194" s="209">
        <v>1</v>
      </c>
      <c r="F194" s="209">
        <v>4</v>
      </c>
      <c r="G194" s="209">
        <v>4</v>
      </c>
      <c r="H194" s="209">
        <v>1</v>
      </c>
      <c r="I194" s="209">
        <v>3</v>
      </c>
      <c r="J194" s="209">
        <v>3</v>
      </c>
      <c r="K194" s="209">
        <v>970</v>
      </c>
    </row>
    <row r="195" spans="1:11" ht="24.75" customHeight="1">
      <c r="A195" s="208">
        <v>42648</v>
      </c>
      <c r="B195" s="209" t="s">
        <v>511</v>
      </c>
      <c r="C195" s="226">
        <v>300008193965</v>
      </c>
      <c r="D195" s="272" t="s">
        <v>512</v>
      </c>
      <c r="E195" s="209">
        <v>0</v>
      </c>
      <c r="F195" s="209">
        <v>0</v>
      </c>
      <c r="G195" s="209">
        <v>0</v>
      </c>
      <c r="H195" s="209">
        <v>0</v>
      </c>
      <c r="I195" s="209">
        <v>0</v>
      </c>
      <c r="J195" s="209">
        <v>0</v>
      </c>
      <c r="K195" s="209">
        <v>4</v>
      </c>
    </row>
    <row r="196" spans="1:11" ht="24.75" customHeight="1">
      <c r="A196" s="208">
        <v>42648</v>
      </c>
      <c r="B196" s="209" t="s">
        <v>511</v>
      </c>
      <c r="C196" s="226">
        <v>300008219979</v>
      </c>
      <c r="D196" s="272" t="s">
        <v>517</v>
      </c>
      <c r="E196" s="209">
        <v>0</v>
      </c>
      <c r="F196" s="209">
        <v>0</v>
      </c>
      <c r="G196" s="209">
        <v>0</v>
      </c>
      <c r="H196" s="209">
        <v>0</v>
      </c>
      <c r="I196" s="209">
        <v>0</v>
      </c>
      <c r="J196" s="209">
        <v>0</v>
      </c>
      <c r="K196" s="209">
        <v>1</v>
      </c>
    </row>
    <row r="197" spans="1:11" ht="24.75" customHeight="1">
      <c r="A197" s="208">
        <v>42648</v>
      </c>
      <c r="B197" s="209" t="s">
        <v>511</v>
      </c>
      <c r="C197" s="226">
        <v>300008244937</v>
      </c>
      <c r="D197" s="272" t="s">
        <v>272</v>
      </c>
      <c r="E197" s="209">
        <v>0</v>
      </c>
      <c r="F197" s="209">
        <v>0</v>
      </c>
      <c r="G197" s="209">
        <v>0</v>
      </c>
      <c r="H197" s="209">
        <v>0</v>
      </c>
      <c r="I197" s="209">
        <v>0</v>
      </c>
      <c r="J197" s="209">
        <v>0</v>
      </c>
      <c r="K197" s="209">
        <v>0</v>
      </c>
    </row>
    <row r="198" spans="1:11" ht="24.75" customHeight="1">
      <c r="A198" s="208">
        <v>42648</v>
      </c>
      <c r="B198" s="209" t="s">
        <v>511</v>
      </c>
      <c r="C198" s="226">
        <v>300008508327</v>
      </c>
      <c r="D198" s="209" t="s">
        <v>501</v>
      </c>
      <c r="E198" s="209">
        <v>0</v>
      </c>
      <c r="F198" s="209">
        <v>0</v>
      </c>
      <c r="G198" s="209">
        <v>0</v>
      </c>
      <c r="H198" s="209">
        <v>0</v>
      </c>
      <c r="I198" s="209">
        <v>0</v>
      </c>
      <c r="J198" s="209">
        <v>0</v>
      </c>
      <c r="K198" s="209">
        <v>1021</v>
      </c>
    </row>
    <row r="199" spans="1:11" ht="24.75" customHeight="1">
      <c r="A199" s="208">
        <v>42648</v>
      </c>
      <c r="B199" s="209" t="s">
        <v>511</v>
      </c>
      <c r="C199" s="226">
        <v>300008579657</v>
      </c>
      <c r="D199" s="272" t="s">
        <v>513</v>
      </c>
      <c r="E199" s="209">
        <v>0</v>
      </c>
      <c r="F199" s="209">
        <v>0</v>
      </c>
      <c r="G199" s="209">
        <v>0</v>
      </c>
      <c r="H199" s="209">
        <v>0</v>
      </c>
      <c r="I199" s="209">
        <v>0</v>
      </c>
      <c r="J199" s="209">
        <v>0</v>
      </c>
      <c r="K199" s="209">
        <v>0</v>
      </c>
    </row>
    <row r="200" spans="1:11" ht="24.75" customHeight="1">
      <c r="A200" s="208">
        <v>42648</v>
      </c>
      <c r="B200" s="209" t="s">
        <v>511</v>
      </c>
      <c r="C200" s="226">
        <v>300008853065</v>
      </c>
      <c r="D200" s="272" t="s">
        <v>515</v>
      </c>
      <c r="E200" s="209">
        <v>0</v>
      </c>
      <c r="F200" s="209">
        <v>0</v>
      </c>
      <c r="G200" s="209">
        <v>0</v>
      </c>
      <c r="H200" s="209">
        <v>0</v>
      </c>
      <c r="I200" s="209">
        <v>0</v>
      </c>
      <c r="J200" s="209">
        <v>0</v>
      </c>
      <c r="K200" s="209">
        <v>2</v>
      </c>
    </row>
    <row r="201" spans="1:11" ht="24.75" customHeight="1">
      <c r="A201" s="208">
        <v>42648</v>
      </c>
      <c r="B201" s="209" t="s">
        <v>511</v>
      </c>
      <c r="C201" s="226">
        <v>300008868585</v>
      </c>
      <c r="D201" s="272" t="s">
        <v>495</v>
      </c>
      <c r="E201" s="209">
        <v>0</v>
      </c>
      <c r="F201" s="209">
        <v>1</v>
      </c>
      <c r="G201" s="209">
        <v>1</v>
      </c>
      <c r="H201" s="209">
        <v>0</v>
      </c>
      <c r="I201" s="209">
        <v>0</v>
      </c>
      <c r="J201" s="209">
        <v>0</v>
      </c>
      <c r="K201" s="209">
        <v>349</v>
      </c>
    </row>
    <row r="202" spans="1:11" ht="24.75" customHeight="1">
      <c r="A202" s="208">
        <v>42648</v>
      </c>
      <c r="B202" s="209" t="s">
        <v>511</v>
      </c>
      <c r="C202" s="226">
        <v>300009016017</v>
      </c>
      <c r="D202" s="272" t="s">
        <v>498</v>
      </c>
      <c r="E202" s="209">
        <v>0</v>
      </c>
      <c r="F202" s="209">
        <v>0</v>
      </c>
      <c r="G202" s="209">
        <v>0</v>
      </c>
      <c r="H202" s="209">
        <v>0</v>
      </c>
      <c r="I202" s="209">
        <v>0</v>
      </c>
      <c r="J202" s="209">
        <v>0</v>
      </c>
      <c r="K202" s="209">
        <v>176</v>
      </c>
    </row>
    <row r="203" spans="1:11" ht="24.75" customHeight="1">
      <c r="A203" s="208">
        <v>42648</v>
      </c>
      <c r="B203" s="209" t="s">
        <v>511</v>
      </c>
      <c r="C203" s="226">
        <v>300009151749</v>
      </c>
      <c r="D203" s="272" t="s">
        <v>518</v>
      </c>
      <c r="E203" s="209">
        <v>0</v>
      </c>
      <c r="F203" s="209">
        <v>0</v>
      </c>
      <c r="G203" s="209">
        <v>0</v>
      </c>
      <c r="H203" s="209">
        <v>0</v>
      </c>
      <c r="I203" s="209">
        <v>0</v>
      </c>
      <c r="J203" s="209">
        <v>0</v>
      </c>
      <c r="K203" s="209">
        <v>1</v>
      </c>
    </row>
    <row r="204" spans="1:11" ht="24.75" customHeight="1">
      <c r="A204" s="208">
        <v>42648</v>
      </c>
      <c r="B204" s="209" t="s">
        <v>511</v>
      </c>
      <c r="C204" s="226">
        <v>300009190374</v>
      </c>
      <c r="D204" s="272" t="s">
        <v>516</v>
      </c>
      <c r="E204" s="209">
        <v>0</v>
      </c>
      <c r="F204" s="209">
        <v>0</v>
      </c>
      <c r="G204" s="209">
        <v>0</v>
      </c>
      <c r="H204" s="209">
        <v>0</v>
      </c>
      <c r="I204" s="209">
        <v>0</v>
      </c>
      <c r="J204" s="209">
        <v>0</v>
      </c>
      <c r="K204" s="209">
        <v>1</v>
      </c>
    </row>
    <row r="205" spans="1:11" ht="24.75" customHeight="1">
      <c r="A205" s="208">
        <v>42648</v>
      </c>
      <c r="B205" s="209" t="s">
        <v>511</v>
      </c>
      <c r="C205" s="226">
        <v>300009192151</v>
      </c>
      <c r="D205" s="272" t="s">
        <v>514</v>
      </c>
      <c r="E205" s="209">
        <v>0</v>
      </c>
      <c r="F205" s="209">
        <v>0</v>
      </c>
      <c r="G205" s="209">
        <v>0</v>
      </c>
      <c r="H205" s="209">
        <v>0</v>
      </c>
      <c r="I205" s="209">
        <v>0</v>
      </c>
      <c r="J205" s="209">
        <v>0</v>
      </c>
      <c r="K205" s="209">
        <v>709</v>
      </c>
    </row>
    <row r="206" spans="1:11" ht="24.75" customHeight="1">
      <c r="A206" s="208">
        <v>42648</v>
      </c>
      <c r="B206" s="209" t="s">
        <v>511</v>
      </c>
      <c r="C206" s="226">
        <v>300009193471</v>
      </c>
      <c r="D206" s="272" t="s">
        <v>502</v>
      </c>
      <c r="E206" s="209">
        <v>0</v>
      </c>
      <c r="F206" s="209">
        <v>1</v>
      </c>
      <c r="G206" s="209">
        <v>1</v>
      </c>
      <c r="H206" s="209">
        <v>0</v>
      </c>
      <c r="I206" s="209">
        <v>0</v>
      </c>
      <c r="J206" s="209">
        <v>0</v>
      </c>
      <c r="K206" s="209">
        <v>290</v>
      </c>
    </row>
    <row r="207" spans="1:11" ht="24.75" customHeight="1">
      <c r="A207" s="208">
        <v>42648</v>
      </c>
      <c r="B207" s="209" t="s">
        <v>511</v>
      </c>
      <c r="C207" s="226">
        <v>300009197635</v>
      </c>
      <c r="D207" s="272" t="s">
        <v>282</v>
      </c>
      <c r="E207" s="209">
        <v>2</v>
      </c>
      <c r="F207" s="209">
        <v>3</v>
      </c>
      <c r="G207" s="209">
        <v>3</v>
      </c>
      <c r="H207" s="209">
        <v>0</v>
      </c>
      <c r="I207" s="209">
        <v>0</v>
      </c>
      <c r="J207" s="209">
        <v>0</v>
      </c>
      <c r="K207" s="209">
        <v>1708</v>
      </c>
    </row>
    <row r="208" spans="1:11" ht="24.75" customHeight="1">
      <c r="A208" s="208">
        <v>42648</v>
      </c>
      <c r="B208" s="209" t="s">
        <v>511</v>
      </c>
      <c r="C208" s="226">
        <v>300009232016</v>
      </c>
      <c r="D208" s="272" t="s">
        <v>499</v>
      </c>
      <c r="E208" s="209">
        <v>0</v>
      </c>
      <c r="F208" s="209">
        <v>1</v>
      </c>
      <c r="G208" s="209">
        <v>1</v>
      </c>
      <c r="H208" s="209">
        <v>0</v>
      </c>
      <c r="I208" s="209">
        <v>1</v>
      </c>
      <c r="J208" s="209">
        <v>1</v>
      </c>
      <c r="K208" s="209">
        <v>1293</v>
      </c>
    </row>
    <row r="209" spans="1:11" ht="24.75" customHeight="1">
      <c r="A209" s="208">
        <v>42648</v>
      </c>
      <c r="B209" s="209" t="s">
        <v>511</v>
      </c>
      <c r="C209" s="226">
        <v>300009235971</v>
      </c>
      <c r="D209" s="272" t="s">
        <v>241</v>
      </c>
      <c r="E209" s="209">
        <v>0</v>
      </c>
      <c r="F209" s="209">
        <v>0</v>
      </c>
      <c r="G209" s="209">
        <v>0</v>
      </c>
      <c r="H209" s="209">
        <v>0</v>
      </c>
      <c r="I209" s="209">
        <v>0</v>
      </c>
      <c r="J209" s="209">
        <v>0</v>
      </c>
      <c r="K209" s="209">
        <v>0</v>
      </c>
    </row>
    <row r="210" spans="1:11" ht="24.75" customHeight="1">
      <c r="A210" s="208">
        <v>42648</v>
      </c>
      <c r="B210" s="209" t="s">
        <v>511</v>
      </c>
      <c r="C210" s="226">
        <v>300009358277</v>
      </c>
      <c r="D210" s="272" t="s">
        <v>500</v>
      </c>
      <c r="E210" s="209">
        <v>0</v>
      </c>
      <c r="F210" s="209">
        <v>4</v>
      </c>
      <c r="G210" s="209">
        <v>4</v>
      </c>
      <c r="H210" s="209">
        <v>0</v>
      </c>
      <c r="I210" s="209">
        <v>0</v>
      </c>
      <c r="J210" s="209">
        <v>0</v>
      </c>
      <c r="K210" s="209">
        <v>2808</v>
      </c>
    </row>
    <row r="211" spans="1:11" ht="24.75" customHeight="1">
      <c r="A211" s="208">
        <v>42648</v>
      </c>
      <c r="B211" s="209" t="s">
        <v>511</v>
      </c>
      <c r="C211" s="226">
        <v>300009374212</v>
      </c>
      <c r="D211" s="272" t="s">
        <v>235</v>
      </c>
      <c r="E211" s="209">
        <v>0</v>
      </c>
      <c r="F211" s="209">
        <v>2</v>
      </c>
      <c r="G211" s="209">
        <v>2</v>
      </c>
      <c r="H211" s="209">
        <v>0</v>
      </c>
      <c r="I211" s="209">
        <v>0</v>
      </c>
      <c r="J211" s="209">
        <v>0</v>
      </c>
      <c r="K211" s="209">
        <v>683</v>
      </c>
    </row>
    <row r="212" spans="1:11" ht="24.75" customHeight="1">
      <c r="A212" s="208">
        <v>42648</v>
      </c>
      <c r="B212" s="209" t="s">
        <v>511</v>
      </c>
      <c r="C212" s="226">
        <v>300009406201</v>
      </c>
      <c r="D212" s="272" t="s">
        <v>234</v>
      </c>
      <c r="E212" s="209">
        <v>0</v>
      </c>
      <c r="F212" s="209">
        <v>3</v>
      </c>
      <c r="G212" s="209">
        <v>3</v>
      </c>
      <c r="H212" s="209">
        <v>0</v>
      </c>
      <c r="I212" s="209">
        <v>1</v>
      </c>
      <c r="J212" s="209">
        <v>1</v>
      </c>
      <c r="K212" s="209">
        <v>564</v>
      </c>
    </row>
    <row r="213" spans="1:11" ht="24.75" customHeight="1">
      <c r="A213" s="208">
        <v>42648</v>
      </c>
      <c r="B213" s="209" t="s">
        <v>511</v>
      </c>
      <c r="C213" s="226">
        <v>300009410229</v>
      </c>
      <c r="D213" s="272" t="s">
        <v>279</v>
      </c>
      <c r="E213" s="209">
        <v>0</v>
      </c>
      <c r="F213" s="209">
        <v>0</v>
      </c>
      <c r="G213" s="209">
        <v>0</v>
      </c>
      <c r="H213" s="209">
        <v>0</v>
      </c>
      <c r="I213" s="209">
        <v>0</v>
      </c>
      <c r="J213" s="209">
        <v>0</v>
      </c>
      <c r="K213" s="209">
        <v>34</v>
      </c>
    </row>
    <row r="214" spans="1:11" ht="24.75" customHeight="1">
      <c r="A214" s="208">
        <v>42648</v>
      </c>
      <c r="B214" s="209" t="s">
        <v>511</v>
      </c>
      <c r="C214" s="226">
        <v>300009480238</v>
      </c>
      <c r="D214" s="272" t="s">
        <v>263</v>
      </c>
      <c r="E214" s="209">
        <v>2</v>
      </c>
      <c r="F214" s="209">
        <v>7</v>
      </c>
      <c r="G214" s="209">
        <v>7</v>
      </c>
      <c r="H214" s="209">
        <v>0</v>
      </c>
      <c r="I214" s="209">
        <v>0</v>
      </c>
      <c r="J214" s="209">
        <v>0</v>
      </c>
      <c r="K214" s="209">
        <v>1161</v>
      </c>
    </row>
    <row r="215" spans="1:11" ht="24.75" customHeight="1">
      <c r="A215" s="208">
        <v>42649</v>
      </c>
      <c r="B215" s="209" t="s">
        <v>511</v>
      </c>
      <c r="C215" s="226">
        <v>300009480238</v>
      </c>
      <c r="D215" s="272" t="s">
        <v>263</v>
      </c>
      <c r="E215" s="209">
        <v>5</v>
      </c>
      <c r="F215" s="209">
        <v>12</v>
      </c>
      <c r="G215" s="209">
        <v>12</v>
      </c>
      <c r="H215" s="209">
        <v>2</v>
      </c>
      <c r="I215" s="209">
        <v>3</v>
      </c>
      <c r="J215" s="209">
        <v>3</v>
      </c>
      <c r="K215" s="209">
        <v>1161</v>
      </c>
    </row>
    <row r="216" spans="1:11" ht="24.75" customHeight="1">
      <c r="A216" s="208">
        <v>42649</v>
      </c>
      <c r="B216" s="209" t="s">
        <v>511</v>
      </c>
      <c r="C216" s="226">
        <v>300008993578</v>
      </c>
      <c r="D216" s="272" t="s">
        <v>497</v>
      </c>
      <c r="E216" s="209">
        <v>1</v>
      </c>
      <c r="F216" s="209">
        <v>6</v>
      </c>
      <c r="G216" s="209">
        <v>6</v>
      </c>
      <c r="H216" s="209">
        <v>1</v>
      </c>
      <c r="I216" s="209">
        <v>5</v>
      </c>
      <c r="J216" s="209">
        <v>5</v>
      </c>
      <c r="K216" s="209">
        <v>1128</v>
      </c>
    </row>
    <row r="217" spans="1:11" ht="24.75" customHeight="1">
      <c r="A217" s="208">
        <v>42649</v>
      </c>
      <c r="B217" s="209" t="s">
        <v>511</v>
      </c>
      <c r="C217" s="226">
        <v>300008193965</v>
      </c>
      <c r="D217" s="272" t="s">
        <v>512</v>
      </c>
      <c r="E217" s="209">
        <v>0</v>
      </c>
      <c r="F217" s="209">
        <v>0</v>
      </c>
      <c r="G217" s="209">
        <v>0</v>
      </c>
      <c r="H217" s="209">
        <v>0</v>
      </c>
      <c r="I217" s="209">
        <v>0</v>
      </c>
      <c r="J217" s="209">
        <v>0</v>
      </c>
      <c r="K217" s="209">
        <v>4</v>
      </c>
    </row>
    <row r="218" spans="1:11" ht="24.75" customHeight="1">
      <c r="A218" s="208">
        <v>42649</v>
      </c>
      <c r="B218" s="209" t="s">
        <v>511</v>
      </c>
      <c r="C218" s="226">
        <v>300008244937</v>
      </c>
      <c r="D218" s="272" t="s">
        <v>272</v>
      </c>
      <c r="E218" s="209">
        <v>0</v>
      </c>
      <c r="F218" s="209">
        <v>0</v>
      </c>
      <c r="G218" s="209">
        <v>0</v>
      </c>
      <c r="H218" s="209">
        <v>0</v>
      </c>
      <c r="I218" s="209">
        <v>0</v>
      </c>
      <c r="J218" s="209">
        <v>0</v>
      </c>
      <c r="K218" s="209">
        <v>0</v>
      </c>
    </row>
    <row r="219" spans="1:11" ht="24.75" customHeight="1">
      <c r="A219" s="208">
        <v>42649</v>
      </c>
      <c r="B219" s="209" t="s">
        <v>511</v>
      </c>
      <c r="C219" s="226">
        <v>300008508327</v>
      </c>
      <c r="D219" s="209" t="s">
        <v>501</v>
      </c>
      <c r="E219" s="209">
        <v>0</v>
      </c>
      <c r="F219" s="209">
        <v>0</v>
      </c>
      <c r="G219" s="209">
        <v>0</v>
      </c>
      <c r="H219" s="209">
        <v>0</v>
      </c>
      <c r="I219" s="209">
        <v>0</v>
      </c>
      <c r="J219" s="209">
        <v>0</v>
      </c>
      <c r="K219" s="209">
        <v>1191</v>
      </c>
    </row>
    <row r="220" spans="1:11" ht="24.75" customHeight="1">
      <c r="A220" s="208">
        <v>42649</v>
      </c>
      <c r="B220" s="209" t="s">
        <v>511</v>
      </c>
      <c r="C220" s="226">
        <v>300008579657</v>
      </c>
      <c r="D220" s="272" t="s">
        <v>513</v>
      </c>
      <c r="E220" s="209">
        <v>0</v>
      </c>
      <c r="F220" s="209">
        <v>0</v>
      </c>
      <c r="G220" s="209">
        <v>0</v>
      </c>
      <c r="H220" s="209">
        <v>0</v>
      </c>
      <c r="I220" s="209">
        <v>0</v>
      </c>
      <c r="J220" s="209">
        <v>0</v>
      </c>
      <c r="K220" s="209">
        <v>0</v>
      </c>
    </row>
    <row r="221" spans="1:11" ht="24.75" customHeight="1">
      <c r="A221" s="208">
        <v>42649</v>
      </c>
      <c r="B221" s="209" t="s">
        <v>511</v>
      </c>
      <c r="C221" s="226">
        <v>300008841062</v>
      </c>
      <c r="D221" s="272" t="s">
        <v>277</v>
      </c>
      <c r="E221" s="209">
        <v>0</v>
      </c>
      <c r="F221" s="209">
        <v>8</v>
      </c>
      <c r="G221" s="209">
        <v>8</v>
      </c>
      <c r="H221" s="209">
        <v>0</v>
      </c>
      <c r="I221" s="209">
        <v>8</v>
      </c>
      <c r="J221" s="209">
        <v>8</v>
      </c>
      <c r="K221" s="209">
        <v>1815</v>
      </c>
    </row>
    <row r="222" spans="1:11" ht="24.75" customHeight="1">
      <c r="A222" s="208">
        <v>42649</v>
      </c>
      <c r="B222" s="209" t="s">
        <v>511</v>
      </c>
      <c r="C222" s="226">
        <v>300008853065</v>
      </c>
      <c r="D222" s="272" t="s">
        <v>515</v>
      </c>
      <c r="E222" s="209">
        <v>0</v>
      </c>
      <c r="F222" s="209">
        <v>0</v>
      </c>
      <c r="G222" s="209">
        <v>0</v>
      </c>
      <c r="H222" s="209">
        <v>0</v>
      </c>
      <c r="I222" s="209">
        <v>0</v>
      </c>
      <c r="J222" s="209">
        <v>0</v>
      </c>
      <c r="K222" s="209">
        <v>2</v>
      </c>
    </row>
    <row r="223" spans="1:11" ht="24.75" customHeight="1">
      <c r="A223" s="208">
        <v>42649</v>
      </c>
      <c r="B223" s="209" t="s">
        <v>511</v>
      </c>
      <c r="C223" s="226">
        <v>300008868585</v>
      </c>
      <c r="D223" s="272" t="s">
        <v>495</v>
      </c>
      <c r="E223" s="209">
        <v>0</v>
      </c>
      <c r="F223" s="209">
        <v>2</v>
      </c>
      <c r="G223" s="209">
        <v>2</v>
      </c>
      <c r="H223" s="209">
        <v>0</v>
      </c>
      <c r="I223" s="209">
        <v>0</v>
      </c>
      <c r="J223" s="209">
        <v>0</v>
      </c>
      <c r="K223" s="209">
        <v>457</v>
      </c>
    </row>
    <row r="224" spans="1:11" ht="24.75" customHeight="1">
      <c r="A224" s="208">
        <v>42649</v>
      </c>
      <c r="B224" s="209" t="s">
        <v>511</v>
      </c>
      <c r="C224" s="226">
        <v>300009016017</v>
      </c>
      <c r="D224" s="272" t="s">
        <v>498</v>
      </c>
      <c r="E224" s="209">
        <v>0</v>
      </c>
      <c r="F224" s="209">
        <v>0</v>
      </c>
      <c r="G224" s="209">
        <v>0</v>
      </c>
      <c r="H224" s="209">
        <v>0</v>
      </c>
      <c r="I224" s="209">
        <v>0</v>
      </c>
      <c r="J224" s="209">
        <v>0</v>
      </c>
      <c r="K224" s="209">
        <v>231</v>
      </c>
    </row>
    <row r="225" spans="1:11" ht="24.75" customHeight="1">
      <c r="A225" s="208">
        <v>42649</v>
      </c>
      <c r="B225" s="209" t="s">
        <v>511</v>
      </c>
      <c r="C225" s="226">
        <v>300009151749</v>
      </c>
      <c r="D225" s="272" t="s">
        <v>518</v>
      </c>
      <c r="E225" s="209">
        <v>0</v>
      </c>
      <c r="F225" s="209">
        <v>0</v>
      </c>
      <c r="G225" s="209">
        <v>0</v>
      </c>
      <c r="H225" s="209">
        <v>0</v>
      </c>
      <c r="I225" s="209">
        <v>0</v>
      </c>
      <c r="J225" s="209">
        <v>0</v>
      </c>
      <c r="K225" s="209">
        <v>1</v>
      </c>
    </row>
    <row r="226" spans="1:11" ht="24.75" customHeight="1">
      <c r="A226" s="208">
        <v>42649</v>
      </c>
      <c r="B226" s="209" t="s">
        <v>511</v>
      </c>
      <c r="C226" s="226">
        <v>300009190374</v>
      </c>
      <c r="D226" s="272" t="s">
        <v>516</v>
      </c>
      <c r="E226" s="209">
        <v>0</v>
      </c>
      <c r="F226" s="209">
        <v>0</v>
      </c>
      <c r="G226" s="209">
        <v>0</v>
      </c>
      <c r="H226" s="209">
        <v>0</v>
      </c>
      <c r="I226" s="209">
        <v>0</v>
      </c>
      <c r="J226" s="209">
        <v>0</v>
      </c>
      <c r="K226" s="209">
        <v>1</v>
      </c>
    </row>
    <row r="227" spans="1:11" ht="24.75" customHeight="1">
      <c r="A227" s="208">
        <v>42649</v>
      </c>
      <c r="B227" s="209" t="s">
        <v>511</v>
      </c>
      <c r="C227" s="226">
        <v>300009192151</v>
      </c>
      <c r="D227" s="272" t="s">
        <v>514</v>
      </c>
      <c r="E227" s="209">
        <v>0</v>
      </c>
      <c r="F227" s="209">
        <v>0</v>
      </c>
      <c r="G227" s="209">
        <v>0</v>
      </c>
      <c r="H227" s="209">
        <v>0</v>
      </c>
      <c r="I227" s="209">
        <v>0</v>
      </c>
      <c r="J227" s="209">
        <v>0</v>
      </c>
      <c r="K227" s="209">
        <v>802</v>
      </c>
    </row>
    <row r="228" spans="1:11" ht="24.75" customHeight="1">
      <c r="A228" s="208">
        <v>42649</v>
      </c>
      <c r="B228" s="209" t="s">
        <v>511</v>
      </c>
      <c r="C228" s="226">
        <v>300009193471</v>
      </c>
      <c r="D228" s="272" t="s">
        <v>502</v>
      </c>
      <c r="E228" s="209">
        <v>0</v>
      </c>
      <c r="F228" s="209">
        <v>1</v>
      </c>
      <c r="G228" s="209">
        <v>1</v>
      </c>
      <c r="H228" s="209">
        <v>0</v>
      </c>
      <c r="I228" s="209">
        <v>0</v>
      </c>
      <c r="J228" s="209">
        <v>0</v>
      </c>
      <c r="K228" s="209">
        <v>420</v>
      </c>
    </row>
    <row r="229" spans="1:11" ht="24.75" customHeight="1">
      <c r="A229" s="208">
        <v>42649</v>
      </c>
      <c r="B229" s="209" t="s">
        <v>511</v>
      </c>
      <c r="C229" s="226">
        <v>300009197635</v>
      </c>
      <c r="D229" s="272" t="s">
        <v>282</v>
      </c>
      <c r="E229" s="209">
        <v>0</v>
      </c>
      <c r="F229" s="209">
        <v>4</v>
      </c>
      <c r="G229" s="209">
        <v>4</v>
      </c>
      <c r="H229" s="209">
        <v>0</v>
      </c>
      <c r="I229" s="209">
        <v>0</v>
      </c>
      <c r="J229" s="209">
        <v>0</v>
      </c>
      <c r="K229" s="209">
        <v>2045</v>
      </c>
    </row>
    <row r="230" spans="1:11" ht="24.75" customHeight="1">
      <c r="A230" s="208">
        <v>42649</v>
      </c>
      <c r="B230" s="209" t="s">
        <v>511</v>
      </c>
      <c r="C230" s="226">
        <v>300009232016</v>
      </c>
      <c r="D230" s="272" t="s">
        <v>499</v>
      </c>
      <c r="E230" s="209">
        <v>0</v>
      </c>
      <c r="F230" s="209">
        <v>1</v>
      </c>
      <c r="G230" s="209">
        <v>1</v>
      </c>
      <c r="H230" s="209">
        <v>0</v>
      </c>
      <c r="I230" s="209">
        <v>1</v>
      </c>
      <c r="J230" s="209">
        <v>1</v>
      </c>
      <c r="K230" s="209">
        <v>1511</v>
      </c>
    </row>
    <row r="231" spans="1:11" ht="24.75" customHeight="1">
      <c r="A231" s="208">
        <v>42649</v>
      </c>
      <c r="B231" s="209" t="s">
        <v>511</v>
      </c>
      <c r="C231" s="226">
        <v>300009235971</v>
      </c>
      <c r="D231" s="272" t="s">
        <v>241</v>
      </c>
      <c r="E231" s="209">
        <v>0</v>
      </c>
      <c r="F231" s="209">
        <v>0</v>
      </c>
      <c r="G231" s="209">
        <v>0</v>
      </c>
      <c r="H231" s="209">
        <v>0</v>
      </c>
      <c r="I231" s="209">
        <v>0</v>
      </c>
      <c r="J231" s="209">
        <v>0</v>
      </c>
      <c r="K231" s="209">
        <v>0</v>
      </c>
    </row>
    <row r="232" spans="1:11" ht="24.75" customHeight="1">
      <c r="A232" s="208">
        <v>42649</v>
      </c>
      <c r="B232" s="209" t="s">
        <v>511</v>
      </c>
      <c r="C232" s="226">
        <v>300009358277</v>
      </c>
      <c r="D232" s="272" t="s">
        <v>500</v>
      </c>
      <c r="E232" s="209">
        <v>1</v>
      </c>
      <c r="F232" s="209">
        <v>5</v>
      </c>
      <c r="G232" s="209">
        <v>5</v>
      </c>
      <c r="H232" s="209">
        <v>0</v>
      </c>
      <c r="I232" s="209">
        <v>0</v>
      </c>
      <c r="J232" s="209">
        <v>0</v>
      </c>
      <c r="K232" s="209">
        <v>3271</v>
      </c>
    </row>
    <row r="233" spans="1:11" ht="24.75" customHeight="1">
      <c r="A233" s="208">
        <v>42649</v>
      </c>
      <c r="B233" s="209" t="s">
        <v>511</v>
      </c>
      <c r="C233" s="226">
        <v>300009374212</v>
      </c>
      <c r="D233" s="272" t="s">
        <v>235</v>
      </c>
      <c r="E233" s="209">
        <v>0</v>
      </c>
      <c r="F233" s="209">
        <v>2</v>
      </c>
      <c r="G233" s="209">
        <v>2</v>
      </c>
      <c r="H233" s="209">
        <v>0</v>
      </c>
      <c r="I233" s="209">
        <v>0</v>
      </c>
      <c r="J233" s="209">
        <v>0</v>
      </c>
      <c r="K233" s="209">
        <v>683</v>
      </c>
    </row>
    <row r="234" spans="1:11" ht="24.75" customHeight="1">
      <c r="A234" s="208">
        <v>42649</v>
      </c>
      <c r="B234" s="209" t="s">
        <v>511</v>
      </c>
      <c r="C234" s="226">
        <v>300009406201</v>
      </c>
      <c r="D234" s="272" t="s">
        <v>234</v>
      </c>
      <c r="E234" s="209">
        <v>0</v>
      </c>
      <c r="F234" s="209">
        <v>3</v>
      </c>
      <c r="G234" s="209">
        <v>3</v>
      </c>
      <c r="H234" s="209">
        <v>0</v>
      </c>
      <c r="I234" s="209">
        <v>1</v>
      </c>
      <c r="J234" s="209">
        <v>1</v>
      </c>
      <c r="K234" s="209">
        <v>627</v>
      </c>
    </row>
    <row r="235" spans="1:11" ht="24.75" customHeight="1">
      <c r="A235" s="208">
        <v>42649</v>
      </c>
      <c r="B235" s="209" t="s">
        <v>511</v>
      </c>
      <c r="C235" s="226">
        <v>300009406201</v>
      </c>
      <c r="D235" s="272" t="s">
        <v>234</v>
      </c>
      <c r="E235" s="209">
        <v>0</v>
      </c>
      <c r="F235" s="209">
        <v>3</v>
      </c>
      <c r="G235" s="209">
        <v>3</v>
      </c>
      <c r="H235" s="209">
        <v>0</v>
      </c>
      <c r="I235" s="209">
        <v>1</v>
      </c>
      <c r="J235" s="209">
        <v>1</v>
      </c>
      <c r="K235" s="209">
        <v>627</v>
      </c>
    </row>
    <row r="236" spans="1:11" ht="24.75" customHeight="1">
      <c r="A236" s="208">
        <v>42649</v>
      </c>
      <c r="B236" s="209" t="s">
        <v>511</v>
      </c>
      <c r="C236" s="226">
        <v>300009410229</v>
      </c>
      <c r="D236" s="272" t="s">
        <v>279</v>
      </c>
      <c r="E236" s="209">
        <v>0</v>
      </c>
      <c r="F236" s="209">
        <v>0</v>
      </c>
      <c r="G236" s="209">
        <v>0</v>
      </c>
      <c r="H236" s="209">
        <v>0</v>
      </c>
      <c r="I236" s="209">
        <v>0</v>
      </c>
      <c r="J236" s="209">
        <v>0</v>
      </c>
      <c r="K236" s="209">
        <v>37</v>
      </c>
    </row>
    <row r="237" spans="1:11" ht="24.75" customHeight="1">
      <c r="A237" s="208">
        <v>42650</v>
      </c>
      <c r="B237" s="209" t="s">
        <v>511</v>
      </c>
      <c r="C237" s="226">
        <v>300008993578</v>
      </c>
      <c r="D237" s="272" t="s">
        <v>497</v>
      </c>
      <c r="E237" s="209">
        <v>1</v>
      </c>
      <c r="F237" s="209">
        <v>8</v>
      </c>
      <c r="G237" s="209">
        <v>8</v>
      </c>
      <c r="H237" s="209">
        <v>1</v>
      </c>
      <c r="I237" s="209">
        <v>6</v>
      </c>
      <c r="J237" s="209">
        <v>6</v>
      </c>
      <c r="K237" s="209">
        <v>1271</v>
      </c>
    </row>
    <row r="238" spans="1:11" ht="24.75" customHeight="1">
      <c r="A238" s="208">
        <v>42650</v>
      </c>
      <c r="B238" s="209" t="s">
        <v>511</v>
      </c>
      <c r="C238" s="226">
        <v>300007875924</v>
      </c>
      <c r="D238" s="209" t="s">
        <v>492</v>
      </c>
      <c r="E238" s="209">
        <v>0</v>
      </c>
      <c r="F238" s="209">
        <v>0</v>
      </c>
      <c r="G238" s="209">
        <v>0</v>
      </c>
      <c r="H238" s="209">
        <v>0</v>
      </c>
      <c r="I238" s="209">
        <v>0</v>
      </c>
      <c r="J238" s="209">
        <v>0</v>
      </c>
      <c r="K238" s="209">
        <v>1</v>
      </c>
    </row>
    <row r="239" spans="1:11" ht="24.75" customHeight="1">
      <c r="A239" s="208">
        <v>42650</v>
      </c>
      <c r="B239" s="209" t="s">
        <v>511</v>
      </c>
      <c r="C239" s="226">
        <v>300008193965</v>
      </c>
      <c r="D239" s="272" t="s">
        <v>512</v>
      </c>
      <c r="E239" s="209">
        <v>0</v>
      </c>
      <c r="F239" s="209">
        <v>0</v>
      </c>
      <c r="G239" s="209">
        <v>0</v>
      </c>
      <c r="H239" s="209">
        <v>0</v>
      </c>
      <c r="I239" s="209">
        <v>0</v>
      </c>
      <c r="J239" s="209">
        <v>0</v>
      </c>
      <c r="K239" s="209">
        <v>4</v>
      </c>
    </row>
    <row r="240" spans="1:11" ht="24.75" customHeight="1">
      <c r="A240" s="208">
        <v>42650</v>
      </c>
      <c r="B240" s="209" t="s">
        <v>511</v>
      </c>
      <c r="C240" s="226">
        <v>300008219979</v>
      </c>
      <c r="D240" s="272" t="s">
        <v>517</v>
      </c>
      <c r="E240" s="209">
        <v>0</v>
      </c>
      <c r="F240" s="209">
        <v>0</v>
      </c>
      <c r="G240" s="209">
        <v>0</v>
      </c>
      <c r="H240" s="209">
        <v>0</v>
      </c>
      <c r="I240" s="209">
        <v>0</v>
      </c>
      <c r="J240" s="209">
        <v>0</v>
      </c>
      <c r="K240" s="209">
        <v>1</v>
      </c>
    </row>
    <row r="241" spans="1:11" ht="24.75" customHeight="1">
      <c r="A241" s="208">
        <v>42650</v>
      </c>
      <c r="B241" s="209" t="s">
        <v>511</v>
      </c>
      <c r="C241" s="226">
        <v>300008244937</v>
      </c>
      <c r="D241" s="272" t="s">
        <v>272</v>
      </c>
      <c r="E241" s="209">
        <v>0</v>
      </c>
      <c r="F241" s="209">
        <v>0</v>
      </c>
      <c r="G241" s="209">
        <v>0</v>
      </c>
      <c r="H241" s="209">
        <v>0</v>
      </c>
      <c r="I241" s="209">
        <v>0</v>
      </c>
      <c r="J241" s="209">
        <v>0</v>
      </c>
      <c r="K241" s="209">
        <v>0</v>
      </c>
    </row>
    <row r="242" spans="1:11" ht="24.75" customHeight="1">
      <c r="A242" s="208">
        <v>42650</v>
      </c>
      <c r="B242" s="209" t="s">
        <v>511</v>
      </c>
      <c r="C242" s="226">
        <v>300008508327</v>
      </c>
      <c r="D242" s="209" t="s">
        <v>501</v>
      </c>
      <c r="E242" s="209">
        <v>0</v>
      </c>
      <c r="F242" s="209">
        <v>0</v>
      </c>
      <c r="G242" s="209">
        <v>0</v>
      </c>
      <c r="H242" s="209">
        <v>0</v>
      </c>
      <c r="I242" s="209">
        <v>0</v>
      </c>
      <c r="J242" s="209">
        <v>0</v>
      </c>
      <c r="K242" s="209">
        <v>1312</v>
      </c>
    </row>
    <row r="243" spans="1:11" ht="24.75" customHeight="1">
      <c r="A243" s="208">
        <v>42650</v>
      </c>
      <c r="B243" s="209" t="s">
        <v>511</v>
      </c>
      <c r="C243" s="226">
        <v>300008579657</v>
      </c>
      <c r="D243" s="272" t="s">
        <v>513</v>
      </c>
      <c r="E243" s="209">
        <v>0</v>
      </c>
      <c r="F243" s="209">
        <v>0</v>
      </c>
      <c r="G243" s="209">
        <v>0</v>
      </c>
      <c r="H243" s="209">
        <v>0</v>
      </c>
      <c r="I243" s="209">
        <v>0</v>
      </c>
      <c r="J243" s="209">
        <v>0</v>
      </c>
      <c r="K243" s="209">
        <v>0</v>
      </c>
    </row>
    <row r="244" spans="1:11" ht="24.75" customHeight="1">
      <c r="A244" s="208">
        <v>42650</v>
      </c>
      <c r="B244" s="209" t="s">
        <v>511</v>
      </c>
      <c r="C244" s="226">
        <v>300008841062</v>
      </c>
      <c r="D244" s="272" t="s">
        <v>277</v>
      </c>
      <c r="E244" s="209">
        <v>0</v>
      </c>
      <c r="F244" s="209">
        <v>8</v>
      </c>
      <c r="G244" s="209">
        <v>8</v>
      </c>
      <c r="H244" s="209">
        <v>0</v>
      </c>
      <c r="I244" s="209">
        <v>8</v>
      </c>
      <c r="J244" s="209">
        <v>8</v>
      </c>
      <c r="K244" s="209">
        <v>2101</v>
      </c>
    </row>
    <row r="245" spans="1:11" ht="24.75" customHeight="1">
      <c r="A245" s="208">
        <v>42650</v>
      </c>
      <c r="B245" s="209" t="s">
        <v>511</v>
      </c>
      <c r="C245" s="226">
        <v>300008853065</v>
      </c>
      <c r="D245" s="272" t="s">
        <v>515</v>
      </c>
      <c r="E245" s="209">
        <v>0</v>
      </c>
      <c r="F245" s="209">
        <v>0</v>
      </c>
      <c r="G245" s="209">
        <v>0</v>
      </c>
      <c r="H245" s="209">
        <v>0</v>
      </c>
      <c r="I245" s="209">
        <v>0</v>
      </c>
      <c r="J245" s="209">
        <v>0</v>
      </c>
      <c r="K245" s="209">
        <v>2</v>
      </c>
    </row>
    <row r="246" spans="1:11" ht="24.75" customHeight="1">
      <c r="A246" s="208">
        <v>42650</v>
      </c>
      <c r="B246" s="209" t="s">
        <v>511</v>
      </c>
      <c r="C246" s="226">
        <v>300008868585</v>
      </c>
      <c r="D246" s="272" t="s">
        <v>495</v>
      </c>
      <c r="E246" s="209">
        <v>0</v>
      </c>
      <c r="F246" s="209">
        <v>2</v>
      </c>
      <c r="G246" s="209">
        <v>2</v>
      </c>
      <c r="H246" s="209">
        <v>0</v>
      </c>
      <c r="I246" s="209">
        <v>0</v>
      </c>
      <c r="J246" s="209">
        <v>0</v>
      </c>
      <c r="K246" s="209">
        <v>543</v>
      </c>
    </row>
    <row r="247" spans="1:11" ht="24.75" customHeight="1">
      <c r="A247" s="208">
        <v>42650</v>
      </c>
      <c r="B247" s="209" t="s">
        <v>511</v>
      </c>
      <c r="C247" s="226">
        <v>300009016017</v>
      </c>
      <c r="D247" s="272" t="s">
        <v>498</v>
      </c>
      <c r="E247" s="209">
        <v>0</v>
      </c>
      <c r="F247" s="209">
        <v>1</v>
      </c>
      <c r="G247" s="209">
        <v>1</v>
      </c>
      <c r="H247" s="209">
        <v>0</v>
      </c>
      <c r="I247" s="209">
        <v>0</v>
      </c>
      <c r="J247" s="209">
        <v>0</v>
      </c>
      <c r="K247" s="209">
        <v>283</v>
      </c>
    </row>
    <row r="248" spans="1:11" ht="24.75" customHeight="1">
      <c r="A248" s="208">
        <v>42650</v>
      </c>
      <c r="B248" s="209" t="s">
        <v>511</v>
      </c>
      <c r="C248" s="226">
        <v>300009151749</v>
      </c>
      <c r="D248" s="272" t="s">
        <v>518</v>
      </c>
      <c r="E248" s="209">
        <v>0</v>
      </c>
      <c r="F248" s="209">
        <v>0</v>
      </c>
      <c r="G248" s="209">
        <v>0</v>
      </c>
      <c r="H248" s="209">
        <v>0</v>
      </c>
      <c r="I248" s="209">
        <v>0</v>
      </c>
      <c r="J248" s="209">
        <v>0</v>
      </c>
      <c r="K248" s="209">
        <v>1</v>
      </c>
    </row>
    <row r="249" spans="1:11" ht="24.75" customHeight="1">
      <c r="A249" s="208">
        <v>42650</v>
      </c>
      <c r="B249" s="209" t="s">
        <v>511</v>
      </c>
      <c r="C249" s="226">
        <v>300009185572</v>
      </c>
      <c r="D249" s="272" t="s">
        <v>237</v>
      </c>
      <c r="E249" s="209">
        <v>0</v>
      </c>
      <c r="F249" s="209">
        <v>0</v>
      </c>
      <c r="G249" s="209">
        <v>0</v>
      </c>
      <c r="H249" s="209">
        <v>0</v>
      </c>
      <c r="I249" s="209">
        <v>0</v>
      </c>
      <c r="J249" s="209">
        <v>0</v>
      </c>
      <c r="K249" s="209">
        <v>0</v>
      </c>
    </row>
    <row r="250" spans="1:11" ht="24.75" customHeight="1">
      <c r="A250" s="208">
        <v>42650</v>
      </c>
      <c r="B250" s="209" t="s">
        <v>511</v>
      </c>
      <c r="C250" s="226">
        <v>300009190374</v>
      </c>
      <c r="D250" s="272" t="s">
        <v>516</v>
      </c>
      <c r="E250" s="209">
        <v>0</v>
      </c>
      <c r="F250" s="209">
        <v>0</v>
      </c>
      <c r="G250" s="209">
        <v>0</v>
      </c>
      <c r="H250" s="209">
        <v>0</v>
      </c>
      <c r="I250" s="209">
        <v>0</v>
      </c>
      <c r="J250" s="209">
        <v>0</v>
      </c>
      <c r="K250" s="209">
        <v>1</v>
      </c>
    </row>
    <row r="251" spans="1:11" ht="24.75" customHeight="1">
      <c r="A251" s="208">
        <v>42650</v>
      </c>
      <c r="B251" s="209" t="s">
        <v>511</v>
      </c>
      <c r="C251" s="226">
        <v>300009192151</v>
      </c>
      <c r="D251" s="272" t="s">
        <v>514</v>
      </c>
      <c r="E251" s="209">
        <v>0</v>
      </c>
      <c r="F251" s="209">
        <v>0</v>
      </c>
      <c r="G251" s="209">
        <v>0</v>
      </c>
      <c r="H251" s="209">
        <v>0</v>
      </c>
      <c r="I251" s="209">
        <v>0</v>
      </c>
      <c r="J251" s="209">
        <v>0</v>
      </c>
      <c r="K251" s="209">
        <v>956</v>
      </c>
    </row>
    <row r="252" spans="1:11" ht="24.75" customHeight="1">
      <c r="A252" s="208">
        <v>42650</v>
      </c>
      <c r="B252" s="209" t="s">
        <v>511</v>
      </c>
      <c r="C252" s="226">
        <v>300009193471</v>
      </c>
      <c r="D252" s="272" t="s">
        <v>502</v>
      </c>
      <c r="E252" s="209">
        <v>0</v>
      </c>
      <c r="F252" s="209">
        <v>1</v>
      </c>
      <c r="G252" s="209">
        <v>1</v>
      </c>
      <c r="H252" s="209">
        <v>0</v>
      </c>
      <c r="I252" s="209">
        <v>0</v>
      </c>
      <c r="J252" s="209">
        <v>0</v>
      </c>
      <c r="K252" s="209">
        <v>522</v>
      </c>
    </row>
    <row r="253" spans="1:11" ht="24.75" customHeight="1">
      <c r="A253" s="208">
        <v>42650</v>
      </c>
      <c r="B253" s="209" t="s">
        <v>511</v>
      </c>
      <c r="C253" s="226">
        <v>300009197635</v>
      </c>
      <c r="D253" s="272" t="s">
        <v>282</v>
      </c>
      <c r="E253" s="209">
        <v>0</v>
      </c>
      <c r="F253" s="209">
        <v>5</v>
      </c>
      <c r="G253" s="209">
        <v>5</v>
      </c>
      <c r="H253" s="209">
        <v>0</v>
      </c>
      <c r="I253" s="209">
        <v>0</v>
      </c>
      <c r="J253" s="209">
        <v>0</v>
      </c>
      <c r="K253" s="209">
        <v>2339</v>
      </c>
    </row>
    <row r="254" spans="1:11" ht="24.75" customHeight="1">
      <c r="A254" s="208">
        <v>42650</v>
      </c>
      <c r="B254" s="209" t="s">
        <v>511</v>
      </c>
      <c r="C254" s="226">
        <v>300009232016</v>
      </c>
      <c r="D254" s="272" t="s">
        <v>499</v>
      </c>
      <c r="E254" s="209">
        <v>0</v>
      </c>
      <c r="F254" s="209">
        <v>2</v>
      </c>
      <c r="G254" s="209">
        <v>2</v>
      </c>
      <c r="H254" s="209">
        <v>0</v>
      </c>
      <c r="I254" s="209">
        <v>2</v>
      </c>
      <c r="J254" s="209">
        <v>2</v>
      </c>
      <c r="K254" s="209">
        <v>1715</v>
      </c>
    </row>
    <row r="255" spans="1:11" ht="24.75" customHeight="1">
      <c r="A255" s="208">
        <v>42650</v>
      </c>
      <c r="B255" s="209" t="s">
        <v>511</v>
      </c>
      <c r="C255" s="226">
        <v>300009235971</v>
      </c>
      <c r="D255" s="272" t="s">
        <v>241</v>
      </c>
      <c r="E255" s="209">
        <v>0</v>
      </c>
      <c r="F255" s="209">
        <v>0</v>
      </c>
      <c r="G255" s="209">
        <v>0</v>
      </c>
      <c r="H255" s="209">
        <v>0</v>
      </c>
      <c r="I255" s="209">
        <v>0</v>
      </c>
      <c r="J255" s="209">
        <v>0</v>
      </c>
      <c r="K255" s="209">
        <v>0</v>
      </c>
    </row>
    <row r="256" spans="1:11" ht="24.75" customHeight="1">
      <c r="A256" s="208">
        <v>42650</v>
      </c>
      <c r="B256" s="209" t="s">
        <v>511</v>
      </c>
      <c r="C256" s="226">
        <v>300009358277</v>
      </c>
      <c r="D256" s="272" t="s">
        <v>500</v>
      </c>
      <c r="E256" s="209">
        <v>1</v>
      </c>
      <c r="F256" s="209">
        <v>7</v>
      </c>
      <c r="G256" s="209">
        <v>7</v>
      </c>
      <c r="H256" s="209">
        <v>0</v>
      </c>
      <c r="I256" s="209">
        <v>0</v>
      </c>
      <c r="J256" s="209">
        <v>0</v>
      </c>
      <c r="K256" s="209">
        <v>3708</v>
      </c>
    </row>
    <row r="257" spans="1:11" ht="24.75" customHeight="1">
      <c r="A257" s="208">
        <v>42650</v>
      </c>
      <c r="B257" s="209" t="s">
        <v>511</v>
      </c>
      <c r="C257" s="226">
        <v>300009374212</v>
      </c>
      <c r="D257" s="272" t="s">
        <v>235</v>
      </c>
      <c r="E257" s="209">
        <v>0</v>
      </c>
      <c r="F257" s="209">
        <v>3</v>
      </c>
      <c r="G257" s="209">
        <v>3</v>
      </c>
      <c r="H257" s="209">
        <v>0</v>
      </c>
      <c r="I257" s="209">
        <v>0</v>
      </c>
      <c r="J257" s="209">
        <v>0</v>
      </c>
      <c r="K257" s="209">
        <v>683</v>
      </c>
    </row>
    <row r="258" spans="1:11" ht="24.75" customHeight="1">
      <c r="A258" s="208">
        <v>42650</v>
      </c>
      <c r="B258" s="209" t="s">
        <v>511</v>
      </c>
      <c r="C258" s="226">
        <v>300009406201</v>
      </c>
      <c r="D258" s="272" t="s">
        <v>234</v>
      </c>
      <c r="E258" s="209">
        <v>0</v>
      </c>
      <c r="F258" s="209">
        <v>4</v>
      </c>
      <c r="G258" s="209">
        <v>4</v>
      </c>
      <c r="H258" s="209">
        <v>0</v>
      </c>
      <c r="I258" s="209">
        <v>1</v>
      </c>
      <c r="J258" s="209">
        <v>1</v>
      </c>
      <c r="K258" s="209">
        <v>692</v>
      </c>
    </row>
    <row r="259" spans="1:11" ht="24.75" customHeight="1">
      <c r="A259" s="208">
        <v>42650</v>
      </c>
      <c r="B259" s="209" t="s">
        <v>511</v>
      </c>
      <c r="C259" s="226">
        <v>300009406202</v>
      </c>
      <c r="D259" s="272" t="s">
        <v>232</v>
      </c>
      <c r="E259" s="209">
        <v>0</v>
      </c>
      <c r="F259" s="209">
        <v>0</v>
      </c>
      <c r="G259" s="209">
        <v>0</v>
      </c>
      <c r="H259" s="209">
        <v>0</v>
      </c>
      <c r="I259" s="209">
        <v>0</v>
      </c>
      <c r="J259" s="209">
        <v>0</v>
      </c>
      <c r="K259" s="209">
        <v>0</v>
      </c>
    </row>
    <row r="260" spans="1:11" ht="24.75" customHeight="1">
      <c r="A260" s="208">
        <v>42650</v>
      </c>
      <c r="B260" s="209" t="s">
        <v>511</v>
      </c>
      <c r="C260" s="226">
        <v>300009410229</v>
      </c>
      <c r="D260" s="272" t="s">
        <v>279</v>
      </c>
      <c r="E260" s="209">
        <v>0</v>
      </c>
      <c r="F260" s="209">
        <v>0</v>
      </c>
      <c r="G260" s="209">
        <v>0</v>
      </c>
      <c r="H260" s="209">
        <v>0</v>
      </c>
      <c r="I260" s="209">
        <v>0</v>
      </c>
      <c r="J260" s="209">
        <v>0</v>
      </c>
      <c r="K260" s="209">
        <v>39</v>
      </c>
    </row>
    <row r="261" spans="1:11" ht="24.75" customHeight="1">
      <c r="A261" s="208">
        <v>42650</v>
      </c>
      <c r="B261" s="209" t="s">
        <v>511</v>
      </c>
      <c r="C261" s="226">
        <v>300009480238</v>
      </c>
      <c r="D261" s="272" t="s">
        <v>263</v>
      </c>
      <c r="E261" s="209">
        <v>0</v>
      </c>
      <c r="F261" s="209">
        <v>13</v>
      </c>
      <c r="G261" s="209">
        <v>13</v>
      </c>
      <c r="H261" s="209">
        <v>0</v>
      </c>
      <c r="I261" s="209">
        <v>3</v>
      </c>
      <c r="J261" s="209">
        <v>3</v>
      </c>
      <c r="K261" s="209">
        <v>1161</v>
      </c>
    </row>
    <row r="262" spans="1:11" ht="24.75" customHeight="1">
      <c r="A262" s="260">
        <v>42644</v>
      </c>
      <c r="B262" s="209" t="s">
        <v>519</v>
      </c>
      <c r="C262" s="226">
        <v>300009358277</v>
      </c>
      <c r="D262" s="272" t="s">
        <v>500</v>
      </c>
      <c r="E262" s="209">
        <v>4</v>
      </c>
      <c r="F262" s="209">
        <v>4</v>
      </c>
      <c r="G262" s="209">
        <v>2</v>
      </c>
      <c r="H262" s="209">
        <v>2</v>
      </c>
      <c r="I262" s="209">
        <v>3.51</v>
      </c>
      <c r="J262" s="209">
        <v>1.75</v>
      </c>
      <c r="K262" s="209">
        <v>11404.9</v>
      </c>
    </row>
    <row r="263" spans="1:11" ht="24.75" customHeight="1">
      <c r="A263" s="260">
        <v>42644</v>
      </c>
      <c r="B263" s="209" t="s">
        <v>519</v>
      </c>
      <c r="C263" s="226">
        <v>300009358299</v>
      </c>
      <c r="D263" s="272" t="s">
        <v>520</v>
      </c>
      <c r="E263" s="209">
        <v>0</v>
      </c>
      <c r="F263" s="209">
        <v>0</v>
      </c>
      <c r="G263" s="209">
        <v>0</v>
      </c>
      <c r="H263" s="209">
        <v>0</v>
      </c>
      <c r="I263" s="209">
        <v>0</v>
      </c>
      <c r="J263" s="209">
        <v>0</v>
      </c>
      <c r="K263" s="209">
        <v>6772</v>
      </c>
    </row>
    <row r="264" spans="1:11" ht="24.75" customHeight="1">
      <c r="A264" s="260">
        <v>42644</v>
      </c>
      <c r="B264" s="209" t="s">
        <v>519</v>
      </c>
      <c r="C264" s="226">
        <v>300009358300</v>
      </c>
      <c r="D264" s="272" t="s">
        <v>521</v>
      </c>
      <c r="E264" s="209">
        <v>0</v>
      </c>
      <c r="F264" s="209">
        <v>0</v>
      </c>
      <c r="G264" s="209">
        <v>0</v>
      </c>
      <c r="H264" s="209">
        <v>0</v>
      </c>
      <c r="I264" s="209">
        <v>0</v>
      </c>
      <c r="J264" s="209">
        <v>0</v>
      </c>
      <c r="K264" s="209">
        <v>6173.03</v>
      </c>
    </row>
    <row r="265" spans="1:11" ht="24.75" customHeight="1">
      <c r="A265" s="260">
        <v>42644</v>
      </c>
      <c r="B265" s="209" t="s">
        <v>519</v>
      </c>
      <c r="C265" s="226">
        <v>300009185572</v>
      </c>
      <c r="D265" s="272" t="s">
        <v>237</v>
      </c>
      <c r="E265" s="209">
        <v>0</v>
      </c>
      <c r="F265" s="209">
        <v>0</v>
      </c>
      <c r="G265" s="209">
        <v>0</v>
      </c>
      <c r="H265" s="209">
        <v>0</v>
      </c>
      <c r="I265" s="209">
        <v>0</v>
      </c>
      <c r="J265" s="209">
        <v>0</v>
      </c>
      <c r="K265" s="209">
        <v>3226.5</v>
      </c>
    </row>
    <row r="266" spans="1:11" ht="24.75" customHeight="1">
      <c r="A266" s="260">
        <v>42644</v>
      </c>
      <c r="B266" s="209" t="s">
        <v>519</v>
      </c>
      <c r="C266" s="226">
        <v>300009232016</v>
      </c>
      <c r="D266" s="272" t="s">
        <v>499</v>
      </c>
      <c r="E266" s="209">
        <v>0</v>
      </c>
      <c r="F266" s="209">
        <v>0</v>
      </c>
      <c r="G266" s="209">
        <v>0</v>
      </c>
      <c r="H266" s="209">
        <v>0</v>
      </c>
      <c r="I266" s="209">
        <v>0</v>
      </c>
      <c r="J266" s="209">
        <v>0</v>
      </c>
      <c r="K266" s="209">
        <v>2836.44</v>
      </c>
    </row>
    <row r="267" spans="1:11" ht="24.75" customHeight="1">
      <c r="A267" s="260">
        <v>42644</v>
      </c>
      <c r="B267" s="209" t="s">
        <v>519</v>
      </c>
      <c r="C267" s="226">
        <v>300009197635</v>
      </c>
      <c r="D267" s="272" t="s">
        <v>282</v>
      </c>
      <c r="E267" s="209">
        <v>0</v>
      </c>
      <c r="F267" s="209">
        <v>0</v>
      </c>
      <c r="G267" s="209">
        <v>0</v>
      </c>
      <c r="H267" s="209">
        <v>0</v>
      </c>
      <c r="I267" s="209">
        <v>0</v>
      </c>
      <c r="J267" s="209">
        <v>0</v>
      </c>
      <c r="K267" s="209">
        <v>2661.01</v>
      </c>
    </row>
    <row r="268" spans="1:11" ht="24.75" customHeight="1">
      <c r="A268" s="260">
        <v>42644</v>
      </c>
      <c r="B268" s="209" t="s">
        <v>519</v>
      </c>
      <c r="C268" s="226">
        <v>300008841062</v>
      </c>
      <c r="D268" s="272" t="s">
        <v>277</v>
      </c>
      <c r="E268" s="209">
        <v>0</v>
      </c>
      <c r="F268" s="209">
        <v>0</v>
      </c>
      <c r="G268" s="209">
        <v>0</v>
      </c>
      <c r="H268" s="209">
        <v>0</v>
      </c>
      <c r="I268" s="209">
        <v>0</v>
      </c>
      <c r="J268" s="209">
        <v>0</v>
      </c>
      <c r="K268" s="209">
        <v>2548.7199999999998</v>
      </c>
    </row>
    <row r="269" spans="1:11" ht="24.75" customHeight="1">
      <c r="A269" s="260">
        <v>42644</v>
      </c>
      <c r="B269" s="209" t="s">
        <v>519</v>
      </c>
      <c r="C269" s="226">
        <v>300008508327</v>
      </c>
      <c r="D269" s="209" t="s">
        <v>501</v>
      </c>
      <c r="E269" s="209">
        <v>0</v>
      </c>
      <c r="F269" s="209">
        <v>0</v>
      </c>
      <c r="G269" s="209">
        <v>0</v>
      </c>
      <c r="H269" s="209">
        <v>0</v>
      </c>
      <c r="I269" s="209">
        <v>0</v>
      </c>
      <c r="J269" s="209">
        <v>0</v>
      </c>
      <c r="K269" s="209">
        <v>2384</v>
      </c>
    </row>
    <row r="270" spans="1:11" ht="24.75" customHeight="1">
      <c r="A270" s="260">
        <v>42644</v>
      </c>
      <c r="B270" s="209" t="s">
        <v>519</v>
      </c>
      <c r="C270" s="226">
        <v>300008993578</v>
      </c>
      <c r="D270" s="272" t="s">
        <v>497</v>
      </c>
      <c r="E270" s="209">
        <v>0</v>
      </c>
      <c r="F270" s="209">
        <v>0</v>
      </c>
      <c r="G270" s="209">
        <v>0</v>
      </c>
      <c r="H270" s="209">
        <v>0</v>
      </c>
      <c r="I270" s="209">
        <v>0</v>
      </c>
      <c r="J270" s="209">
        <v>0</v>
      </c>
      <c r="K270" s="209">
        <v>2286.33</v>
      </c>
    </row>
    <row r="271" spans="1:11" ht="24.75" customHeight="1">
      <c r="A271" s="260">
        <v>42644</v>
      </c>
      <c r="B271" s="209" t="s">
        <v>519</v>
      </c>
      <c r="C271" s="226">
        <v>300009016017</v>
      </c>
      <c r="D271" s="272" t="s">
        <v>498</v>
      </c>
      <c r="E271" s="209">
        <v>0</v>
      </c>
      <c r="F271" s="209">
        <v>0</v>
      </c>
      <c r="G271" s="209">
        <v>0</v>
      </c>
      <c r="H271" s="209">
        <v>0</v>
      </c>
      <c r="I271" s="209">
        <v>0</v>
      </c>
      <c r="J271" s="209">
        <v>0</v>
      </c>
      <c r="K271" s="209">
        <v>119.26</v>
      </c>
    </row>
    <row r="272" spans="1:11" ht="24.75" customHeight="1">
      <c r="A272" s="260">
        <v>42644</v>
      </c>
      <c r="B272" s="209" t="s">
        <v>519</v>
      </c>
      <c r="C272" s="226">
        <v>300008656423</v>
      </c>
      <c r="D272" s="272" t="s">
        <v>522</v>
      </c>
      <c r="E272" s="209">
        <v>0</v>
      </c>
      <c r="F272" s="209">
        <v>0</v>
      </c>
      <c r="G272" s="209">
        <v>0</v>
      </c>
      <c r="H272" s="209">
        <v>0</v>
      </c>
      <c r="I272" s="209">
        <v>0</v>
      </c>
      <c r="J272" s="209">
        <v>0</v>
      </c>
      <c r="K272" s="209">
        <v>6</v>
      </c>
    </row>
    <row r="273" spans="1:11" ht="24.75" customHeight="1">
      <c r="A273" s="260">
        <v>42644</v>
      </c>
      <c r="B273" s="209" t="s">
        <v>519</v>
      </c>
      <c r="C273" s="226">
        <v>300009410229</v>
      </c>
      <c r="D273" s="272" t="s">
        <v>279</v>
      </c>
      <c r="E273" s="209">
        <v>0</v>
      </c>
      <c r="F273" s="209">
        <v>0</v>
      </c>
      <c r="G273" s="209">
        <v>0</v>
      </c>
      <c r="H273" s="209">
        <v>0</v>
      </c>
      <c r="I273" s="209">
        <v>0</v>
      </c>
      <c r="J273" s="209">
        <v>0</v>
      </c>
      <c r="K273" s="209">
        <v>2.8</v>
      </c>
    </row>
    <row r="274" spans="1:11" ht="24.75" customHeight="1">
      <c r="A274" s="260">
        <v>42644</v>
      </c>
      <c r="B274" s="209" t="s">
        <v>519</v>
      </c>
      <c r="C274" s="226">
        <v>300009211922</v>
      </c>
      <c r="D274" s="209" t="s">
        <v>523</v>
      </c>
      <c r="E274" s="209">
        <v>0</v>
      </c>
      <c r="F274" s="209">
        <v>0</v>
      </c>
      <c r="G274" s="209" t="s">
        <v>242</v>
      </c>
      <c r="H274" s="209" t="s">
        <v>242</v>
      </c>
      <c r="I274" s="209">
        <v>0</v>
      </c>
      <c r="J274" s="209" t="s">
        <v>242</v>
      </c>
      <c r="K274" s="209">
        <v>0</v>
      </c>
    </row>
    <row r="275" spans="1:11" ht="24.75" customHeight="1">
      <c r="A275" s="208">
        <v>42645</v>
      </c>
      <c r="B275" s="209" t="s">
        <v>519</v>
      </c>
      <c r="C275" s="226">
        <v>300009358277</v>
      </c>
      <c r="D275" s="272" t="s">
        <v>500</v>
      </c>
      <c r="E275" s="209">
        <v>4</v>
      </c>
      <c r="F275" s="209">
        <v>8</v>
      </c>
      <c r="G275" s="209">
        <v>1</v>
      </c>
      <c r="H275" s="209">
        <v>3</v>
      </c>
      <c r="I275" s="209">
        <v>4.0599999999999996</v>
      </c>
      <c r="J275" s="209">
        <v>1.52</v>
      </c>
      <c r="K275" s="209">
        <v>19707.900000000001</v>
      </c>
    </row>
    <row r="276" spans="1:11" ht="24.75" customHeight="1">
      <c r="A276" s="208">
        <v>42645</v>
      </c>
      <c r="B276" s="209" t="s">
        <v>519</v>
      </c>
      <c r="C276" s="226">
        <v>300009358299</v>
      </c>
      <c r="D276" s="272" t="s">
        <v>520</v>
      </c>
      <c r="E276" s="209">
        <v>0</v>
      </c>
      <c r="F276" s="209">
        <v>0</v>
      </c>
      <c r="G276" s="209">
        <v>0</v>
      </c>
      <c r="H276" s="209">
        <v>0</v>
      </c>
      <c r="I276" s="209">
        <v>0</v>
      </c>
      <c r="J276" s="209">
        <v>0</v>
      </c>
      <c r="K276" s="209">
        <v>9876</v>
      </c>
    </row>
    <row r="277" spans="1:11" ht="24.75" customHeight="1">
      <c r="A277" s="208">
        <v>42645</v>
      </c>
      <c r="B277" s="209" t="s">
        <v>519</v>
      </c>
      <c r="C277" s="226">
        <v>300009358300</v>
      </c>
      <c r="D277" s="272" t="s">
        <v>521</v>
      </c>
      <c r="E277" s="209">
        <v>1</v>
      </c>
      <c r="F277" s="209">
        <v>1</v>
      </c>
      <c r="G277" s="209">
        <v>0</v>
      </c>
      <c r="H277" s="209">
        <v>0</v>
      </c>
      <c r="I277" s="209">
        <v>1</v>
      </c>
      <c r="J277" s="209">
        <v>0</v>
      </c>
      <c r="K277" s="209">
        <v>9246.0300000000007</v>
      </c>
    </row>
    <row r="278" spans="1:11" ht="24.75" customHeight="1">
      <c r="A278" s="208">
        <v>42645</v>
      </c>
      <c r="B278" s="209" t="s">
        <v>519</v>
      </c>
      <c r="C278" s="226">
        <v>300009185572</v>
      </c>
      <c r="D278" s="272" t="s">
        <v>237</v>
      </c>
      <c r="E278" s="209">
        <v>3</v>
      </c>
      <c r="F278" s="209">
        <v>4</v>
      </c>
      <c r="G278" s="209">
        <v>0</v>
      </c>
      <c r="H278" s="209">
        <v>0</v>
      </c>
      <c r="I278" s="209">
        <v>4</v>
      </c>
      <c r="J278" s="209">
        <v>0</v>
      </c>
      <c r="K278" s="209">
        <v>8658.4</v>
      </c>
    </row>
    <row r="279" spans="1:11" ht="24.75" customHeight="1">
      <c r="A279" s="208">
        <v>42645</v>
      </c>
      <c r="B279" s="209" t="s">
        <v>519</v>
      </c>
      <c r="C279" s="226">
        <v>300009842225</v>
      </c>
      <c r="D279" s="272" t="s">
        <v>524</v>
      </c>
      <c r="E279" s="209">
        <v>4</v>
      </c>
      <c r="F279" s="209">
        <v>4</v>
      </c>
      <c r="G279" s="209">
        <v>4</v>
      </c>
      <c r="H279" s="209">
        <v>4</v>
      </c>
      <c r="I279" s="209">
        <v>4</v>
      </c>
      <c r="J279" s="209">
        <v>4</v>
      </c>
      <c r="K279" s="209">
        <v>7800.2</v>
      </c>
    </row>
    <row r="280" spans="1:11" ht="24.75" customHeight="1">
      <c r="A280" s="208">
        <v>42645</v>
      </c>
      <c r="B280" s="209" t="s">
        <v>519</v>
      </c>
      <c r="C280" s="226">
        <v>300009207968</v>
      </c>
      <c r="D280" s="272" t="s">
        <v>525</v>
      </c>
      <c r="E280" s="209">
        <v>0</v>
      </c>
      <c r="F280" s="209">
        <v>0</v>
      </c>
      <c r="G280" s="209">
        <v>0</v>
      </c>
      <c r="H280" s="209">
        <v>0</v>
      </c>
      <c r="I280" s="209">
        <v>0</v>
      </c>
      <c r="J280" s="209">
        <v>0</v>
      </c>
      <c r="K280" s="209">
        <v>7408</v>
      </c>
    </row>
    <row r="281" spans="1:11" ht="24.75" customHeight="1">
      <c r="A281" s="208">
        <v>42645</v>
      </c>
      <c r="B281" s="209" t="s">
        <v>519</v>
      </c>
      <c r="C281" s="226">
        <v>300009232016</v>
      </c>
      <c r="D281" s="272" t="s">
        <v>499</v>
      </c>
      <c r="E281" s="209">
        <v>0</v>
      </c>
      <c r="F281" s="209">
        <v>0</v>
      </c>
      <c r="G281" s="209">
        <v>0</v>
      </c>
      <c r="H281" s="209">
        <v>0</v>
      </c>
      <c r="I281" s="209">
        <v>0</v>
      </c>
      <c r="J281" s="209">
        <v>0</v>
      </c>
      <c r="K281" s="209">
        <v>6187.91</v>
      </c>
    </row>
    <row r="282" spans="1:11" ht="24.75" customHeight="1">
      <c r="A282" s="208">
        <v>42645</v>
      </c>
      <c r="B282" s="209" t="s">
        <v>519</v>
      </c>
      <c r="C282" s="226">
        <v>300009197635</v>
      </c>
      <c r="D282" s="272" t="s">
        <v>282</v>
      </c>
      <c r="E282" s="209">
        <v>0</v>
      </c>
      <c r="F282" s="209">
        <v>0</v>
      </c>
      <c r="G282" s="209">
        <v>0</v>
      </c>
      <c r="H282" s="209">
        <v>0</v>
      </c>
      <c r="I282" s="209">
        <v>0</v>
      </c>
      <c r="J282" s="209">
        <v>0</v>
      </c>
      <c r="K282" s="209">
        <v>6021.05</v>
      </c>
    </row>
    <row r="283" spans="1:11" ht="24.75" customHeight="1">
      <c r="A283" s="208">
        <v>42645</v>
      </c>
      <c r="B283" s="209" t="s">
        <v>519</v>
      </c>
      <c r="C283" s="226">
        <v>300008508327</v>
      </c>
      <c r="D283" s="209" t="s">
        <v>501</v>
      </c>
      <c r="E283" s="209">
        <v>0</v>
      </c>
      <c r="F283" s="209">
        <v>0</v>
      </c>
      <c r="G283" s="209">
        <v>0</v>
      </c>
      <c r="H283" s="209">
        <v>0</v>
      </c>
      <c r="I283" s="209">
        <v>0</v>
      </c>
      <c r="J283" s="209">
        <v>0</v>
      </c>
      <c r="K283" s="209">
        <v>5252</v>
      </c>
    </row>
    <row r="284" spans="1:11" ht="24.75" customHeight="1">
      <c r="A284" s="208">
        <v>42645</v>
      </c>
      <c r="B284" s="209" t="s">
        <v>519</v>
      </c>
      <c r="C284" s="226">
        <v>300008841062</v>
      </c>
      <c r="D284" s="272" t="s">
        <v>277</v>
      </c>
      <c r="E284" s="209">
        <v>0</v>
      </c>
      <c r="F284" s="209">
        <v>0</v>
      </c>
      <c r="G284" s="209">
        <v>0</v>
      </c>
      <c r="H284" s="209">
        <v>0</v>
      </c>
      <c r="I284" s="209">
        <v>0</v>
      </c>
      <c r="J284" s="209">
        <v>0</v>
      </c>
      <c r="K284" s="209">
        <v>4443.28</v>
      </c>
    </row>
    <row r="285" spans="1:11" ht="24.75" customHeight="1">
      <c r="A285" s="208">
        <v>42645</v>
      </c>
      <c r="B285" s="209" t="s">
        <v>519</v>
      </c>
      <c r="C285" s="226">
        <v>300008993578</v>
      </c>
      <c r="D285" s="272" t="s">
        <v>497</v>
      </c>
      <c r="E285" s="209">
        <v>1</v>
      </c>
      <c r="F285" s="209">
        <v>1</v>
      </c>
      <c r="G285" s="209">
        <v>0</v>
      </c>
      <c r="H285" s="209">
        <v>1</v>
      </c>
      <c r="I285" s="209">
        <v>1</v>
      </c>
      <c r="J285" s="209">
        <v>1</v>
      </c>
      <c r="K285" s="209">
        <v>4147.8500000000004</v>
      </c>
    </row>
    <row r="286" spans="1:11" ht="24.75" customHeight="1">
      <c r="A286" s="208">
        <v>42645</v>
      </c>
      <c r="B286" s="209" t="s">
        <v>519</v>
      </c>
      <c r="C286" s="226">
        <v>300009016017</v>
      </c>
      <c r="D286" s="272" t="s">
        <v>498</v>
      </c>
      <c r="E286" s="209">
        <v>0</v>
      </c>
      <c r="F286" s="209">
        <v>0</v>
      </c>
      <c r="G286" s="209">
        <v>0</v>
      </c>
      <c r="H286" s="209">
        <v>0</v>
      </c>
      <c r="I286" s="209">
        <v>0</v>
      </c>
      <c r="J286" s="209">
        <v>0</v>
      </c>
      <c r="K286" s="209">
        <v>303.45</v>
      </c>
    </row>
    <row r="287" spans="1:11" ht="24.75" customHeight="1">
      <c r="A287" s="208">
        <v>42645</v>
      </c>
      <c r="B287" s="209" t="s">
        <v>519</v>
      </c>
      <c r="C287" s="226">
        <v>300009410229</v>
      </c>
      <c r="D287" s="272" t="s">
        <v>279</v>
      </c>
      <c r="E287" s="209">
        <v>0</v>
      </c>
      <c r="F287" s="209">
        <v>0</v>
      </c>
      <c r="G287" s="209">
        <v>0</v>
      </c>
      <c r="H287" s="209">
        <v>0</v>
      </c>
      <c r="I287" s="209">
        <v>0</v>
      </c>
      <c r="J287" s="209">
        <v>0</v>
      </c>
      <c r="K287" s="209">
        <v>7.4</v>
      </c>
    </row>
    <row r="288" spans="1:11" ht="24.75" customHeight="1">
      <c r="A288" s="208">
        <v>42645</v>
      </c>
      <c r="B288" s="209" t="s">
        <v>519</v>
      </c>
      <c r="C288" s="226">
        <v>300008656423</v>
      </c>
      <c r="D288" s="272" t="s">
        <v>522</v>
      </c>
      <c r="E288" s="209">
        <v>0</v>
      </c>
      <c r="F288" s="209">
        <v>0</v>
      </c>
      <c r="G288" s="209">
        <v>0</v>
      </c>
      <c r="H288" s="209">
        <v>0</v>
      </c>
      <c r="I288" s="209">
        <v>0</v>
      </c>
      <c r="J288" s="209">
        <v>0</v>
      </c>
      <c r="K288" s="209">
        <v>6</v>
      </c>
    </row>
    <row r="289" spans="1:11" ht="24.75" customHeight="1">
      <c r="A289" s="208">
        <v>42645</v>
      </c>
      <c r="B289" s="209" t="s">
        <v>519</v>
      </c>
      <c r="C289" s="226">
        <v>300009190335</v>
      </c>
      <c r="D289" s="272" t="s">
        <v>526</v>
      </c>
      <c r="E289" s="209">
        <v>1</v>
      </c>
      <c r="F289" s="209">
        <v>1</v>
      </c>
      <c r="G289" s="209">
        <v>0</v>
      </c>
      <c r="H289" s="209">
        <v>0</v>
      </c>
      <c r="I289" s="209">
        <v>1</v>
      </c>
      <c r="J289" s="209">
        <v>0</v>
      </c>
      <c r="K289" s="209">
        <v>2</v>
      </c>
    </row>
    <row r="290" spans="1:11" ht="24.75" customHeight="1">
      <c r="A290" s="208">
        <v>42645</v>
      </c>
      <c r="B290" s="209" t="s">
        <v>519</v>
      </c>
      <c r="C290" s="226">
        <v>300009000071</v>
      </c>
      <c r="D290" s="209" t="s">
        <v>527</v>
      </c>
      <c r="E290" s="209">
        <v>1</v>
      </c>
      <c r="F290" s="209">
        <v>1</v>
      </c>
      <c r="G290" s="209">
        <v>0</v>
      </c>
      <c r="H290" s="209">
        <v>0</v>
      </c>
      <c r="I290" s="209">
        <v>1</v>
      </c>
      <c r="J290" s="209">
        <v>0</v>
      </c>
      <c r="K290" s="209">
        <v>0</v>
      </c>
    </row>
    <row r="291" spans="1:11" ht="24.75" customHeight="1">
      <c r="A291" s="208">
        <v>42645</v>
      </c>
      <c r="B291" s="209" t="s">
        <v>519</v>
      </c>
      <c r="C291" s="226">
        <v>300009190346</v>
      </c>
      <c r="D291" s="272" t="s">
        <v>528</v>
      </c>
      <c r="E291" s="209">
        <v>0</v>
      </c>
      <c r="F291" s="209">
        <v>0</v>
      </c>
      <c r="G291" s="209">
        <v>0</v>
      </c>
      <c r="H291" s="209">
        <v>0</v>
      </c>
      <c r="I291" s="209">
        <v>0</v>
      </c>
      <c r="J291" s="209">
        <v>0</v>
      </c>
      <c r="K291" s="209">
        <v>0</v>
      </c>
    </row>
    <row r="292" spans="1:11" ht="24.75" customHeight="1">
      <c r="A292" s="208">
        <v>42645</v>
      </c>
      <c r="B292" s="209" t="s">
        <v>519</v>
      </c>
      <c r="C292" s="226">
        <v>300009211922</v>
      </c>
      <c r="D292" s="209" t="s">
        <v>523</v>
      </c>
      <c r="E292" s="209">
        <v>1</v>
      </c>
      <c r="F292" s="209">
        <v>1</v>
      </c>
      <c r="G292" s="209">
        <v>0</v>
      </c>
      <c r="H292" s="209">
        <v>0</v>
      </c>
      <c r="I292" s="209">
        <v>1</v>
      </c>
      <c r="J292" s="209">
        <v>0</v>
      </c>
      <c r="K292" s="209">
        <v>0</v>
      </c>
    </row>
    <row r="293" spans="1:11" ht="24.75" customHeight="1">
      <c r="A293" s="208">
        <v>42646</v>
      </c>
      <c r="B293" s="209" t="s">
        <v>519</v>
      </c>
      <c r="C293" s="226">
        <v>300009358277</v>
      </c>
      <c r="D293" s="272" t="s">
        <v>500</v>
      </c>
      <c r="E293" s="209">
        <v>1</v>
      </c>
      <c r="F293" s="209">
        <v>9</v>
      </c>
      <c r="G293" s="209">
        <v>0</v>
      </c>
      <c r="H293" s="209">
        <v>3</v>
      </c>
      <c r="I293" s="209">
        <v>4.57</v>
      </c>
      <c r="J293" s="209">
        <v>1.52</v>
      </c>
      <c r="K293" s="209">
        <v>19707.900000000001</v>
      </c>
    </row>
    <row r="294" spans="1:11" ht="24.75" customHeight="1">
      <c r="A294" s="208">
        <v>42646</v>
      </c>
      <c r="B294" s="209" t="s">
        <v>519</v>
      </c>
      <c r="C294" s="226">
        <v>300009842225</v>
      </c>
      <c r="D294" s="272" t="s">
        <v>524</v>
      </c>
      <c r="E294" s="209">
        <v>3</v>
      </c>
      <c r="F294" s="209">
        <v>8</v>
      </c>
      <c r="G294" s="209">
        <v>3</v>
      </c>
      <c r="H294" s="209">
        <v>8</v>
      </c>
      <c r="I294" s="209">
        <v>4.55</v>
      </c>
      <c r="J294" s="209">
        <v>4.55</v>
      </c>
      <c r="K294" s="209">
        <v>17594.7</v>
      </c>
    </row>
    <row r="295" spans="1:11" ht="24.75" customHeight="1">
      <c r="A295" s="208">
        <v>42646</v>
      </c>
      <c r="B295" s="209" t="s">
        <v>519</v>
      </c>
      <c r="C295" s="226">
        <v>300009207968</v>
      </c>
      <c r="D295" s="272" t="s">
        <v>525</v>
      </c>
      <c r="E295" s="209">
        <v>3</v>
      </c>
      <c r="F295" s="209">
        <v>3</v>
      </c>
      <c r="G295" s="209">
        <v>2</v>
      </c>
      <c r="H295" s="209">
        <v>2</v>
      </c>
      <c r="I295" s="209">
        <v>2.06</v>
      </c>
      <c r="J295" s="209">
        <v>1.37</v>
      </c>
      <c r="K295" s="209">
        <v>14560</v>
      </c>
    </row>
    <row r="296" spans="1:11" ht="24.75" customHeight="1">
      <c r="A296" s="208">
        <v>42646</v>
      </c>
      <c r="B296" s="209" t="s">
        <v>519</v>
      </c>
      <c r="C296" s="226">
        <v>300009185572</v>
      </c>
      <c r="D296" s="272" t="s">
        <v>237</v>
      </c>
      <c r="E296" s="209">
        <v>3</v>
      </c>
      <c r="F296" s="209">
        <v>7</v>
      </c>
      <c r="G296" s="209">
        <v>0</v>
      </c>
      <c r="H296" s="209">
        <v>0</v>
      </c>
      <c r="I296" s="209">
        <v>5.74</v>
      </c>
      <c r="J296" s="209">
        <v>0</v>
      </c>
      <c r="K296" s="209">
        <v>12204.4</v>
      </c>
    </row>
    <row r="297" spans="1:11" ht="24.75" customHeight="1">
      <c r="A297" s="208">
        <v>42646</v>
      </c>
      <c r="B297" s="209" t="s">
        <v>519</v>
      </c>
      <c r="C297" s="226">
        <v>300009358299</v>
      </c>
      <c r="D297" s="272" t="s">
        <v>520</v>
      </c>
      <c r="E297" s="209">
        <v>0</v>
      </c>
      <c r="F297" s="209">
        <v>1</v>
      </c>
      <c r="G297" s="209">
        <v>0</v>
      </c>
      <c r="H297" s="209">
        <v>0</v>
      </c>
      <c r="I297" s="209">
        <v>0.84</v>
      </c>
      <c r="J297" s="209">
        <v>0</v>
      </c>
      <c r="K297" s="209">
        <v>11862</v>
      </c>
    </row>
    <row r="298" spans="1:11" ht="24.75" customHeight="1">
      <c r="A298" s="208">
        <v>42646</v>
      </c>
      <c r="B298" s="209" t="s">
        <v>519</v>
      </c>
      <c r="C298" s="226">
        <v>300009358300</v>
      </c>
      <c r="D298" s="272" t="s">
        <v>521</v>
      </c>
      <c r="E298" s="209">
        <v>0</v>
      </c>
      <c r="F298" s="209">
        <v>1</v>
      </c>
      <c r="G298" s="209">
        <v>0</v>
      </c>
      <c r="H298" s="209">
        <v>0</v>
      </c>
      <c r="I298" s="209">
        <v>0.93</v>
      </c>
      <c r="J298" s="209">
        <v>0</v>
      </c>
      <c r="K298" s="209">
        <v>10701.03</v>
      </c>
    </row>
    <row r="299" spans="1:11" ht="24.75" customHeight="1">
      <c r="A299" s="208">
        <v>42646</v>
      </c>
      <c r="B299" s="209" t="s">
        <v>519</v>
      </c>
      <c r="C299" s="226">
        <v>300009232016</v>
      </c>
      <c r="D299" s="272" t="s">
        <v>499</v>
      </c>
      <c r="E299" s="209">
        <v>0</v>
      </c>
      <c r="F299" s="209">
        <v>0</v>
      </c>
      <c r="G299" s="209">
        <v>0</v>
      </c>
      <c r="H299" s="209">
        <v>0</v>
      </c>
      <c r="I299" s="209">
        <v>0</v>
      </c>
      <c r="J299" s="209">
        <v>0</v>
      </c>
      <c r="K299" s="209">
        <v>9159.0300000000007</v>
      </c>
    </row>
    <row r="300" spans="1:11" ht="24.75" customHeight="1">
      <c r="A300" s="208">
        <v>42646</v>
      </c>
      <c r="B300" s="209" t="s">
        <v>519</v>
      </c>
      <c r="C300" s="226">
        <v>300009197635</v>
      </c>
      <c r="D300" s="272" t="s">
        <v>282</v>
      </c>
      <c r="E300" s="209">
        <v>0</v>
      </c>
      <c r="F300" s="209">
        <v>0</v>
      </c>
      <c r="G300" s="209">
        <v>0</v>
      </c>
      <c r="H300" s="209">
        <v>0</v>
      </c>
      <c r="I300" s="209">
        <v>0</v>
      </c>
      <c r="J300" s="209">
        <v>0</v>
      </c>
      <c r="K300" s="209">
        <v>8578.2999999999993</v>
      </c>
    </row>
    <row r="301" spans="1:11" ht="24.75" customHeight="1">
      <c r="A301" s="208">
        <v>42646</v>
      </c>
      <c r="B301" s="209" t="s">
        <v>519</v>
      </c>
      <c r="C301" s="226">
        <v>300008508327</v>
      </c>
      <c r="D301" s="209" t="s">
        <v>501</v>
      </c>
      <c r="E301" s="209">
        <v>0</v>
      </c>
      <c r="F301" s="209">
        <v>1</v>
      </c>
      <c r="G301" s="209">
        <v>0</v>
      </c>
      <c r="H301" s="209">
        <v>1</v>
      </c>
      <c r="I301" s="209">
        <v>1</v>
      </c>
      <c r="J301" s="209">
        <v>1</v>
      </c>
      <c r="K301" s="209">
        <v>7954</v>
      </c>
    </row>
    <row r="302" spans="1:11" ht="24.75" customHeight="1">
      <c r="A302" s="208">
        <v>42646</v>
      </c>
      <c r="B302" s="209" t="s">
        <v>519</v>
      </c>
      <c r="C302" s="226">
        <v>300008841062</v>
      </c>
      <c r="D302" s="272" t="s">
        <v>277</v>
      </c>
      <c r="E302" s="209">
        <v>0</v>
      </c>
      <c r="F302" s="209">
        <v>0</v>
      </c>
      <c r="G302" s="209">
        <v>0</v>
      </c>
      <c r="H302" s="209">
        <v>0</v>
      </c>
      <c r="I302" s="209">
        <v>0</v>
      </c>
      <c r="J302" s="209">
        <v>0</v>
      </c>
      <c r="K302" s="209">
        <v>6998.82</v>
      </c>
    </row>
    <row r="303" spans="1:11" ht="24.75" customHeight="1">
      <c r="A303" s="208">
        <v>42646</v>
      </c>
      <c r="B303" s="209" t="s">
        <v>519</v>
      </c>
      <c r="C303" s="226">
        <v>300008993578</v>
      </c>
      <c r="D303" s="272" t="s">
        <v>497</v>
      </c>
      <c r="E303" s="209">
        <v>1</v>
      </c>
      <c r="F303" s="209">
        <v>2</v>
      </c>
      <c r="G303" s="209">
        <v>1</v>
      </c>
      <c r="H303" s="209">
        <v>2</v>
      </c>
      <c r="I303" s="209">
        <v>2</v>
      </c>
      <c r="J303" s="209">
        <v>2</v>
      </c>
      <c r="K303" s="209">
        <v>5047.58</v>
      </c>
    </row>
    <row r="304" spans="1:11" ht="24.75" customHeight="1">
      <c r="A304" s="208">
        <v>42646</v>
      </c>
      <c r="B304" s="209" t="s">
        <v>519</v>
      </c>
      <c r="C304" s="226">
        <v>300009016017</v>
      </c>
      <c r="D304" s="272" t="s">
        <v>498</v>
      </c>
      <c r="E304" s="209">
        <v>0</v>
      </c>
      <c r="F304" s="209">
        <v>0</v>
      </c>
      <c r="G304" s="209">
        <v>0</v>
      </c>
      <c r="H304" s="209">
        <v>0</v>
      </c>
      <c r="I304" s="209">
        <v>0</v>
      </c>
      <c r="J304" s="209">
        <v>0</v>
      </c>
      <c r="K304" s="209">
        <v>503.64</v>
      </c>
    </row>
    <row r="305" spans="1:11" ht="24.75" customHeight="1">
      <c r="A305" s="208">
        <v>42646</v>
      </c>
      <c r="B305" s="209" t="s">
        <v>519</v>
      </c>
      <c r="C305" s="226">
        <v>300008656423</v>
      </c>
      <c r="D305" s="272" t="s">
        <v>522</v>
      </c>
      <c r="E305" s="209">
        <v>0</v>
      </c>
      <c r="F305" s="209">
        <v>0</v>
      </c>
      <c r="G305" s="209">
        <v>0</v>
      </c>
      <c r="H305" s="209">
        <v>0</v>
      </c>
      <c r="I305" s="209">
        <v>0</v>
      </c>
      <c r="J305" s="209">
        <v>0</v>
      </c>
      <c r="K305" s="209">
        <v>74</v>
      </c>
    </row>
    <row r="306" spans="1:11" ht="24.75" customHeight="1">
      <c r="A306" s="208">
        <v>42646</v>
      </c>
      <c r="B306" s="209" t="s">
        <v>519</v>
      </c>
      <c r="C306" s="226">
        <v>300002932641</v>
      </c>
      <c r="D306" s="272" t="s">
        <v>503</v>
      </c>
      <c r="E306" s="209">
        <v>0</v>
      </c>
      <c r="F306" s="209">
        <v>0</v>
      </c>
      <c r="G306" s="209">
        <v>0</v>
      </c>
      <c r="H306" s="209">
        <v>0</v>
      </c>
      <c r="I306" s="209">
        <v>0</v>
      </c>
      <c r="J306" s="209">
        <v>0</v>
      </c>
      <c r="K306" s="209">
        <v>16</v>
      </c>
    </row>
    <row r="307" spans="1:11" ht="24.75" customHeight="1">
      <c r="A307" s="208">
        <v>42646</v>
      </c>
      <c r="B307" s="209" t="s">
        <v>519</v>
      </c>
      <c r="C307" s="226">
        <v>300009410229</v>
      </c>
      <c r="D307" s="272" t="s">
        <v>279</v>
      </c>
      <c r="E307" s="209">
        <v>0</v>
      </c>
      <c r="F307" s="209">
        <v>0</v>
      </c>
      <c r="G307" s="209">
        <v>0</v>
      </c>
      <c r="H307" s="209">
        <v>0</v>
      </c>
      <c r="I307" s="209">
        <v>0</v>
      </c>
      <c r="J307" s="209">
        <v>0</v>
      </c>
      <c r="K307" s="209">
        <v>9.6999999999999993</v>
      </c>
    </row>
    <row r="308" spans="1:11" ht="24.75" customHeight="1">
      <c r="A308" s="208">
        <v>42646</v>
      </c>
      <c r="B308" s="209" t="s">
        <v>519</v>
      </c>
      <c r="C308" s="226">
        <v>300009190335</v>
      </c>
      <c r="D308" s="272" t="s">
        <v>526</v>
      </c>
      <c r="E308" s="209">
        <v>0</v>
      </c>
      <c r="F308" s="209">
        <v>1</v>
      </c>
      <c r="G308" s="209">
        <v>0</v>
      </c>
      <c r="H308" s="209">
        <v>0</v>
      </c>
      <c r="I308" s="209">
        <v>1</v>
      </c>
      <c r="J308" s="209">
        <v>0</v>
      </c>
      <c r="K308" s="209">
        <v>2</v>
      </c>
    </row>
    <row r="309" spans="1:11" ht="24.75" customHeight="1">
      <c r="A309" s="208">
        <v>42646</v>
      </c>
      <c r="B309" s="209" t="s">
        <v>519</v>
      </c>
      <c r="C309" s="226">
        <v>300009000071</v>
      </c>
      <c r="D309" s="209" t="s">
        <v>527</v>
      </c>
      <c r="E309" s="209">
        <v>0</v>
      </c>
      <c r="F309" s="209">
        <v>1</v>
      </c>
      <c r="G309" s="209">
        <v>0</v>
      </c>
      <c r="H309" s="209">
        <v>0</v>
      </c>
      <c r="I309" s="209">
        <v>1</v>
      </c>
      <c r="J309" s="209">
        <v>0</v>
      </c>
      <c r="K309" s="209">
        <v>0</v>
      </c>
    </row>
    <row r="310" spans="1:11" ht="24.75" customHeight="1">
      <c r="A310" s="208">
        <v>42646</v>
      </c>
      <c r="B310" s="209" t="s">
        <v>519</v>
      </c>
      <c r="C310" s="226">
        <v>300009190346</v>
      </c>
      <c r="D310" s="272" t="s">
        <v>528</v>
      </c>
      <c r="E310" s="209">
        <v>0</v>
      </c>
      <c r="F310" s="209">
        <v>0</v>
      </c>
      <c r="G310" s="209">
        <v>0</v>
      </c>
      <c r="H310" s="209">
        <v>0</v>
      </c>
      <c r="I310" s="209">
        <v>0</v>
      </c>
      <c r="J310" s="209">
        <v>0</v>
      </c>
      <c r="K310" s="209">
        <v>0</v>
      </c>
    </row>
    <row r="311" spans="1:11" ht="24.75" customHeight="1">
      <c r="A311" s="208">
        <v>42646</v>
      </c>
      <c r="B311" s="209" t="s">
        <v>519</v>
      </c>
      <c r="C311" s="226">
        <v>300009211922</v>
      </c>
      <c r="D311" s="209" t="s">
        <v>523</v>
      </c>
      <c r="E311" s="209">
        <v>0</v>
      </c>
      <c r="F311" s="209">
        <v>1</v>
      </c>
      <c r="G311" s="209">
        <v>0</v>
      </c>
      <c r="H311" s="209">
        <v>0</v>
      </c>
      <c r="I311" s="209">
        <v>1</v>
      </c>
      <c r="J311" s="209">
        <v>0</v>
      </c>
      <c r="K311" s="209">
        <v>0</v>
      </c>
    </row>
    <row r="312" spans="1:11" ht="24.75" customHeight="1">
      <c r="A312" s="208">
        <v>42647</v>
      </c>
      <c r="B312" s="209" t="s">
        <v>519</v>
      </c>
      <c r="C312" s="226">
        <v>300009842225</v>
      </c>
      <c r="D312" s="272" t="s">
        <v>524</v>
      </c>
      <c r="E312" s="209">
        <v>10</v>
      </c>
      <c r="F312" s="209">
        <v>18</v>
      </c>
      <c r="G312" s="209">
        <v>10</v>
      </c>
      <c r="H312" s="209">
        <v>18</v>
      </c>
      <c r="I312" s="209">
        <v>6.59</v>
      </c>
      <c r="J312" s="209">
        <v>6.59</v>
      </c>
      <c r="K312" s="209">
        <v>27299</v>
      </c>
    </row>
    <row r="313" spans="1:11" ht="24.75" customHeight="1">
      <c r="A313" s="208">
        <v>42647</v>
      </c>
      <c r="B313" s="209" t="s">
        <v>519</v>
      </c>
      <c r="C313" s="226">
        <v>300009358277</v>
      </c>
      <c r="D313" s="272" t="s">
        <v>500</v>
      </c>
      <c r="E313" s="209">
        <v>1</v>
      </c>
      <c r="F313" s="209">
        <v>10</v>
      </c>
      <c r="G313" s="209">
        <v>0</v>
      </c>
      <c r="H313" s="209">
        <v>3</v>
      </c>
      <c r="I313" s="209">
        <v>5.07</v>
      </c>
      <c r="J313" s="209">
        <v>1.52</v>
      </c>
      <c r="K313" s="209">
        <v>19707.900000000001</v>
      </c>
    </row>
    <row r="314" spans="1:11" ht="24.75" customHeight="1">
      <c r="A314" s="208">
        <v>42647</v>
      </c>
      <c r="B314" s="209" t="s">
        <v>519</v>
      </c>
      <c r="C314" s="226">
        <v>300009207968</v>
      </c>
      <c r="D314" s="272" t="s">
        <v>525</v>
      </c>
      <c r="E314" s="209">
        <v>1</v>
      </c>
      <c r="F314" s="209">
        <v>4</v>
      </c>
      <c r="G314" s="209">
        <v>1</v>
      </c>
      <c r="H314" s="209">
        <v>3</v>
      </c>
      <c r="I314" s="209">
        <v>2.61</v>
      </c>
      <c r="J314" s="209">
        <v>1.96</v>
      </c>
      <c r="K314" s="209">
        <v>15334</v>
      </c>
    </row>
    <row r="315" spans="1:11" ht="24.75" customHeight="1">
      <c r="A315" s="208">
        <v>42647</v>
      </c>
      <c r="B315" s="209" t="s">
        <v>519</v>
      </c>
      <c r="C315" s="226">
        <v>300009185572</v>
      </c>
      <c r="D315" s="272" t="s">
        <v>237</v>
      </c>
      <c r="E315" s="209">
        <v>3</v>
      </c>
      <c r="F315" s="209">
        <v>10</v>
      </c>
      <c r="G315" s="209">
        <v>1</v>
      </c>
      <c r="H315" s="209">
        <v>1</v>
      </c>
      <c r="I315" s="209">
        <v>7.07</v>
      </c>
      <c r="J315" s="209">
        <v>0.71</v>
      </c>
      <c r="K315" s="209">
        <v>14137.5</v>
      </c>
    </row>
    <row r="316" spans="1:11" ht="24.75" customHeight="1">
      <c r="A316" s="208">
        <v>42647</v>
      </c>
      <c r="B316" s="209" t="s">
        <v>519</v>
      </c>
      <c r="C316" s="226">
        <v>300009358299</v>
      </c>
      <c r="D316" s="272" t="s">
        <v>520</v>
      </c>
      <c r="E316" s="209">
        <v>2</v>
      </c>
      <c r="F316" s="209">
        <v>3</v>
      </c>
      <c r="G316" s="209">
        <v>0</v>
      </c>
      <c r="H316" s="209">
        <v>0</v>
      </c>
      <c r="I316" s="209">
        <v>2.13</v>
      </c>
      <c r="J316" s="209">
        <v>0</v>
      </c>
      <c r="K316" s="209">
        <v>14107</v>
      </c>
    </row>
    <row r="317" spans="1:11" ht="24.75" customHeight="1">
      <c r="A317" s="208">
        <v>42647</v>
      </c>
      <c r="B317" s="209" t="s">
        <v>519</v>
      </c>
      <c r="C317" s="226">
        <v>300009358300</v>
      </c>
      <c r="D317" s="272" t="s">
        <v>521</v>
      </c>
      <c r="E317" s="209">
        <v>0</v>
      </c>
      <c r="F317" s="209">
        <v>1</v>
      </c>
      <c r="G317" s="209">
        <v>0</v>
      </c>
      <c r="H317" s="209">
        <v>0</v>
      </c>
      <c r="I317" s="209">
        <v>0.81</v>
      </c>
      <c r="J317" s="209">
        <v>0</v>
      </c>
      <c r="K317" s="209">
        <v>12383.05</v>
      </c>
    </row>
    <row r="318" spans="1:11" ht="24.75" customHeight="1">
      <c r="A318" s="208">
        <v>42647</v>
      </c>
      <c r="B318" s="209" t="s">
        <v>519</v>
      </c>
      <c r="C318" s="226">
        <v>300009232016</v>
      </c>
      <c r="D318" s="272" t="s">
        <v>499</v>
      </c>
      <c r="E318" s="209">
        <v>0</v>
      </c>
      <c r="F318" s="209">
        <v>0</v>
      </c>
      <c r="G318" s="209">
        <v>0</v>
      </c>
      <c r="H318" s="209">
        <v>0</v>
      </c>
      <c r="I318" s="209">
        <v>0</v>
      </c>
      <c r="J318" s="209">
        <v>0</v>
      </c>
      <c r="K318" s="209">
        <v>12380.29</v>
      </c>
    </row>
    <row r="319" spans="1:11" ht="24.75" customHeight="1">
      <c r="A319" s="208">
        <v>42647</v>
      </c>
      <c r="B319" s="209" t="s">
        <v>519</v>
      </c>
      <c r="C319" s="226">
        <v>300009197635</v>
      </c>
      <c r="D319" s="272" t="s">
        <v>282</v>
      </c>
      <c r="E319" s="209">
        <v>0</v>
      </c>
      <c r="F319" s="209">
        <v>1</v>
      </c>
      <c r="G319" s="209">
        <v>0</v>
      </c>
      <c r="H319" s="209">
        <v>0</v>
      </c>
      <c r="I319" s="209">
        <v>0.83</v>
      </c>
      <c r="J319" s="209">
        <v>0</v>
      </c>
      <c r="K319" s="209">
        <v>12084.18</v>
      </c>
    </row>
    <row r="320" spans="1:11" ht="24.75" customHeight="1">
      <c r="A320" s="208">
        <v>42647</v>
      </c>
      <c r="B320" s="209" t="s">
        <v>519</v>
      </c>
      <c r="C320" s="226">
        <v>300008508327</v>
      </c>
      <c r="D320" s="209" t="s">
        <v>501</v>
      </c>
      <c r="E320" s="209">
        <v>2</v>
      </c>
      <c r="F320" s="209">
        <v>3</v>
      </c>
      <c r="G320" s="209">
        <v>2</v>
      </c>
      <c r="H320" s="209">
        <v>3</v>
      </c>
      <c r="I320" s="209">
        <v>2.56</v>
      </c>
      <c r="J320" s="209">
        <v>2.56</v>
      </c>
      <c r="K320" s="209">
        <v>11724</v>
      </c>
    </row>
    <row r="321" spans="1:11" ht="24.75" customHeight="1">
      <c r="A321" s="208">
        <v>42647</v>
      </c>
      <c r="B321" s="209" t="s">
        <v>519</v>
      </c>
      <c r="C321" s="226">
        <v>300008841062</v>
      </c>
      <c r="D321" s="272" t="s">
        <v>277</v>
      </c>
      <c r="E321" s="209">
        <v>1</v>
      </c>
      <c r="F321" s="209">
        <v>1</v>
      </c>
      <c r="G321" s="209">
        <v>1</v>
      </c>
      <c r="H321" s="209">
        <v>1</v>
      </c>
      <c r="I321" s="209">
        <v>1</v>
      </c>
      <c r="J321" s="209">
        <v>1</v>
      </c>
      <c r="K321" s="209">
        <v>9682.75</v>
      </c>
    </row>
    <row r="322" spans="1:11" ht="24.75" customHeight="1">
      <c r="A322" s="208">
        <v>42647</v>
      </c>
      <c r="B322" s="209" t="s">
        <v>519</v>
      </c>
      <c r="C322" s="226">
        <v>300008993578</v>
      </c>
      <c r="D322" s="272" t="s">
        <v>497</v>
      </c>
      <c r="E322" s="209">
        <v>0</v>
      </c>
      <c r="F322" s="209">
        <v>3</v>
      </c>
      <c r="G322" s="209">
        <v>0</v>
      </c>
      <c r="H322" s="209">
        <v>3</v>
      </c>
      <c r="I322" s="209">
        <v>3</v>
      </c>
      <c r="J322" s="209">
        <v>3</v>
      </c>
      <c r="K322" s="209">
        <v>6044.5</v>
      </c>
    </row>
    <row r="323" spans="1:11" ht="24.75" customHeight="1">
      <c r="A323" s="208">
        <v>42647</v>
      </c>
      <c r="B323" s="209" t="s">
        <v>519</v>
      </c>
      <c r="C323" s="226">
        <v>300009193471</v>
      </c>
      <c r="D323" s="272" t="s">
        <v>502</v>
      </c>
      <c r="E323" s="209">
        <v>0</v>
      </c>
      <c r="F323" s="209">
        <v>0</v>
      </c>
      <c r="G323" s="209">
        <v>0</v>
      </c>
      <c r="H323" s="209">
        <v>0</v>
      </c>
      <c r="I323" s="209">
        <v>0</v>
      </c>
      <c r="J323" s="209">
        <v>0</v>
      </c>
      <c r="K323" s="209">
        <v>1970</v>
      </c>
    </row>
    <row r="324" spans="1:11" ht="24.75" customHeight="1">
      <c r="A324" s="208">
        <v>42647</v>
      </c>
      <c r="B324" s="209" t="s">
        <v>519</v>
      </c>
      <c r="C324" s="226">
        <v>300009016017</v>
      </c>
      <c r="D324" s="272" t="s">
        <v>498</v>
      </c>
      <c r="E324" s="209">
        <v>0</v>
      </c>
      <c r="F324" s="209">
        <v>0</v>
      </c>
      <c r="G324" s="209">
        <v>0</v>
      </c>
      <c r="H324" s="209">
        <v>0</v>
      </c>
      <c r="I324" s="209">
        <v>0</v>
      </c>
      <c r="J324" s="209">
        <v>0</v>
      </c>
      <c r="K324" s="209">
        <v>844.99</v>
      </c>
    </row>
    <row r="325" spans="1:11" ht="24.75" customHeight="1">
      <c r="A325" s="208">
        <v>42647</v>
      </c>
      <c r="B325" s="209" t="s">
        <v>519</v>
      </c>
      <c r="C325" s="226">
        <v>300008656423</v>
      </c>
      <c r="D325" s="272" t="s">
        <v>522</v>
      </c>
      <c r="E325" s="209">
        <v>0</v>
      </c>
      <c r="F325" s="209">
        <v>0</v>
      </c>
      <c r="G325" s="209">
        <v>0</v>
      </c>
      <c r="H325" s="209">
        <v>0</v>
      </c>
      <c r="I325" s="209">
        <v>0</v>
      </c>
      <c r="J325" s="209">
        <v>0</v>
      </c>
      <c r="K325" s="209">
        <v>74</v>
      </c>
    </row>
    <row r="326" spans="1:11" ht="24.75" customHeight="1">
      <c r="A326" s="208">
        <v>42647</v>
      </c>
      <c r="B326" s="209" t="s">
        <v>519</v>
      </c>
      <c r="C326" s="226">
        <v>300002932641</v>
      </c>
      <c r="D326" s="272" t="s">
        <v>503</v>
      </c>
      <c r="E326" s="209">
        <v>0</v>
      </c>
      <c r="F326" s="209">
        <v>0</v>
      </c>
      <c r="G326" s="209">
        <v>0</v>
      </c>
      <c r="H326" s="209">
        <v>0</v>
      </c>
      <c r="I326" s="209">
        <v>0</v>
      </c>
      <c r="J326" s="209">
        <v>0</v>
      </c>
      <c r="K326" s="209">
        <v>16</v>
      </c>
    </row>
    <row r="327" spans="1:11" ht="24.75" customHeight="1">
      <c r="A327" s="208">
        <v>42647</v>
      </c>
      <c r="B327" s="209" t="s">
        <v>519</v>
      </c>
      <c r="C327" s="226">
        <v>300009410229</v>
      </c>
      <c r="D327" s="272" t="s">
        <v>279</v>
      </c>
      <c r="E327" s="209">
        <v>0</v>
      </c>
      <c r="F327" s="209">
        <v>0</v>
      </c>
      <c r="G327" s="209">
        <v>0</v>
      </c>
      <c r="H327" s="209">
        <v>0</v>
      </c>
      <c r="I327" s="209">
        <v>0</v>
      </c>
      <c r="J327" s="209">
        <v>0</v>
      </c>
      <c r="K327" s="209">
        <v>14.8</v>
      </c>
    </row>
    <row r="328" spans="1:11" ht="24.75" customHeight="1">
      <c r="A328" s="208">
        <v>42647</v>
      </c>
      <c r="B328" s="209" t="s">
        <v>519</v>
      </c>
      <c r="C328" s="226">
        <v>300009190335</v>
      </c>
      <c r="D328" s="272" t="s">
        <v>526</v>
      </c>
      <c r="E328" s="209">
        <v>0</v>
      </c>
      <c r="F328" s="209">
        <v>1</v>
      </c>
      <c r="G328" s="209">
        <v>0</v>
      </c>
      <c r="H328" s="209">
        <v>0</v>
      </c>
      <c r="I328" s="209">
        <v>1</v>
      </c>
      <c r="J328" s="209">
        <v>0</v>
      </c>
      <c r="K328" s="209">
        <v>2</v>
      </c>
    </row>
    <row r="329" spans="1:11" ht="24.75" customHeight="1">
      <c r="A329" s="208">
        <v>42647</v>
      </c>
      <c r="B329" s="209" t="s">
        <v>519</v>
      </c>
      <c r="C329" s="226">
        <v>300009000071</v>
      </c>
      <c r="D329" s="209" t="s">
        <v>527</v>
      </c>
      <c r="E329" s="209">
        <v>0</v>
      </c>
      <c r="F329" s="209">
        <v>1</v>
      </c>
      <c r="G329" s="209">
        <v>0</v>
      </c>
      <c r="H329" s="209">
        <v>0</v>
      </c>
      <c r="I329" s="209">
        <v>1</v>
      </c>
      <c r="J329" s="209">
        <v>0</v>
      </c>
      <c r="K329" s="209">
        <v>0</v>
      </c>
    </row>
    <row r="330" spans="1:11" ht="24.75" customHeight="1">
      <c r="A330" s="208">
        <v>42647</v>
      </c>
      <c r="B330" s="209" t="s">
        <v>519</v>
      </c>
      <c r="C330" s="226">
        <v>300009190346</v>
      </c>
      <c r="D330" s="272" t="s">
        <v>528</v>
      </c>
      <c r="E330" s="209">
        <v>0</v>
      </c>
      <c r="F330" s="209">
        <v>0</v>
      </c>
      <c r="G330" s="209">
        <v>0</v>
      </c>
      <c r="H330" s="209">
        <v>0</v>
      </c>
      <c r="I330" s="209">
        <v>0</v>
      </c>
      <c r="J330" s="209">
        <v>0</v>
      </c>
      <c r="K330" s="209">
        <v>0</v>
      </c>
    </row>
    <row r="331" spans="1:11" ht="24.75" customHeight="1">
      <c r="A331" s="208">
        <v>42647</v>
      </c>
      <c r="B331" s="209" t="s">
        <v>519</v>
      </c>
      <c r="C331" s="226">
        <v>300009211922</v>
      </c>
      <c r="D331" s="209" t="s">
        <v>523</v>
      </c>
      <c r="E331" s="209">
        <v>1</v>
      </c>
      <c r="F331" s="209">
        <v>2</v>
      </c>
      <c r="G331" s="209">
        <v>0</v>
      </c>
      <c r="H331" s="209">
        <v>0</v>
      </c>
      <c r="I331" s="209">
        <v>2</v>
      </c>
      <c r="J331" s="209">
        <v>0</v>
      </c>
      <c r="K331" s="209">
        <v>0</v>
      </c>
    </row>
    <row r="332" spans="1:11" ht="24.75" customHeight="1">
      <c r="A332" s="208">
        <v>42648</v>
      </c>
      <c r="B332" s="209" t="s">
        <v>519</v>
      </c>
      <c r="C332" s="226">
        <v>300009842225</v>
      </c>
      <c r="D332" s="272" t="s">
        <v>524</v>
      </c>
      <c r="E332" s="209">
        <v>3</v>
      </c>
      <c r="F332" s="209">
        <v>21</v>
      </c>
      <c r="G332" s="209">
        <v>3</v>
      </c>
      <c r="H332" s="209">
        <v>21</v>
      </c>
      <c r="I332" s="209">
        <v>5.41</v>
      </c>
      <c r="J332" s="209">
        <v>5.41</v>
      </c>
      <c r="K332" s="209">
        <v>38825.1</v>
      </c>
    </row>
    <row r="333" spans="1:11" ht="24.75" customHeight="1">
      <c r="A333" s="208">
        <v>42648</v>
      </c>
      <c r="B333" s="209" t="s">
        <v>519</v>
      </c>
      <c r="C333" s="226">
        <v>300009358277</v>
      </c>
      <c r="D333" s="272" t="s">
        <v>500</v>
      </c>
      <c r="E333" s="209">
        <v>1</v>
      </c>
      <c r="F333" s="209">
        <v>11</v>
      </c>
      <c r="G333" s="209">
        <v>1</v>
      </c>
      <c r="H333" s="209">
        <v>4</v>
      </c>
      <c r="I333" s="209">
        <v>5.58</v>
      </c>
      <c r="J333" s="209">
        <v>2.0299999999999998</v>
      </c>
      <c r="K333" s="209">
        <v>19707.900000000001</v>
      </c>
    </row>
    <row r="334" spans="1:11" ht="24.75" customHeight="1">
      <c r="A334" s="208">
        <v>42648</v>
      </c>
      <c r="B334" s="209" t="s">
        <v>519</v>
      </c>
      <c r="C334" s="226">
        <v>300009358299</v>
      </c>
      <c r="D334" s="272" t="s">
        <v>520</v>
      </c>
      <c r="E334" s="209">
        <v>1</v>
      </c>
      <c r="F334" s="209">
        <v>4</v>
      </c>
      <c r="G334" s="209">
        <v>1</v>
      </c>
      <c r="H334" s="209">
        <v>1</v>
      </c>
      <c r="I334" s="209">
        <v>2.48</v>
      </c>
      <c r="J334" s="209">
        <v>0.62</v>
      </c>
      <c r="K334" s="209">
        <v>16152</v>
      </c>
    </row>
    <row r="335" spans="1:11" ht="24.75" customHeight="1">
      <c r="A335" s="208">
        <v>42648</v>
      </c>
      <c r="B335" s="209" t="s">
        <v>519</v>
      </c>
      <c r="C335" s="226">
        <v>300009207968</v>
      </c>
      <c r="D335" s="272" t="s">
        <v>525</v>
      </c>
      <c r="E335" s="209">
        <v>1</v>
      </c>
      <c r="F335" s="209">
        <v>6</v>
      </c>
      <c r="G335" s="209">
        <v>0</v>
      </c>
      <c r="H335" s="209">
        <v>4</v>
      </c>
      <c r="I335" s="209">
        <v>3.75</v>
      </c>
      <c r="J335" s="209">
        <v>2.5</v>
      </c>
      <c r="K335" s="209">
        <v>16000</v>
      </c>
    </row>
    <row r="336" spans="1:11" ht="24.75" customHeight="1">
      <c r="A336" s="208">
        <v>42648</v>
      </c>
      <c r="B336" s="209" t="s">
        <v>519</v>
      </c>
      <c r="C336" s="226">
        <v>300009197635</v>
      </c>
      <c r="D336" s="272" t="s">
        <v>282</v>
      </c>
      <c r="E336" s="209">
        <v>0</v>
      </c>
      <c r="F336" s="209">
        <v>1</v>
      </c>
      <c r="G336" s="209">
        <v>0</v>
      </c>
      <c r="H336" s="209">
        <v>0</v>
      </c>
      <c r="I336" s="209">
        <v>0.65</v>
      </c>
      <c r="J336" s="209">
        <v>0</v>
      </c>
      <c r="K336" s="209">
        <v>15267.88</v>
      </c>
    </row>
    <row r="337" spans="1:11" ht="24.75" customHeight="1">
      <c r="A337" s="208">
        <v>42648</v>
      </c>
      <c r="B337" s="209" t="s">
        <v>519</v>
      </c>
      <c r="C337" s="226">
        <v>300009185572</v>
      </c>
      <c r="D337" s="272" t="s">
        <v>237</v>
      </c>
      <c r="E337" s="209">
        <v>0</v>
      </c>
      <c r="F337" s="209">
        <v>11</v>
      </c>
      <c r="G337" s="209">
        <v>0</v>
      </c>
      <c r="H337" s="209">
        <v>1</v>
      </c>
      <c r="I337" s="209">
        <v>7.27</v>
      </c>
      <c r="J337" s="209">
        <v>0.66</v>
      </c>
      <c r="K337" s="209">
        <v>15124.8</v>
      </c>
    </row>
    <row r="338" spans="1:11" ht="24.75" customHeight="1">
      <c r="A338" s="208">
        <v>42648</v>
      </c>
      <c r="B338" s="209" t="s">
        <v>519</v>
      </c>
      <c r="C338" s="226">
        <v>300008508327</v>
      </c>
      <c r="D338" s="209" t="s">
        <v>501</v>
      </c>
      <c r="E338" s="209">
        <v>0</v>
      </c>
      <c r="F338" s="209">
        <v>3</v>
      </c>
      <c r="G338" s="209">
        <v>0</v>
      </c>
      <c r="H338" s="209">
        <v>3</v>
      </c>
      <c r="I338" s="209">
        <v>1.99</v>
      </c>
      <c r="J338" s="209">
        <v>1.99</v>
      </c>
      <c r="K338" s="209">
        <v>15048</v>
      </c>
    </row>
    <row r="339" spans="1:11" ht="24.75" customHeight="1">
      <c r="A339" s="208">
        <v>42648</v>
      </c>
      <c r="B339" s="209" t="s">
        <v>519</v>
      </c>
      <c r="C339" s="226">
        <v>300009232016</v>
      </c>
      <c r="D339" s="272" t="s">
        <v>499</v>
      </c>
      <c r="E339" s="209">
        <v>0</v>
      </c>
      <c r="F339" s="209">
        <v>1</v>
      </c>
      <c r="G339" s="209">
        <v>0</v>
      </c>
      <c r="H339" s="209">
        <v>1</v>
      </c>
      <c r="I339" s="209">
        <v>0.67</v>
      </c>
      <c r="J339" s="209">
        <v>0.67</v>
      </c>
      <c r="K339" s="209">
        <v>15026.32</v>
      </c>
    </row>
    <row r="340" spans="1:11" ht="24.75" customHeight="1">
      <c r="A340" s="208">
        <v>42648</v>
      </c>
      <c r="B340" s="209" t="s">
        <v>519</v>
      </c>
      <c r="C340" s="226">
        <v>300009358300</v>
      </c>
      <c r="D340" s="272" t="s">
        <v>521</v>
      </c>
      <c r="E340" s="209">
        <v>0</v>
      </c>
      <c r="F340" s="209">
        <v>1</v>
      </c>
      <c r="G340" s="209">
        <v>0</v>
      </c>
      <c r="H340" s="209">
        <v>0</v>
      </c>
      <c r="I340" s="209">
        <v>0.69</v>
      </c>
      <c r="J340" s="209">
        <v>0</v>
      </c>
      <c r="K340" s="209">
        <v>14573.05</v>
      </c>
    </row>
    <row r="341" spans="1:11" ht="24.75" customHeight="1">
      <c r="A341" s="208">
        <v>42648</v>
      </c>
      <c r="B341" s="209" t="s">
        <v>519</v>
      </c>
      <c r="C341" s="226">
        <v>300008841062</v>
      </c>
      <c r="D341" s="272" t="s">
        <v>277</v>
      </c>
      <c r="E341" s="209">
        <v>1</v>
      </c>
      <c r="F341" s="209">
        <v>2</v>
      </c>
      <c r="G341" s="209">
        <v>1</v>
      </c>
      <c r="H341" s="209">
        <v>2</v>
      </c>
      <c r="I341" s="209">
        <v>1.68</v>
      </c>
      <c r="J341" s="209">
        <v>1.68</v>
      </c>
      <c r="K341" s="209">
        <v>11884.54</v>
      </c>
    </row>
    <row r="342" spans="1:11" ht="24.75" customHeight="1">
      <c r="A342" s="208">
        <v>42648</v>
      </c>
      <c r="B342" s="209" t="s">
        <v>519</v>
      </c>
      <c r="C342" s="226">
        <v>300008993578</v>
      </c>
      <c r="D342" s="272" t="s">
        <v>497</v>
      </c>
      <c r="E342" s="209">
        <v>0</v>
      </c>
      <c r="F342" s="209">
        <v>3</v>
      </c>
      <c r="G342" s="209">
        <v>0</v>
      </c>
      <c r="H342" s="209">
        <v>3</v>
      </c>
      <c r="I342" s="209">
        <v>3</v>
      </c>
      <c r="J342" s="209">
        <v>3</v>
      </c>
      <c r="K342" s="209">
        <v>7301.47</v>
      </c>
    </row>
    <row r="343" spans="1:11" ht="24.75" customHeight="1">
      <c r="A343" s="208">
        <v>42648</v>
      </c>
      <c r="B343" s="209" t="s">
        <v>519</v>
      </c>
      <c r="C343" s="226">
        <v>300009193471</v>
      </c>
      <c r="D343" s="272" t="s">
        <v>502</v>
      </c>
      <c r="E343" s="209">
        <v>0</v>
      </c>
      <c r="F343" s="209">
        <v>0</v>
      </c>
      <c r="G343" s="209">
        <v>0</v>
      </c>
      <c r="H343" s="209">
        <v>0</v>
      </c>
      <c r="I343" s="209">
        <v>0</v>
      </c>
      <c r="J343" s="209">
        <v>0</v>
      </c>
      <c r="K343" s="209">
        <v>3660</v>
      </c>
    </row>
    <row r="344" spans="1:11" ht="24.75" customHeight="1">
      <c r="A344" s="208">
        <v>42648</v>
      </c>
      <c r="B344" s="209" t="s">
        <v>519</v>
      </c>
      <c r="C344" s="226">
        <v>300009016017</v>
      </c>
      <c r="D344" s="272" t="s">
        <v>498</v>
      </c>
      <c r="E344" s="209">
        <v>0</v>
      </c>
      <c r="F344" s="209">
        <v>0</v>
      </c>
      <c r="G344" s="209">
        <v>0</v>
      </c>
      <c r="H344" s="209">
        <v>0</v>
      </c>
      <c r="I344" s="209">
        <v>0</v>
      </c>
      <c r="J344" s="209">
        <v>0</v>
      </c>
      <c r="K344" s="209">
        <v>1071.3499999999999</v>
      </c>
    </row>
    <row r="345" spans="1:11" ht="24.75" customHeight="1">
      <c r="A345" s="208">
        <v>42648</v>
      </c>
      <c r="B345" s="209" t="s">
        <v>519</v>
      </c>
      <c r="C345" s="226">
        <v>300009410229</v>
      </c>
      <c r="D345" s="272" t="s">
        <v>279</v>
      </c>
      <c r="E345" s="209">
        <v>0</v>
      </c>
      <c r="F345" s="209">
        <v>0</v>
      </c>
      <c r="G345" s="209">
        <v>0</v>
      </c>
      <c r="H345" s="209">
        <v>0</v>
      </c>
      <c r="I345" s="209">
        <v>0</v>
      </c>
      <c r="J345" s="209">
        <v>0</v>
      </c>
      <c r="K345" s="209">
        <v>622</v>
      </c>
    </row>
    <row r="346" spans="1:11" ht="24.75" customHeight="1">
      <c r="A346" s="208">
        <v>42648</v>
      </c>
      <c r="B346" s="209" t="s">
        <v>519</v>
      </c>
      <c r="C346" s="226">
        <v>300008656423</v>
      </c>
      <c r="D346" s="272" t="s">
        <v>522</v>
      </c>
      <c r="E346" s="209">
        <v>0</v>
      </c>
      <c r="F346" s="209">
        <v>0</v>
      </c>
      <c r="G346" s="209">
        <v>0</v>
      </c>
      <c r="H346" s="209">
        <v>0</v>
      </c>
      <c r="I346" s="209">
        <v>0</v>
      </c>
      <c r="J346" s="209">
        <v>0</v>
      </c>
      <c r="K346" s="209">
        <v>74</v>
      </c>
    </row>
    <row r="347" spans="1:11" ht="24.75" customHeight="1">
      <c r="A347" s="208">
        <v>42648</v>
      </c>
      <c r="B347" s="209" t="s">
        <v>519</v>
      </c>
      <c r="C347" s="226">
        <v>300002932641</v>
      </c>
      <c r="D347" s="272" t="s">
        <v>503</v>
      </c>
      <c r="E347" s="209">
        <v>0</v>
      </c>
      <c r="F347" s="209">
        <v>0</v>
      </c>
      <c r="G347" s="209">
        <v>0</v>
      </c>
      <c r="H347" s="209">
        <v>0</v>
      </c>
      <c r="I347" s="209">
        <v>0</v>
      </c>
      <c r="J347" s="209">
        <v>0</v>
      </c>
      <c r="K347" s="209">
        <v>16</v>
      </c>
    </row>
    <row r="348" spans="1:11" ht="24.75" customHeight="1">
      <c r="A348" s="208">
        <v>42648</v>
      </c>
      <c r="B348" s="209" t="s">
        <v>519</v>
      </c>
      <c r="C348" s="226">
        <v>300009190335</v>
      </c>
      <c r="D348" s="272" t="s">
        <v>526</v>
      </c>
      <c r="E348" s="209">
        <v>1</v>
      </c>
      <c r="F348" s="209">
        <v>3</v>
      </c>
      <c r="G348" s="209">
        <v>0</v>
      </c>
      <c r="H348" s="209">
        <v>1</v>
      </c>
      <c r="I348" s="209">
        <v>3</v>
      </c>
      <c r="J348" s="209">
        <v>1</v>
      </c>
      <c r="K348" s="209">
        <v>2</v>
      </c>
    </row>
    <row r="349" spans="1:11" ht="24.75" customHeight="1">
      <c r="A349" s="208">
        <v>42648</v>
      </c>
      <c r="B349" s="209" t="s">
        <v>519</v>
      </c>
      <c r="C349" s="226">
        <v>300009000071</v>
      </c>
      <c r="D349" s="209" t="s">
        <v>527</v>
      </c>
      <c r="E349" s="209">
        <v>0</v>
      </c>
      <c r="F349" s="209">
        <v>1</v>
      </c>
      <c r="G349" s="209">
        <v>0</v>
      </c>
      <c r="H349" s="209">
        <v>0</v>
      </c>
      <c r="I349" s="209">
        <v>1</v>
      </c>
      <c r="J349" s="209">
        <v>0</v>
      </c>
      <c r="K349" s="209">
        <v>0</v>
      </c>
    </row>
    <row r="350" spans="1:11" ht="24.75" customHeight="1">
      <c r="A350" s="208">
        <v>42648</v>
      </c>
      <c r="B350" s="209" t="s">
        <v>519</v>
      </c>
      <c r="C350" s="226">
        <v>300009190346</v>
      </c>
      <c r="D350" s="272" t="s">
        <v>528</v>
      </c>
      <c r="E350" s="209">
        <v>0</v>
      </c>
      <c r="F350" s="209">
        <v>1</v>
      </c>
      <c r="G350" s="209">
        <v>0</v>
      </c>
      <c r="H350" s="209">
        <v>0</v>
      </c>
      <c r="I350" s="209">
        <v>1</v>
      </c>
      <c r="J350" s="209">
        <v>0</v>
      </c>
      <c r="K350" s="209">
        <v>0</v>
      </c>
    </row>
    <row r="351" spans="1:11" ht="24.75" customHeight="1">
      <c r="A351" s="208">
        <v>42648</v>
      </c>
      <c r="B351" s="209" t="s">
        <v>519</v>
      </c>
      <c r="C351" s="226">
        <v>300009211922</v>
      </c>
      <c r="D351" s="209" t="s">
        <v>523</v>
      </c>
      <c r="E351" s="209">
        <v>0</v>
      </c>
      <c r="F351" s="209">
        <v>2</v>
      </c>
      <c r="G351" s="209">
        <v>0</v>
      </c>
      <c r="H351" s="209">
        <v>0</v>
      </c>
      <c r="I351" s="209">
        <v>2</v>
      </c>
      <c r="J351" s="209">
        <v>0</v>
      </c>
      <c r="K351" s="209">
        <v>0</v>
      </c>
    </row>
    <row r="352" spans="1:11" ht="24.75" customHeight="1">
      <c r="A352" s="208">
        <v>42649</v>
      </c>
      <c r="B352" s="209" t="s">
        <v>519</v>
      </c>
      <c r="C352" s="226">
        <v>300009842225</v>
      </c>
      <c r="D352" s="272" t="s">
        <v>524</v>
      </c>
      <c r="E352" s="209">
        <v>1</v>
      </c>
      <c r="F352" s="209">
        <v>23</v>
      </c>
      <c r="G352" s="209">
        <v>1</v>
      </c>
      <c r="H352" s="209">
        <v>23</v>
      </c>
      <c r="I352" s="209">
        <v>4.5</v>
      </c>
      <c r="J352" s="209">
        <v>4.5</v>
      </c>
      <c r="K352" s="209">
        <v>51157.7</v>
      </c>
    </row>
    <row r="353" spans="1:11" ht="24.75" customHeight="1">
      <c r="A353" s="208">
        <v>42649</v>
      </c>
      <c r="B353" s="209" t="s">
        <v>519</v>
      </c>
      <c r="C353" s="226">
        <v>300009358277</v>
      </c>
      <c r="D353" s="272" t="s">
        <v>500</v>
      </c>
      <c r="E353" s="209">
        <v>0</v>
      </c>
      <c r="F353" s="209">
        <v>12</v>
      </c>
      <c r="G353" s="209">
        <v>0</v>
      </c>
      <c r="H353" s="209">
        <v>4</v>
      </c>
      <c r="I353" s="209">
        <v>6.09</v>
      </c>
      <c r="J353" s="209">
        <v>2.0299999999999998</v>
      </c>
      <c r="K353" s="209">
        <v>19707.900000000001</v>
      </c>
    </row>
    <row r="354" spans="1:11" ht="24.75" customHeight="1">
      <c r="A354" s="208">
        <v>42649</v>
      </c>
      <c r="B354" s="209" t="s">
        <v>519</v>
      </c>
      <c r="C354" s="226">
        <v>300009358299</v>
      </c>
      <c r="D354" s="272" t="s">
        <v>520</v>
      </c>
      <c r="E354" s="209">
        <v>0</v>
      </c>
      <c r="F354" s="209">
        <v>4</v>
      </c>
      <c r="G354" s="209">
        <v>0</v>
      </c>
      <c r="H354" s="209">
        <v>2</v>
      </c>
      <c r="I354" s="209">
        <v>2.1</v>
      </c>
      <c r="J354" s="209">
        <v>1.05</v>
      </c>
      <c r="K354" s="209">
        <v>19093.04</v>
      </c>
    </row>
    <row r="355" spans="1:11" ht="24.75" customHeight="1">
      <c r="A355" s="208">
        <v>42649</v>
      </c>
      <c r="B355" s="209" t="s">
        <v>519</v>
      </c>
      <c r="C355" s="226">
        <v>300009197635</v>
      </c>
      <c r="D355" s="272" t="s">
        <v>282</v>
      </c>
      <c r="E355" s="209">
        <v>1</v>
      </c>
      <c r="F355" s="209">
        <v>2</v>
      </c>
      <c r="G355" s="209">
        <v>0</v>
      </c>
      <c r="H355" s="209">
        <v>1</v>
      </c>
      <c r="I355" s="209">
        <v>1.0900000000000001</v>
      </c>
      <c r="J355" s="209">
        <v>0.54</v>
      </c>
      <c r="K355" s="209">
        <v>18353.91</v>
      </c>
    </row>
    <row r="356" spans="1:11" ht="24.75" customHeight="1">
      <c r="A356" s="208">
        <v>42649</v>
      </c>
      <c r="B356" s="209" t="s">
        <v>519</v>
      </c>
      <c r="C356" s="226">
        <v>300008508327</v>
      </c>
      <c r="D356" s="209" t="s">
        <v>501</v>
      </c>
      <c r="E356" s="209">
        <v>0</v>
      </c>
      <c r="F356" s="209">
        <v>4</v>
      </c>
      <c r="G356" s="209">
        <v>0</v>
      </c>
      <c r="H356" s="209">
        <v>4</v>
      </c>
      <c r="I356" s="209">
        <v>2.2000000000000002</v>
      </c>
      <c r="J356" s="209">
        <v>2.2000000000000002</v>
      </c>
      <c r="K356" s="209">
        <v>18178</v>
      </c>
    </row>
    <row r="357" spans="1:11" ht="24.75" customHeight="1">
      <c r="A357" s="208">
        <v>42649</v>
      </c>
      <c r="B357" s="209" t="s">
        <v>519</v>
      </c>
      <c r="C357" s="226">
        <v>300009232016</v>
      </c>
      <c r="D357" s="272" t="s">
        <v>499</v>
      </c>
      <c r="E357" s="209">
        <v>0</v>
      </c>
      <c r="F357" s="209">
        <v>1</v>
      </c>
      <c r="G357" s="209">
        <v>0</v>
      </c>
      <c r="H357" s="209">
        <v>1</v>
      </c>
      <c r="I357" s="209">
        <v>0.56000000000000005</v>
      </c>
      <c r="J357" s="209">
        <v>0.56000000000000005</v>
      </c>
      <c r="K357" s="209">
        <v>17762.3</v>
      </c>
    </row>
    <row r="358" spans="1:11" ht="24.75" customHeight="1">
      <c r="A358" s="208">
        <v>42649</v>
      </c>
      <c r="B358" s="209" t="s">
        <v>519</v>
      </c>
      <c r="C358" s="226">
        <v>300009358300</v>
      </c>
      <c r="D358" s="272" t="s">
        <v>521</v>
      </c>
      <c r="E358" s="209">
        <v>0</v>
      </c>
      <c r="F358" s="209">
        <v>1</v>
      </c>
      <c r="G358" s="209">
        <v>0</v>
      </c>
      <c r="H358" s="209">
        <v>0</v>
      </c>
      <c r="I358" s="209">
        <v>0.6</v>
      </c>
      <c r="J358" s="209">
        <v>0</v>
      </c>
      <c r="K358" s="209">
        <v>16759.11</v>
      </c>
    </row>
    <row r="359" spans="1:11" ht="24.75" customHeight="1">
      <c r="A359" s="208">
        <v>42649</v>
      </c>
      <c r="B359" s="209" t="s">
        <v>519</v>
      </c>
      <c r="C359" s="226">
        <v>300009207968</v>
      </c>
      <c r="D359" s="272" t="s">
        <v>525</v>
      </c>
      <c r="E359" s="209">
        <v>0</v>
      </c>
      <c r="F359" s="209">
        <v>6</v>
      </c>
      <c r="G359" s="209">
        <v>0</v>
      </c>
      <c r="H359" s="209">
        <v>4</v>
      </c>
      <c r="I359" s="209">
        <v>3.59</v>
      </c>
      <c r="J359" s="209">
        <v>2.39</v>
      </c>
      <c r="K359" s="209">
        <v>16736</v>
      </c>
    </row>
    <row r="360" spans="1:11" ht="24.75" customHeight="1">
      <c r="A360" s="208">
        <v>42649</v>
      </c>
      <c r="B360" s="209" t="s">
        <v>519</v>
      </c>
      <c r="C360" s="226">
        <v>300009185572</v>
      </c>
      <c r="D360" s="272" t="s">
        <v>237</v>
      </c>
      <c r="E360" s="209">
        <v>0</v>
      </c>
      <c r="F360" s="209">
        <v>11</v>
      </c>
      <c r="G360" s="209">
        <v>0</v>
      </c>
      <c r="H360" s="209">
        <v>1</v>
      </c>
      <c r="I360" s="209">
        <v>6.7</v>
      </c>
      <c r="J360" s="209">
        <v>0.61</v>
      </c>
      <c r="K360" s="209">
        <v>16421.3</v>
      </c>
    </row>
    <row r="361" spans="1:11" ht="24.75" customHeight="1">
      <c r="A361" s="208">
        <v>42649</v>
      </c>
      <c r="B361" s="209" t="s">
        <v>519</v>
      </c>
      <c r="C361" s="226">
        <v>300008841062</v>
      </c>
      <c r="D361" s="272" t="s">
        <v>277</v>
      </c>
      <c r="E361" s="209">
        <v>1</v>
      </c>
      <c r="F361" s="209">
        <v>4</v>
      </c>
      <c r="G361" s="209">
        <v>1</v>
      </c>
      <c r="H361" s="209">
        <v>3</v>
      </c>
      <c r="I361" s="209">
        <v>2.75</v>
      </c>
      <c r="J361" s="209">
        <v>2.06</v>
      </c>
      <c r="K361" s="209">
        <v>14539.13</v>
      </c>
    </row>
    <row r="362" spans="1:11" ht="24.75" customHeight="1">
      <c r="A362" s="208">
        <v>42649</v>
      </c>
      <c r="B362" s="209" t="s">
        <v>519</v>
      </c>
      <c r="C362" s="226">
        <v>300008993578</v>
      </c>
      <c r="D362" s="272" t="s">
        <v>497</v>
      </c>
      <c r="E362" s="209">
        <v>1</v>
      </c>
      <c r="F362" s="209">
        <v>4</v>
      </c>
      <c r="G362" s="209">
        <v>1</v>
      </c>
      <c r="H362" s="209">
        <v>4</v>
      </c>
      <c r="I362" s="209">
        <v>4</v>
      </c>
      <c r="J362" s="209">
        <v>4</v>
      </c>
      <c r="K362" s="209">
        <v>8561.23</v>
      </c>
    </row>
    <row r="363" spans="1:11" ht="24.75" customHeight="1">
      <c r="A363" s="208">
        <v>42649</v>
      </c>
      <c r="B363" s="209" t="s">
        <v>519</v>
      </c>
      <c r="C363" s="226">
        <v>300009193471</v>
      </c>
      <c r="D363" s="272" t="s">
        <v>502</v>
      </c>
      <c r="E363" s="209">
        <v>0</v>
      </c>
      <c r="F363" s="209">
        <v>0</v>
      </c>
      <c r="G363" s="209">
        <v>0</v>
      </c>
      <c r="H363" s="209">
        <v>0</v>
      </c>
      <c r="I363" s="209">
        <v>0</v>
      </c>
      <c r="J363" s="209">
        <v>0</v>
      </c>
      <c r="K363" s="209">
        <v>5490</v>
      </c>
    </row>
    <row r="364" spans="1:11" ht="24.75" customHeight="1">
      <c r="A364" s="208">
        <v>42649</v>
      </c>
      <c r="B364" s="209" t="s">
        <v>519</v>
      </c>
      <c r="C364" s="226">
        <v>300009016017</v>
      </c>
      <c r="D364" s="272" t="s">
        <v>498</v>
      </c>
      <c r="E364" s="209">
        <v>0</v>
      </c>
      <c r="F364" s="209">
        <v>0</v>
      </c>
      <c r="G364" s="209">
        <v>0</v>
      </c>
      <c r="H364" s="209">
        <v>0</v>
      </c>
      <c r="I364" s="209">
        <v>0</v>
      </c>
      <c r="J364" s="209">
        <v>0</v>
      </c>
      <c r="K364" s="209">
        <v>1246.6500000000001</v>
      </c>
    </row>
    <row r="365" spans="1:11" ht="24.75" customHeight="1">
      <c r="A365" s="208">
        <v>42649</v>
      </c>
      <c r="B365" s="209" t="s">
        <v>519</v>
      </c>
      <c r="C365" s="226">
        <v>300009410229</v>
      </c>
      <c r="D365" s="272" t="s">
        <v>279</v>
      </c>
      <c r="E365" s="209">
        <v>0</v>
      </c>
      <c r="F365" s="209">
        <v>0</v>
      </c>
      <c r="G365" s="209">
        <v>0</v>
      </c>
      <c r="H365" s="209">
        <v>0</v>
      </c>
      <c r="I365" s="209">
        <v>0</v>
      </c>
      <c r="J365" s="209">
        <v>0</v>
      </c>
      <c r="K365" s="209">
        <v>1051</v>
      </c>
    </row>
    <row r="366" spans="1:11" ht="24.75" customHeight="1">
      <c r="A366" s="208">
        <v>42649</v>
      </c>
      <c r="B366" s="209" t="s">
        <v>519</v>
      </c>
      <c r="C366" s="226">
        <v>300008656423</v>
      </c>
      <c r="D366" s="272" t="s">
        <v>522</v>
      </c>
      <c r="E366" s="209">
        <v>0</v>
      </c>
      <c r="F366" s="209">
        <v>0</v>
      </c>
      <c r="G366" s="209">
        <v>0</v>
      </c>
      <c r="H366" s="209">
        <v>0</v>
      </c>
      <c r="I366" s="209">
        <v>0</v>
      </c>
      <c r="J366" s="209">
        <v>0</v>
      </c>
      <c r="K366" s="209">
        <v>74</v>
      </c>
    </row>
    <row r="367" spans="1:11" ht="24.75" customHeight="1">
      <c r="A367" s="208">
        <v>42649</v>
      </c>
      <c r="B367" s="209" t="s">
        <v>519</v>
      </c>
      <c r="C367" s="226">
        <v>300002932641</v>
      </c>
      <c r="D367" s="272" t="s">
        <v>503</v>
      </c>
      <c r="E367" s="209">
        <v>0</v>
      </c>
      <c r="F367" s="209">
        <v>0</v>
      </c>
      <c r="G367" s="209">
        <v>0</v>
      </c>
      <c r="H367" s="209">
        <v>0</v>
      </c>
      <c r="I367" s="209">
        <v>0</v>
      </c>
      <c r="J367" s="209">
        <v>0</v>
      </c>
      <c r="K367" s="209">
        <v>16</v>
      </c>
    </row>
    <row r="368" spans="1:11" ht="24.75" customHeight="1">
      <c r="A368" s="208">
        <v>42649</v>
      </c>
      <c r="B368" s="209" t="s">
        <v>519</v>
      </c>
      <c r="C368" s="226">
        <v>300009190335</v>
      </c>
      <c r="D368" s="272" t="s">
        <v>526</v>
      </c>
      <c r="E368" s="209">
        <v>0</v>
      </c>
      <c r="F368" s="209">
        <v>3</v>
      </c>
      <c r="G368" s="209">
        <v>0</v>
      </c>
      <c r="H368" s="209">
        <v>1</v>
      </c>
      <c r="I368" s="209">
        <v>3</v>
      </c>
      <c r="J368" s="209">
        <v>1</v>
      </c>
      <c r="K368" s="209">
        <v>2</v>
      </c>
    </row>
    <row r="369" spans="1:11" ht="24.75" customHeight="1">
      <c r="A369" s="208">
        <v>42649</v>
      </c>
      <c r="B369" s="209" t="s">
        <v>519</v>
      </c>
      <c r="C369" s="226">
        <v>300009000071</v>
      </c>
      <c r="D369" s="209" t="s">
        <v>527</v>
      </c>
      <c r="E369" s="209">
        <v>0</v>
      </c>
      <c r="F369" s="209">
        <v>1</v>
      </c>
      <c r="G369" s="209">
        <v>0</v>
      </c>
      <c r="H369" s="209">
        <v>0</v>
      </c>
      <c r="I369" s="209">
        <v>1</v>
      </c>
      <c r="J369" s="209">
        <v>0</v>
      </c>
      <c r="K369" s="209">
        <v>0</v>
      </c>
    </row>
    <row r="370" spans="1:11" ht="24.75" customHeight="1">
      <c r="A370" s="208">
        <v>42649</v>
      </c>
      <c r="B370" s="209" t="s">
        <v>519</v>
      </c>
      <c r="C370" s="226">
        <v>300009190346</v>
      </c>
      <c r="D370" s="272" t="s">
        <v>528</v>
      </c>
      <c r="E370" s="209">
        <v>0</v>
      </c>
      <c r="F370" s="209">
        <v>1</v>
      </c>
      <c r="G370" s="209">
        <v>0</v>
      </c>
      <c r="H370" s="209">
        <v>0</v>
      </c>
      <c r="I370" s="209">
        <v>1</v>
      </c>
      <c r="J370" s="209">
        <v>0</v>
      </c>
      <c r="K370" s="209">
        <v>0</v>
      </c>
    </row>
    <row r="371" spans="1:11" ht="24.75" customHeight="1">
      <c r="A371" s="208">
        <v>42649</v>
      </c>
      <c r="B371" s="209" t="s">
        <v>519</v>
      </c>
      <c r="C371" s="226">
        <v>300009211922</v>
      </c>
      <c r="D371" s="209" t="s">
        <v>523</v>
      </c>
      <c r="E371" s="209">
        <v>0</v>
      </c>
      <c r="F371" s="209">
        <v>2</v>
      </c>
      <c r="G371" s="209">
        <v>0</v>
      </c>
      <c r="H371" s="209">
        <v>0</v>
      </c>
      <c r="I371" s="209">
        <v>2</v>
      </c>
      <c r="J371" s="209">
        <v>0</v>
      </c>
      <c r="K371" s="209">
        <v>0</v>
      </c>
    </row>
    <row r="372" spans="1:11" ht="24.75" customHeight="1">
      <c r="A372" s="208">
        <v>42650</v>
      </c>
      <c r="B372" s="209" t="s">
        <v>519</v>
      </c>
      <c r="C372" s="226">
        <v>300009842225</v>
      </c>
      <c r="D372" s="272" t="s">
        <v>524</v>
      </c>
      <c r="E372" s="209">
        <v>4</v>
      </c>
      <c r="F372" s="209">
        <v>27</v>
      </c>
      <c r="G372" s="209">
        <v>4</v>
      </c>
      <c r="H372" s="209">
        <v>27</v>
      </c>
      <c r="I372" s="209">
        <v>4.32</v>
      </c>
      <c r="J372" s="209">
        <v>4.32</v>
      </c>
      <c r="K372" s="209">
        <v>62434</v>
      </c>
    </row>
    <row r="373" spans="1:11" ht="24.75" customHeight="1">
      <c r="A373" s="208">
        <v>42650</v>
      </c>
      <c r="B373" s="209" t="s">
        <v>519</v>
      </c>
      <c r="C373" s="226">
        <v>300009197635</v>
      </c>
      <c r="D373" s="272" t="s">
        <v>282</v>
      </c>
      <c r="E373" s="209">
        <v>1</v>
      </c>
      <c r="F373" s="209">
        <v>4</v>
      </c>
      <c r="G373" s="209">
        <v>0</v>
      </c>
      <c r="H373" s="209">
        <v>1</v>
      </c>
      <c r="I373" s="209">
        <v>1.86</v>
      </c>
      <c r="J373" s="209">
        <v>0.47</v>
      </c>
      <c r="K373" s="209">
        <v>21478.69</v>
      </c>
    </row>
    <row r="374" spans="1:11" ht="24.75" customHeight="1">
      <c r="A374" s="208">
        <v>42650</v>
      </c>
      <c r="B374" s="209" t="s">
        <v>519</v>
      </c>
      <c r="C374" s="226">
        <v>300009358299</v>
      </c>
      <c r="D374" s="272" t="s">
        <v>520</v>
      </c>
      <c r="E374" s="209">
        <v>0</v>
      </c>
      <c r="F374" s="209">
        <v>4</v>
      </c>
      <c r="G374" s="209">
        <v>0</v>
      </c>
      <c r="H374" s="209">
        <v>2</v>
      </c>
      <c r="I374" s="209">
        <v>1.89</v>
      </c>
      <c r="J374" s="209">
        <v>0.94</v>
      </c>
      <c r="K374" s="209">
        <v>21166.13</v>
      </c>
    </row>
    <row r="375" spans="1:11" ht="24.75" customHeight="1">
      <c r="A375" s="208">
        <v>42650</v>
      </c>
      <c r="B375" s="209" t="s">
        <v>519</v>
      </c>
      <c r="C375" s="226">
        <v>300009232016</v>
      </c>
      <c r="D375" s="272" t="s">
        <v>499</v>
      </c>
      <c r="E375" s="209">
        <v>1</v>
      </c>
      <c r="F375" s="209">
        <v>2</v>
      </c>
      <c r="G375" s="209">
        <v>1</v>
      </c>
      <c r="H375" s="209">
        <v>2</v>
      </c>
      <c r="I375" s="209">
        <v>0.99</v>
      </c>
      <c r="J375" s="209">
        <v>0.99</v>
      </c>
      <c r="K375" s="209">
        <v>20283.29</v>
      </c>
    </row>
    <row r="376" spans="1:11" ht="24.75" customHeight="1">
      <c r="A376" s="208">
        <v>42650</v>
      </c>
      <c r="B376" s="209" t="s">
        <v>519</v>
      </c>
      <c r="C376" s="226">
        <v>300008508327</v>
      </c>
      <c r="D376" s="209" t="s">
        <v>501</v>
      </c>
      <c r="E376" s="209">
        <v>0</v>
      </c>
      <c r="F376" s="209">
        <v>4</v>
      </c>
      <c r="G376" s="209">
        <v>0</v>
      </c>
      <c r="H376" s="209">
        <v>4</v>
      </c>
      <c r="I376" s="209">
        <v>2</v>
      </c>
      <c r="J376" s="209">
        <v>2</v>
      </c>
      <c r="K376" s="209">
        <v>20012</v>
      </c>
    </row>
    <row r="377" spans="1:11" ht="24.75" customHeight="1">
      <c r="A377" s="208">
        <v>42650</v>
      </c>
      <c r="B377" s="209" t="s">
        <v>519</v>
      </c>
      <c r="C377" s="226">
        <v>300009358277</v>
      </c>
      <c r="D377" s="272" t="s">
        <v>500</v>
      </c>
      <c r="E377" s="209">
        <v>0</v>
      </c>
      <c r="F377" s="209">
        <v>13</v>
      </c>
      <c r="G377" s="209">
        <v>0</v>
      </c>
      <c r="H377" s="209">
        <v>4</v>
      </c>
      <c r="I377" s="209">
        <v>6.6</v>
      </c>
      <c r="J377" s="209">
        <v>2.0299999999999998</v>
      </c>
      <c r="K377" s="209">
        <v>19707.900000000001</v>
      </c>
    </row>
    <row r="378" spans="1:11" ht="24.75" customHeight="1">
      <c r="A378" s="208">
        <v>42650</v>
      </c>
      <c r="B378" s="209" t="s">
        <v>519</v>
      </c>
      <c r="C378" s="226">
        <v>300009358300</v>
      </c>
      <c r="D378" s="272" t="s">
        <v>521</v>
      </c>
      <c r="E378" s="209">
        <v>1</v>
      </c>
      <c r="F378" s="209">
        <v>3</v>
      </c>
      <c r="G378" s="209">
        <v>0</v>
      </c>
      <c r="H378" s="209">
        <v>0</v>
      </c>
      <c r="I378" s="209">
        <v>1.57</v>
      </c>
      <c r="J378" s="209">
        <v>0</v>
      </c>
      <c r="K378" s="209">
        <v>19066.11</v>
      </c>
    </row>
    <row r="379" spans="1:11" ht="24.75" customHeight="1">
      <c r="A379" s="208">
        <v>42650</v>
      </c>
      <c r="B379" s="209" t="s">
        <v>519</v>
      </c>
      <c r="C379" s="226">
        <v>300009207968</v>
      </c>
      <c r="D379" s="272" t="s">
        <v>525</v>
      </c>
      <c r="E379" s="209">
        <v>2</v>
      </c>
      <c r="F379" s="209">
        <v>8</v>
      </c>
      <c r="G379" s="209">
        <v>0</v>
      </c>
      <c r="H379" s="209">
        <v>4</v>
      </c>
      <c r="I379" s="209">
        <v>4.54</v>
      </c>
      <c r="J379" s="209">
        <v>2.27</v>
      </c>
      <c r="K379" s="209">
        <v>17634</v>
      </c>
    </row>
    <row r="380" spans="1:11" ht="24.75" customHeight="1">
      <c r="A380" s="208">
        <v>42650</v>
      </c>
      <c r="B380" s="209" t="s">
        <v>519</v>
      </c>
      <c r="C380" s="226">
        <v>300009185572</v>
      </c>
      <c r="D380" s="272" t="s">
        <v>237</v>
      </c>
      <c r="E380" s="209">
        <v>0</v>
      </c>
      <c r="F380" s="209">
        <v>12</v>
      </c>
      <c r="G380" s="209">
        <v>0</v>
      </c>
      <c r="H380" s="209">
        <v>1</v>
      </c>
      <c r="I380" s="209">
        <v>6.96</v>
      </c>
      <c r="J380" s="209">
        <v>0.57999999999999996</v>
      </c>
      <c r="K380" s="209">
        <v>17244.599999999999</v>
      </c>
    </row>
    <row r="381" spans="1:11" ht="24.75" customHeight="1">
      <c r="A381" s="208">
        <v>42650</v>
      </c>
      <c r="B381" s="209" t="s">
        <v>519</v>
      </c>
      <c r="C381" s="226">
        <v>300008841062</v>
      </c>
      <c r="D381" s="272" t="s">
        <v>277</v>
      </c>
      <c r="E381" s="209">
        <v>1</v>
      </c>
      <c r="F381" s="209">
        <v>6</v>
      </c>
      <c r="G381" s="209">
        <v>0</v>
      </c>
      <c r="H381" s="209">
        <v>4</v>
      </c>
      <c r="I381" s="209">
        <v>3.54</v>
      </c>
      <c r="J381" s="209">
        <v>2.36</v>
      </c>
      <c r="K381" s="209">
        <v>16937.75</v>
      </c>
    </row>
    <row r="382" spans="1:11" ht="24.75" customHeight="1">
      <c r="A382" s="208">
        <v>42650</v>
      </c>
      <c r="B382" s="209" t="s">
        <v>519</v>
      </c>
      <c r="C382" s="226">
        <v>300008993578</v>
      </c>
      <c r="D382" s="272" t="s">
        <v>497</v>
      </c>
      <c r="E382" s="209">
        <v>0</v>
      </c>
      <c r="F382" s="209">
        <v>5</v>
      </c>
      <c r="G382" s="209">
        <v>0</v>
      </c>
      <c r="H382" s="209">
        <v>4</v>
      </c>
      <c r="I382" s="209">
        <v>5</v>
      </c>
      <c r="J382" s="209">
        <v>4</v>
      </c>
      <c r="K382" s="209">
        <v>9649.9</v>
      </c>
    </row>
    <row r="383" spans="1:11" ht="24.75" customHeight="1">
      <c r="A383" s="208">
        <v>42650</v>
      </c>
      <c r="B383" s="209" t="s">
        <v>519</v>
      </c>
      <c r="C383" s="226">
        <v>300009193471</v>
      </c>
      <c r="D383" s="272" t="s">
        <v>502</v>
      </c>
      <c r="E383" s="209">
        <v>0</v>
      </c>
      <c r="F383" s="209">
        <v>0</v>
      </c>
      <c r="G383" s="209">
        <v>0</v>
      </c>
      <c r="H383" s="209">
        <v>0</v>
      </c>
      <c r="I383" s="209">
        <v>0</v>
      </c>
      <c r="J383" s="209">
        <v>0</v>
      </c>
      <c r="K383" s="209">
        <v>7096</v>
      </c>
    </row>
    <row r="384" spans="1:11" ht="24.75" customHeight="1">
      <c r="A384" s="208">
        <v>42650</v>
      </c>
      <c r="B384" s="209" t="s">
        <v>519</v>
      </c>
      <c r="C384" s="226">
        <v>300009016017</v>
      </c>
      <c r="D384" s="272" t="s">
        <v>498</v>
      </c>
      <c r="E384" s="209">
        <v>0</v>
      </c>
      <c r="F384" s="209">
        <v>0</v>
      </c>
      <c r="G384" s="209">
        <v>0</v>
      </c>
      <c r="H384" s="209">
        <v>0</v>
      </c>
      <c r="I384" s="209">
        <v>0</v>
      </c>
      <c r="J384" s="209">
        <v>0</v>
      </c>
      <c r="K384" s="209">
        <v>1567.02</v>
      </c>
    </row>
    <row r="385" spans="1:11" ht="24.75" customHeight="1">
      <c r="A385" s="208">
        <v>42650</v>
      </c>
      <c r="B385" s="209" t="s">
        <v>519</v>
      </c>
      <c r="C385" s="226">
        <v>300009410229</v>
      </c>
      <c r="D385" s="272" t="s">
        <v>279</v>
      </c>
      <c r="E385" s="209">
        <v>0</v>
      </c>
      <c r="F385" s="209">
        <v>0</v>
      </c>
      <c r="G385" s="209">
        <v>0</v>
      </c>
      <c r="H385" s="209">
        <v>0</v>
      </c>
      <c r="I385" s="209">
        <v>0</v>
      </c>
      <c r="J385" s="209">
        <v>0</v>
      </c>
      <c r="K385" s="209">
        <v>1060.2</v>
      </c>
    </row>
    <row r="386" spans="1:11" ht="24.75" customHeight="1">
      <c r="A386" s="208">
        <v>42650</v>
      </c>
      <c r="B386" s="209" t="s">
        <v>519</v>
      </c>
      <c r="C386" s="226">
        <v>300008656423</v>
      </c>
      <c r="D386" s="272" t="s">
        <v>522</v>
      </c>
      <c r="E386" s="209">
        <v>0</v>
      </c>
      <c r="F386" s="209">
        <v>0</v>
      </c>
      <c r="G386" s="209">
        <v>0</v>
      </c>
      <c r="H386" s="209">
        <v>0</v>
      </c>
      <c r="I386" s="209">
        <v>0</v>
      </c>
      <c r="J386" s="209">
        <v>0</v>
      </c>
      <c r="K386" s="209">
        <v>144</v>
      </c>
    </row>
    <row r="387" spans="1:11" ht="24.75" customHeight="1">
      <c r="A387" s="208">
        <v>42650</v>
      </c>
      <c r="B387" s="209" t="s">
        <v>519</v>
      </c>
      <c r="C387" s="226">
        <v>300002932641</v>
      </c>
      <c r="D387" s="272" t="s">
        <v>503</v>
      </c>
      <c r="E387" s="209">
        <v>0</v>
      </c>
      <c r="F387" s="209">
        <v>0</v>
      </c>
      <c r="G387" s="209">
        <v>0</v>
      </c>
      <c r="H387" s="209">
        <v>0</v>
      </c>
      <c r="I387" s="209">
        <v>0</v>
      </c>
      <c r="J387" s="209">
        <v>0</v>
      </c>
      <c r="K387" s="209">
        <v>24</v>
      </c>
    </row>
    <row r="388" spans="1:11" ht="24.75" customHeight="1">
      <c r="A388" s="208">
        <v>42650</v>
      </c>
      <c r="B388" s="209" t="s">
        <v>519</v>
      </c>
      <c r="C388" s="226">
        <v>300009190335</v>
      </c>
      <c r="D388" s="272" t="s">
        <v>526</v>
      </c>
      <c r="E388" s="209">
        <v>0</v>
      </c>
      <c r="F388" s="209">
        <v>4</v>
      </c>
      <c r="G388" s="209">
        <v>0</v>
      </c>
      <c r="H388" s="209">
        <v>1</v>
      </c>
      <c r="I388" s="209">
        <v>4</v>
      </c>
      <c r="J388" s="209">
        <v>1</v>
      </c>
      <c r="K388" s="209">
        <v>2</v>
      </c>
    </row>
    <row r="389" spans="1:11" ht="24.75" customHeight="1">
      <c r="A389" s="208">
        <v>42650</v>
      </c>
      <c r="B389" s="209" t="s">
        <v>519</v>
      </c>
      <c r="C389" s="226">
        <v>300009000071</v>
      </c>
      <c r="D389" s="209" t="s">
        <v>527</v>
      </c>
      <c r="E389" s="209">
        <v>0</v>
      </c>
      <c r="F389" s="209">
        <v>2</v>
      </c>
      <c r="G389" s="209">
        <v>0</v>
      </c>
      <c r="H389" s="209">
        <v>0</v>
      </c>
      <c r="I389" s="209">
        <v>2</v>
      </c>
      <c r="J389" s="209">
        <v>0</v>
      </c>
      <c r="K389" s="209">
        <v>0</v>
      </c>
    </row>
    <row r="390" spans="1:11" ht="24.75" customHeight="1">
      <c r="A390" s="208">
        <v>42650</v>
      </c>
      <c r="B390" s="209" t="s">
        <v>519</v>
      </c>
      <c r="C390" s="226">
        <v>300009190346</v>
      </c>
      <c r="D390" s="272" t="s">
        <v>528</v>
      </c>
      <c r="E390" s="209">
        <v>0</v>
      </c>
      <c r="F390" s="209">
        <v>1</v>
      </c>
      <c r="G390" s="209">
        <v>0</v>
      </c>
      <c r="H390" s="209">
        <v>0</v>
      </c>
      <c r="I390" s="209">
        <v>1</v>
      </c>
      <c r="J390" s="209">
        <v>0</v>
      </c>
      <c r="K390" s="209">
        <v>0</v>
      </c>
    </row>
    <row r="391" spans="1:11" ht="24.75" customHeight="1">
      <c r="A391" s="208">
        <v>42650</v>
      </c>
      <c r="B391" s="209" t="s">
        <v>519</v>
      </c>
      <c r="C391" s="226">
        <v>300009211922</v>
      </c>
      <c r="D391" s="209" t="s">
        <v>523</v>
      </c>
      <c r="E391" s="209">
        <v>0</v>
      </c>
      <c r="F391" s="209">
        <v>2</v>
      </c>
      <c r="G391" s="209">
        <v>0</v>
      </c>
      <c r="H391" s="209">
        <v>0</v>
      </c>
      <c r="I391" s="209">
        <v>2</v>
      </c>
      <c r="J391" s="209">
        <v>0</v>
      </c>
      <c r="K391" s="209">
        <v>0</v>
      </c>
    </row>
    <row r="392" spans="1:11" ht="24.75" customHeight="1">
      <c r="A392" s="260">
        <v>42644</v>
      </c>
      <c r="B392" s="209" t="s">
        <v>529</v>
      </c>
      <c r="C392" s="226">
        <v>300009822212</v>
      </c>
      <c r="D392" s="272" t="s">
        <v>530</v>
      </c>
      <c r="E392" s="209">
        <v>3</v>
      </c>
      <c r="F392" s="209">
        <v>3</v>
      </c>
      <c r="G392" s="209">
        <v>2</v>
      </c>
      <c r="H392" s="209">
        <v>2</v>
      </c>
      <c r="I392" s="209">
        <v>1.28</v>
      </c>
      <c r="J392" s="209">
        <v>0.85</v>
      </c>
      <c r="K392" s="209">
        <v>23527</v>
      </c>
    </row>
    <row r="393" spans="1:11" ht="24.75" customHeight="1">
      <c r="A393" s="260">
        <v>42644</v>
      </c>
      <c r="B393" s="209" t="s">
        <v>529</v>
      </c>
      <c r="C393" s="226">
        <v>300009288265</v>
      </c>
      <c r="D393" s="272" t="s">
        <v>531</v>
      </c>
      <c r="E393" s="209">
        <v>6</v>
      </c>
      <c r="F393" s="209">
        <v>6</v>
      </c>
      <c r="G393" s="209">
        <v>3</v>
      </c>
      <c r="H393" s="209">
        <v>3</v>
      </c>
      <c r="I393" s="209">
        <v>6</v>
      </c>
      <c r="J393" s="209">
        <v>3</v>
      </c>
      <c r="K393" s="209">
        <v>9790</v>
      </c>
    </row>
    <row r="394" spans="1:11" ht="24.75" customHeight="1">
      <c r="A394" s="260">
        <v>42644</v>
      </c>
      <c r="B394" s="209" t="s">
        <v>529</v>
      </c>
      <c r="C394" s="226">
        <v>300009208680</v>
      </c>
      <c r="D394" s="272" t="s">
        <v>532</v>
      </c>
      <c r="E394" s="209">
        <v>0</v>
      </c>
      <c r="F394" s="209">
        <v>0</v>
      </c>
      <c r="G394" s="209">
        <v>0</v>
      </c>
      <c r="H394" s="209">
        <v>0</v>
      </c>
      <c r="I394" s="209">
        <v>0</v>
      </c>
      <c r="J394" s="209">
        <v>0</v>
      </c>
      <c r="K394" s="209">
        <v>7547</v>
      </c>
    </row>
    <row r="395" spans="1:11" ht="24.75" customHeight="1">
      <c r="A395" s="260">
        <v>42644</v>
      </c>
      <c r="B395" s="209" t="s">
        <v>529</v>
      </c>
      <c r="C395" s="226">
        <v>300009197814</v>
      </c>
      <c r="D395" s="272" t="s">
        <v>533</v>
      </c>
      <c r="E395" s="209">
        <v>0</v>
      </c>
      <c r="F395" s="209">
        <v>0</v>
      </c>
      <c r="G395" s="209">
        <v>0</v>
      </c>
      <c r="H395" s="209">
        <v>0</v>
      </c>
      <c r="I395" s="209">
        <v>0</v>
      </c>
      <c r="J395" s="209">
        <v>0</v>
      </c>
      <c r="K395" s="209">
        <v>7302</v>
      </c>
    </row>
    <row r="396" spans="1:11" ht="24.75" customHeight="1">
      <c r="A396" s="260">
        <v>42644</v>
      </c>
      <c r="B396" s="209" t="s">
        <v>529</v>
      </c>
      <c r="C396" s="226">
        <v>300009290227</v>
      </c>
      <c r="D396" s="272" t="s">
        <v>534</v>
      </c>
      <c r="E396" s="209">
        <v>1</v>
      </c>
      <c r="F396" s="209">
        <v>1</v>
      </c>
      <c r="G396" s="209">
        <v>0</v>
      </c>
      <c r="H396" s="209">
        <v>0</v>
      </c>
      <c r="I396" s="209">
        <v>1</v>
      </c>
      <c r="J396" s="209">
        <v>0</v>
      </c>
      <c r="K396" s="209">
        <v>7078.1</v>
      </c>
    </row>
    <row r="397" spans="1:11" ht="24.75" customHeight="1">
      <c r="A397" s="260">
        <v>42644</v>
      </c>
      <c r="B397" s="209" t="s">
        <v>529</v>
      </c>
      <c r="C397" s="226">
        <v>300009208675</v>
      </c>
      <c r="D397" s="272" t="s">
        <v>535</v>
      </c>
      <c r="E397" s="209">
        <v>0</v>
      </c>
      <c r="F397" s="209">
        <v>0</v>
      </c>
      <c r="G397" s="209">
        <v>0</v>
      </c>
      <c r="H397" s="209">
        <v>0</v>
      </c>
      <c r="I397" s="209">
        <v>0</v>
      </c>
      <c r="J397" s="209">
        <v>0</v>
      </c>
      <c r="K397" s="209">
        <v>6637.1</v>
      </c>
    </row>
    <row r="398" spans="1:11" ht="24.75" customHeight="1">
      <c r="A398" s="260">
        <v>42644</v>
      </c>
      <c r="B398" s="209" t="s">
        <v>529</v>
      </c>
      <c r="C398" s="226">
        <v>300009212855</v>
      </c>
      <c r="D398" s="272" t="s">
        <v>536</v>
      </c>
      <c r="E398" s="209">
        <v>3</v>
      </c>
      <c r="F398" s="209">
        <v>3</v>
      </c>
      <c r="G398" s="209">
        <v>1</v>
      </c>
      <c r="H398" s="209">
        <v>1</v>
      </c>
      <c r="I398" s="209">
        <v>3</v>
      </c>
      <c r="J398" s="209">
        <v>1</v>
      </c>
      <c r="K398" s="209">
        <v>6632</v>
      </c>
    </row>
    <row r="399" spans="1:11" ht="24.75" customHeight="1">
      <c r="A399" s="260">
        <v>42644</v>
      </c>
      <c r="B399" s="209" t="s">
        <v>529</v>
      </c>
      <c r="C399" s="226">
        <v>300009249957</v>
      </c>
      <c r="D399" s="272" t="s">
        <v>537</v>
      </c>
      <c r="E399" s="209">
        <v>0</v>
      </c>
      <c r="F399" s="209">
        <v>0</v>
      </c>
      <c r="G399" s="209">
        <v>0</v>
      </c>
      <c r="H399" s="209">
        <v>0</v>
      </c>
      <c r="I399" s="209">
        <v>0</v>
      </c>
      <c r="J399" s="209">
        <v>0</v>
      </c>
      <c r="K399" s="209">
        <v>6611</v>
      </c>
    </row>
    <row r="400" spans="1:11" ht="24.75" customHeight="1">
      <c r="A400" s="260">
        <v>42644</v>
      </c>
      <c r="B400" s="209" t="s">
        <v>529</v>
      </c>
      <c r="C400" s="226">
        <v>300009190385</v>
      </c>
      <c r="D400" s="272" t="s">
        <v>538</v>
      </c>
      <c r="E400" s="209">
        <v>2</v>
      </c>
      <c r="F400" s="209">
        <v>2</v>
      </c>
      <c r="G400" s="209">
        <v>1</v>
      </c>
      <c r="H400" s="209">
        <v>1</v>
      </c>
      <c r="I400" s="209">
        <v>2</v>
      </c>
      <c r="J400" s="209">
        <v>1</v>
      </c>
      <c r="K400" s="209">
        <v>6198</v>
      </c>
    </row>
    <row r="401" spans="1:11" ht="24.75" customHeight="1">
      <c r="A401" s="260">
        <v>42644</v>
      </c>
      <c r="B401" s="209" t="s">
        <v>529</v>
      </c>
      <c r="C401" s="226">
        <v>300009294244</v>
      </c>
      <c r="D401" s="272" t="s">
        <v>539</v>
      </c>
      <c r="E401" s="209">
        <v>0</v>
      </c>
      <c r="F401" s="209">
        <v>0</v>
      </c>
      <c r="G401" s="209">
        <v>0</v>
      </c>
      <c r="H401" s="209">
        <v>0</v>
      </c>
      <c r="I401" s="209">
        <v>0</v>
      </c>
      <c r="J401" s="209">
        <v>0</v>
      </c>
      <c r="K401" s="209">
        <v>5774.2</v>
      </c>
    </row>
    <row r="402" spans="1:11" ht="24.75" customHeight="1">
      <c r="A402" s="260">
        <v>42644</v>
      </c>
      <c r="B402" s="209" t="s">
        <v>529</v>
      </c>
      <c r="C402" s="226">
        <v>300008467005</v>
      </c>
      <c r="D402" s="272" t="s">
        <v>540</v>
      </c>
      <c r="E402" s="209">
        <v>11</v>
      </c>
      <c r="F402" s="209">
        <v>11</v>
      </c>
      <c r="G402" s="209">
        <v>6</v>
      </c>
      <c r="H402" s="209">
        <v>6</v>
      </c>
      <c r="I402" s="209">
        <v>11</v>
      </c>
      <c r="J402" s="209">
        <v>6</v>
      </c>
      <c r="K402" s="209">
        <v>5610</v>
      </c>
    </row>
    <row r="403" spans="1:11" ht="24.75" customHeight="1">
      <c r="A403" s="260">
        <v>42644</v>
      </c>
      <c r="B403" s="209" t="s">
        <v>529</v>
      </c>
      <c r="C403" s="226">
        <v>300009190343</v>
      </c>
      <c r="D403" s="272" t="s">
        <v>541</v>
      </c>
      <c r="E403" s="209">
        <v>0</v>
      </c>
      <c r="F403" s="209">
        <v>0</v>
      </c>
      <c r="G403" s="209">
        <v>0</v>
      </c>
      <c r="H403" s="209">
        <v>0</v>
      </c>
      <c r="I403" s="209">
        <v>0</v>
      </c>
      <c r="J403" s="209">
        <v>0</v>
      </c>
      <c r="K403" s="209">
        <v>3292.01</v>
      </c>
    </row>
    <row r="404" spans="1:11" ht="24.75" customHeight="1">
      <c r="A404" s="260">
        <v>42644</v>
      </c>
      <c r="B404" s="209" t="s">
        <v>529</v>
      </c>
      <c r="C404" s="226">
        <v>300009240032</v>
      </c>
      <c r="D404" s="272" t="s">
        <v>542</v>
      </c>
      <c r="E404" s="209">
        <v>0</v>
      </c>
      <c r="F404" s="209">
        <v>0</v>
      </c>
      <c r="G404" s="209">
        <v>0</v>
      </c>
      <c r="H404" s="209">
        <v>0</v>
      </c>
      <c r="I404" s="209">
        <v>0</v>
      </c>
      <c r="J404" s="209">
        <v>0</v>
      </c>
      <c r="K404" s="209">
        <v>180</v>
      </c>
    </row>
    <row r="405" spans="1:11" ht="24.75" customHeight="1">
      <c r="A405" s="260">
        <v>42644</v>
      </c>
      <c r="B405" s="209" t="s">
        <v>529</v>
      </c>
      <c r="C405" s="226">
        <v>300009328320</v>
      </c>
      <c r="D405" s="272" t="s">
        <v>543</v>
      </c>
      <c r="E405" s="209">
        <v>1</v>
      </c>
      <c r="F405" s="209">
        <v>1</v>
      </c>
      <c r="G405" s="209">
        <v>0</v>
      </c>
      <c r="H405" s="209">
        <v>0</v>
      </c>
      <c r="I405" s="209">
        <v>1</v>
      </c>
      <c r="J405" s="209">
        <v>0</v>
      </c>
      <c r="K405" s="209">
        <v>96</v>
      </c>
    </row>
    <row r="406" spans="1:11" ht="24.75" customHeight="1">
      <c r="A406" s="260">
        <v>42644</v>
      </c>
      <c r="B406" s="209" t="s">
        <v>529</v>
      </c>
      <c r="C406" s="226">
        <v>300009972233</v>
      </c>
      <c r="D406" s="272" t="s">
        <v>544</v>
      </c>
      <c r="E406" s="209">
        <v>0</v>
      </c>
      <c r="F406" s="209">
        <v>0</v>
      </c>
      <c r="G406" s="209">
        <v>0</v>
      </c>
      <c r="H406" s="209">
        <v>0</v>
      </c>
      <c r="I406" s="209">
        <v>0</v>
      </c>
      <c r="J406" s="209">
        <v>0</v>
      </c>
      <c r="K406" s="209">
        <v>4</v>
      </c>
    </row>
    <row r="407" spans="1:11" ht="24.75" customHeight="1">
      <c r="A407" s="260">
        <v>42644</v>
      </c>
      <c r="B407" s="209" t="s">
        <v>529</v>
      </c>
      <c r="C407" s="226">
        <v>300009406202</v>
      </c>
      <c r="D407" s="272" t="s">
        <v>232</v>
      </c>
      <c r="E407" s="209">
        <v>1</v>
      </c>
      <c r="F407" s="209">
        <v>1</v>
      </c>
      <c r="G407" s="209">
        <v>0</v>
      </c>
      <c r="H407" s="209">
        <v>0</v>
      </c>
      <c r="I407" s="209">
        <v>1</v>
      </c>
      <c r="J407" s="209">
        <v>0</v>
      </c>
      <c r="K407" s="209">
        <v>0</v>
      </c>
    </row>
    <row r="408" spans="1:11" ht="24.75" customHeight="1">
      <c r="A408" s="208">
        <v>42645</v>
      </c>
      <c r="B408" s="209" t="s">
        <v>529</v>
      </c>
      <c r="C408" s="226">
        <v>300009822212</v>
      </c>
      <c r="D408" s="272" t="s">
        <v>530</v>
      </c>
      <c r="E408" s="209">
        <v>2</v>
      </c>
      <c r="F408" s="209">
        <v>5</v>
      </c>
      <c r="G408" s="209">
        <v>1</v>
      </c>
      <c r="H408" s="209">
        <v>3</v>
      </c>
      <c r="I408" s="209">
        <v>1.1100000000000001</v>
      </c>
      <c r="J408" s="209">
        <v>0.66</v>
      </c>
      <c r="K408" s="209">
        <v>45131</v>
      </c>
    </row>
    <row r="409" spans="1:11" ht="24.75" customHeight="1">
      <c r="A409" s="208">
        <v>42645</v>
      </c>
      <c r="B409" s="209" t="s">
        <v>529</v>
      </c>
      <c r="C409" s="226">
        <v>300009288265</v>
      </c>
      <c r="D409" s="272" t="s">
        <v>531</v>
      </c>
      <c r="E409" s="209">
        <v>8</v>
      </c>
      <c r="F409" s="209">
        <v>15</v>
      </c>
      <c r="G409" s="209">
        <v>4</v>
      </c>
      <c r="H409" s="209">
        <v>7</v>
      </c>
      <c r="I409" s="209">
        <v>7.76</v>
      </c>
      <c r="J409" s="209">
        <v>3.62</v>
      </c>
      <c r="K409" s="209">
        <v>19340</v>
      </c>
    </row>
    <row r="410" spans="1:11" ht="24.75" customHeight="1">
      <c r="A410" s="208">
        <v>42645</v>
      </c>
      <c r="B410" s="209" t="s">
        <v>529</v>
      </c>
      <c r="C410" s="226">
        <v>300009208680</v>
      </c>
      <c r="D410" s="272" t="s">
        <v>532</v>
      </c>
      <c r="E410" s="209">
        <v>0</v>
      </c>
      <c r="F410" s="209">
        <v>0</v>
      </c>
      <c r="G410" s="209">
        <v>0</v>
      </c>
      <c r="H410" s="209">
        <v>0</v>
      </c>
      <c r="I410" s="209">
        <v>0</v>
      </c>
      <c r="J410" s="209">
        <v>0</v>
      </c>
      <c r="K410" s="209">
        <v>11167</v>
      </c>
    </row>
    <row r="411" spans="1:11" ht="24.75" customHeight="1">
      <c r="A411" s="208">
        <v>42645</v>
      </c>
      <c r="B411" s="209" t="s">
        <v>529</v>
      </c>
      <c r="C411" s="226">
        <v>300009294244</v>
      </c>
      <c r="D411" s="272" t="s">
        <v>539</v>
      </c>
      <c r="E411" s="209">
        <v>2</v>
      </c>
      <c r="F411" s="209">
        <v>2</v>
      </c>
      <c r="G411" s="209">
        <v>1</v>
      </c>
      <c r="H411" s="209">
        <v>1</v>
      </c>
      <c r="I411" s="209">
        <v>1.81</v>
      </c>
      <c r="J411" s="209">
        <v>0.91</v>
      </c>
      <c r="K411" s="209">
        <v>11034.3</v>
      </c>
    </row>
    <row r="412" spans="1:11" ht="24.75" customHeight="1">
      <c r="A412" s="208">
        <v>42645</v>
      </c>
      <c r="B412" s="209" t="s">
        <v>529</v>
      </c>
      <c r="C412" s="226">
        <v>300009197814</v>
      </c>
      <c r="D412" s="272" t="s">
        <v>533</v>
      </c>
      <c r="E412" s="209">
        <v>0</v>
      </c>
      <c r="F412" s="209">
        <v>0</v>
      </c>
      <c r="G412" s="209">
        <v>0</v>
      </c>
      <c r="H412" s="209">
        <v>0</v>
      </c>
      <c r="I412" s="209">
        <v>0</v>
      </c>
      <c r="J412" s="209">
        <v>0</v>
      </c>
      <c r="K412" s="209">
        <v>10761</v>
      </c>
    </row>
    <row r="413" spans="1:11" ht="24.75" customHeight="1">
      <c r="A413" s="208">
        <v>42645</v>
      </c>
      <c r="B413" s="209" t="s">
        <v>529</v>
      </c>
      <c r="C413" s="226">
        <v>300009208675</v>
      </c>
      <c r="D413" s="272" t="s">
        <v>535</v>
      </c>
      <c r="E413" s="209">
        <v>0</v>
      </c>
      <c r="F413" s="209">
        <v>0</v>
      </c>
      <c r="G413" s="209">
        <v>0</v>
      </c>
      <c r="H413" s="209">
        <v>0</v>
      </c>
      <c r="I413" s="209">
        <v>0</v>
      </c>
      <c r="J413" s="209">
        <v>0</v>
      </c>
      <c r="K413" s="209">
        <v>10074.200000000001</v>
      </c>
    </row>
    <row r="414" spans="1:11" ht="24.75" customHeight="1">
      <c r="A414" s="208">
        <v>42645</v>
      </c>
      <c r="B414" s="209" t="s">
        <v>529</v>
      </c>
      <c r="C414" s="226">
        <v>300009249957</v>
      </c>
      <c r="D414" s="272" t="s">
        <v>537</v>
      </c>
      <c r="E414" s="209">
        <v>0</v>
      </c>
      <c r="F414" s="209">
        <v>1</v>
      </c>
      <c r="G414" s="209">
        <v>0</v>
      </c>
      <c r="H414" s="209">
        <v>0</v>
      </c>
      <c r="I414" s="209">
        <v>1</v>
      </c>
      <c r="J414" s="209">
        <v>0</v>
      </c>
      <c r="K414" s="209">
        <v>9978</v>
      </c>
    </row>
    <row r="415" spans="1:11" ht="24.75" customHeight="1">
      <c r="A415" s="208">
        <v>42645</v>
      </c>
      <c r="B415" s="209" t="s">
        <v>529</v>
      </c>
      <c r="C415" s="226">
        <v>300009212855</v>
      </c>
      <c r="D415" s="272" t="s">
        <v>536</v>
      </c>
      <c r="E415" s="209">
        <v>2</v>
      </c>
      <c r="F415" s="209">
        <v>5</v>
      </c>
      <c r="G415" s="209">
        <v>0</v>
      </c>
      <c r="H415" s="209">
        <v>2</v>
      </c>
      <c r="I415" s="209">
        <v>5</v>
      </c>
      <c r="J415" s="209">
        <v>2</v>
      </c>
      <c r="K415" s="209">
        <v>9700</v>
      </c>
    </row>
    <row r="416" spans="1:11" ht="24.75" customHeight="1">
      <c r="A416" s="208">
        <v>42645</v>
      </c>
      <c r="B416" s="209" t="s">
        <v>529</v>
      </c>
      <c r="C416" s="226">
        <v>300009290227</v>
      </c>
      <c r="D416" s="272" t="s">
        <v>534</v>
      </c>
      <c r="E416" s="209">
        <v>1</v>
      </c>
      <c r="F416" s="209">
        <v>3</v>
      </c>
      <c r="G416" s="209">
        <v>1</v>
      </c>
      <c r="H416" s="209">
        <v>2</v>
      </c>
      <c r="I416" s="209">
        <v>3</v>
      </c>
      <c r="J416" s="209">
        <v>2</v>
      </c>
      <c r="K416" s="209">
        <v>9632.1</v>
      </c>
    </row>
    <row r="417" spans="1:11" ht="24.75" customHeight="1">
      <c r="A417" s="208">
        <v>42645</v>
      </c>
      <c r="B417" s="209" t="s">
        <v>529</v>
      </c>
      <c r="C417" s="226">
        <v>300009190385</v>
      </c>
      <c r="D417" s="272" t="s">
        <v>538</v>
      </c>
      <c r="E417" s="209">
        <v>2</v>
      </c>
      <c r="F417" s="209">
        <v>4</v>
      </c>
      <c r="G417" s="209">
        <v>1</v>
      </c>
      <c r="H417" s="209">
        <v>2</v>
      </c>
      <c r="I417" s="209">
        <v>4</v>
      </c>
      <c r="J417" s="209">
        <v>2</v>
      </c>
      <c r="K417" s="209">
        <v>9614</v>
      </c>
    </row>
    <row r="418" spans="1:11" ht="24.75" customHeight="1">
      <c r="A418" s="208">
        <v>42645</v>
      </c>
      <c r="B418" s="209" t="s">
        <v>529</v>
      </c>
      <c r="C418" s="226">
        <v>300008467005</v>
      </c>
      <c r="D418" s="272" t="s">
        <v>540</v>
      </c>
      <c r="E418" s="209">
        <v>1</v>
      </c>
      <c r="F418" s="209">
        <v>12</v>
      </c>
      <c r="G418" s="209">
        <v>0</v>
      </c>
      <c r="H418" s="209">
        <v>6</v>
      </c>
      <c r="I418" s="209">
        <v>12</v>
      </c>
      <c r="J418" s="209">
        <v>6</v>
      </c>
      <c r="K418" s="209">
        <v>5649.1</v>
      </c>
    </row>
    <row r="419" spans="1:11" ht="24.75" customHeight="1">
      <c r="A419" s="208">
        <v>42645</v>
      </c>
      <c r="B419" s="209" t="s">
        <v>529</v>
      </c>
      <c r="C419" s="226">
        <v>300009190343</v>
      </c>
      <c r="D419" s="272" t="s">
        <v>541</v>
      </c>
      <c r="E419" s="209">
        <v>0</v>
      </c>
      <c r="F419" s="209">
        <v>0</v>
      </c>
      <c r="G419" s="209">
        <v>0</v>
      </c>
      <c r="H419" s="209">
        <v>0</v>
      </c>
      <c r="I419" s="209">
        <v>0</v>
      </c>
      <c r="J419" s="209">
        <v>0</v>
      </c>
      <c r="K419" s="209">
        <v>4128.01</v>
      </c>
    </row>
    <row r="420" spans="1:11" ht="24.75" customHeight="1">
      <c r="A420" s="208">
        <v>42645</v>
      </c>
      <c r="B420" s="209" t="s">
        <v>529</v>
      </c>
      <c r="C420" s="226">
        <v>300009240032</v>
      </c>
      <c r="D420" s="272" t="s">
        <v>542</v>
      </c>
      <c r="E420" s="209">
        <v>0</v>
      </c>
      <c r="F420" s="209">
        <v>0</v>
      </c>
      <c r="G420" s="209">
        <v>0</v>
      </c>
      <c r="H420" s="209">
        <v>0</v>
      </c>
      <c r="I420" s="209">
        <v>0</v>
      </c>
      <c r="J420" s="209">
        <v>0</v>
      </c>
      <c r="K420" s="209">
        <v>180</v>
      </c>
    </row>
    <row r="421" spans="1:11" ht="24.75" customHeight="1">
      <c r="A421" s="208">
        <v>42645</v>
      </c>
      <c r="B421" s="209" t="s">
        <v>529</v>
      </c>
      <c r="C421" s="226">
        <v>300009328320</v>
      </c>
      <c r="D421" s="272" t="s">
        <v>543</v>
      </c>
      <c r="E421" s="209">
        <v>0</v>
      </c>
      <c r="F421" s="209">
        <v>1</v>
      </c>
      <c r="G421" s="209">
        <v>0</v>
      </c>
      <c r="H421" s="209">
        <v>0</v>
      </c>
      <c r="I421" s="209">
        <v>1</v>
      </c>
      <c r="J421" s="209">
        <v>0</v>
      </c>
      <c r="K421" s="209">
        <v>156</v>
      </c>
    </row>
    <row r="422" spans="1:11" ht="24.75" customHeight="1">
      <c r="A422" s="208">
        <v>42645</v>
      </c>
      <c r="B422" s="209" t="s">
        <v>529</v>
      </c>
      <c r="C422" s="226">
        <v>300009972233</v>
      </c>
      <c r="D422" s="272" t="s">
        <v>544</v>
      </c>
      <c r="E422" s="209">
        <v>0</v>
      </c>
      <c r="F422" s="209">
        <v>0</v>
      </c>
      <c r="G422" s="209">
        <v>0</v>
      </c>
      <c r="H422" s="209">
        <v>0</v>
      </c>
      <c r="I422" s="209">
        <v>0</v>
      </c>
      <c r="J422" s="209">
        <v>0</v>
      </c>
      <c r="K422" s="209">
        <v>4</v>
      </c>
    </row>
    <row r="423" spans="1:11" ht="24.75" customHeight="1">
      <c r="A423" s="208">
        <v>42645</v>
      </c>
      <c r="B423" s="209" t="s">
        <v>529</v>
      </c>
      <c r="C423" s="226">
        <v>300009191923</v>
      </c>
      <c r="D423" s="272" t="s">
        <v>545</v>
      </c>
      <c r="E423" s="209">
        <v>0</v>
      </c>
      <c r="F423" s="209">
        <v>0</v>
      </c>
      <c r="G423" s="209">
        <v>0</v>
      </c>
      <c r="H423" s="209">
        <v>0</v>
      </c>
      <c r="I423" s="209">
        <v>0</v>
      </c>
      <c r="J423" s="209">
        <v>0</v>
      </c>
      <c r="K423" s="209">
        <v>0</v>
      </c>
    </row>
    <row r="424" spans="1:11" ht="24.75" customHeight="1">
      <c r="A424" s="208">
        <v>42645</v>
      </c>
      <c r="B424" s="209" t="s">
        <v>529</v>
      </c>
      <c r="C424" s="226">
        <v>300009406202</v>
      </c>
      <c r="D424" s="272" t="s">
        <v>232</v>
      </c>
      <c r="E424" s="209">
        <v>0</v>
      </c>
      <c r="F424" s="209">
        <v>1</v>
      </c>
      <c r="G424" s="209">
        <v>0</v>
      </c>
      <c r="H424" s="209">
        <v>0</v>
      </c>
      <c r="I424" s="209">
        <v>1</v>
      </c>
      <c r="J424" s="209">
        <v>0</v>
      </c>
      <c r="K424" s="209">
        <v>0</v>
      </c>
    </row>
    <row r="425" spans="1:11" ht="24.75" customHeight="1">
      <c r="A425" s="208">
        <v>42646</v>
      </c>
      <c r="B425" s="209" t="s">
        <v>529</v>
      </c>
      <c r="C425" s="226">
        <v>300009822212</v>
      </c>
      <c r="D425" s="272" t="s">
        <v>530</v>
      </c>
      <c r="E425" s="209">
        <v>9</v>
      </c>
      <c r="F425" s="209">
        <v>14</v>
      </c>
      <c r="G425" s="209">
        <v>3</v>
      </c>
      <c r="H425" s="209">
        <v>6</v>
      </c>
      <c r="I425" s="209">
        <v>2.3199999999999998</v>
      </c>
      <c r="J425" s="209">
        <v>0.99</v>
      </c>
      <c r="K425" s="209">
        <v>60374</v>
      </c>
    </row>
    <row r="426" spans="1:11" ht="24.75" customHeight="1">
      <c r="A426" s="208">
        <v>42646</v>
      </c>
      <c r="B426" s="209" t="s">
        <v>529</v>
      </c>
      <c r="C426" s="226">
        <v>300009288265</v>
      </c>
      <c r="D426" s="272" t="s">
        <v>531</v>
      </c>
      <c r="E426" s="209">
        <v>8</v>
      </c>
      <c r="F426" s="209">
        <v>23</v>
      </c>
      <c r="G426" s="209">
        <v>3</v>
      </c>
      <c r="H426" s="209">
        <v>11</v>
      </c>
      <c r="I426" s="209">
        <v>7.88</v>
      </c>
      <c r="J426" s="209">
        <v>3.77</v>
      </c>
      <c r="K426" s="209">
        <v>29174</v>
      </c>
    </row>
    <row r="427" spans="1:11" ht="24.75" customHeight="1">
      <c r="A427" s="208">
        <v>42646</v>
      </c>
      <c r="B427" s="209" t="s">
        <v>529</v>
      </c>
      <c r="C427" s="226">
        <v>300009294244</v>
      </c>
      <c r="D427" s="272" t="s">
        <v>539</v>
      </c>
      <c r="E427" s="209">
        <v>2</v>
      </c>
      <c r="F427" s="209">
        <v>5</v>
      </c>
      <c r="G427" s="209">
        <v>0</v>
      </c>
      <c r="H427" s="209">
        <v>2</v>
      </c>
      <c r="I427" s="209">
        <v>2.76</v>
      </c>
      <c r="J427" s="209">
        <v>1.1100000000000001</v>
      </c>
      <c r="K427" s="209">
        <v>18088.3</v>
      </c>
    </row>
    <row r="428" spans="1:11" ht="24.75" customHeight="1">
      <c r="A428" s="208">
        <v>42646</v>
      </c>
      <c r="B428" s="209" t="s">
        <v>529</v>
      </c>
      <c r="C428" s="226">
        <v>300009208680</v>
      </c>
      <c r="D428" s="272" t="s">
        <v>532</v>
      </c>
      <c r="E428" s="209">
        <v>3</v>
      </c>
      <c r="F428" s="209">
        <v>3</v>
      </c>
      <c r="G428" s="209">
        <v>1</v>
      </c>
      <c r="H428" s="209">
        <v>1</v>
      </c>
      <c r="I428" s="209">
        <v>2.1</v>
      </c>
      <c r="J428" s="209">
        <v>0.7</v>
      </c>
      <c r="K428" s="209">
        <v>14314</v>
      </c>
    </row>
    <row r="429" spans="1:11" ht="24.75" customHeight="1">
      <c r="A429" s="208">
        <v>42646</v>
      </c>
      <c r="B429" s="209" t="s">
        <v>529</v>
      </c>
      <c r="C429" s="226">
        <v>300009197814</v>
      </c>
      <c r="D429" s="272" t="s">
        <v>533</v>
      </c>
      <c r="E429" s="209">
        <v>0</v>
      </c>
      <c r="F429" s="209">
        <v>0</v>
      </c>
      <c r="G429" s="209">
        <v>0</v>
      </c>
      <c r="H429" s="209">
        <v>0</v>
      </c>
      <c r="I429" s="209">
        <v>0</v>
      </c>
      <c r="J429" s="209">
        <v>0</v>
      </c>
      <c r="K429" s="209">
        <v>14088.2</v>
      </c>
    </row>
    <row r="430" spans="1:11" ht="24.75" customHeight="1">
      <c r="A430" s="208">
        <v>42646</v>
      </c>
      <c r="B430" s="209" t="s">
        <v>529</v>
      </c>
      <c r="C430" s="226">
        <v>300009208675</v>
      </c>
      <c r="D430" s="272" t="s">
        <v>535</v>
      </c>
      <c r="E430" s="209">
        <v>0</v>
      </c>
      <c r="F430" s="209">
        <v>0</v>
      </c>
      <c r="G430" s="209">
        <v>0</v>
      </c>
      <c r="H430" s="209">
        <v>0</v>
      </c>
      <c r="I430" s="209">
        <v>0</v>
      </c>
      <c r="J430" s="209">
        <v>0</v>
      </c>
      <c r="K430" s="209">
        <v>13973.4</v>
      </c>
    </row>
    <row r="431" spans="1:11" ht="24.75" customHeight="1">
      <c r="A431" s="208">
        <v>42646</v>
      </c>
      <c r="B431" s="209" t="s">
        <v>529</v>
      </c>
      <c r="C431" s="226">
        <v>300009249957</v>
      </c>
      <c r="D431" s="272" t="s">
        <v>537</v>
      </c>
      <c r="E431" s="209">
        <v>0</v>
      </c>
      <c r="F431" s="209">
        <v>1</v>
      </c>
      <c r="G431" s="209">
        <v>0</v>
      </c>
      <c r="H431" s="209">
        <v>0</v>
      </c>
      <c r="I431" s="209">
        <v>0.75</v>
      </c>
      <c r="J431" s="209">
        <v>0</v>
      </c>
      <c r="K431" s="209">
        <v>13328</v>
      </c>
    </row>
    <row r="432" spans="1:11" ht="24.75" customHeight="1">
      <c r="A432" s="208">
        <v>42646</v>
      </c>
      <c r="B432" s="209" t="s">
        <v>529</v>
      </c>
      <c r="C432" s="226">
        <v>300009290227</v>
      </c>
      <c r="D432" s="272" t="s">
        <v>534</v>
      </c>
      <c r="E432" s="209">
        <v>4</v>
      </c>
      <c r="F432" s="209">
        <v>8</v>
      </c>
      <c r="G432" s="209">
        <v>2</v>
      </c>
      <c r="H432" s="209">
        <v>4</v>
      </c>
      <c r="I432" s="209">
        <v>6.74</v>
      </c>
      <c r="J432" s="209">
        <v>3.37</v>
      </c>
      <c r="K432" s="209">
        <v>11864.1</v>
      </c>
    </row>
    <row r="433" spans="1:11" ht="24.75" customHeight="1">
      <c r="A433" s="208">
        <v>42646</v>
      </c>
      <c r="B433" s="209" t="s">
        <v>529</v>
      </c>
      <c r="C433" s="226">
        <v>300009212855</v>
      </c>
      <c r="D433" s="272" t="s">
        <v>536</v>
      </c>
      <c r="E433" s="209">
        <v>1</v>
      </c>
      <c r="F433" s="209">
        <v>7</v>
      </c>
      <c r="G433" s="209">
        <v>0</v>
      </c>
      <c r="H433" s="209">
        <v>2</v>
      </c>
      <c r="I433" s="209">
        <v>7</v>
      </c>
      <c r="J433" s="209">
        <v>2</v>
      </c>
      <c r="K433" s="209">
        <v>9954</v>
      </c>
    </row>
    <row r="434" spans="1:11" ht="24.75" customHeight="1">
      <c r="A434" s="208">
        <v>42646</v>
      </c>
      <c r="B434" s="209" t="s">
        <v>529</v>
      </c>
      <c r="C434" s="226">
        <v>300009190385</v>
      </c>
      <c r="D434" s="272" t="s">
        <v>538</v>
      </c>
      <c r="E434" s="209">
        <v>2</v>
      </c>
      <c r="F434" s="209">
        <v>7</v>
      </c>
      <c r="G434" s="209">
        <v>0</v>
      </c>
      <c r="H434" s="209">
        <v>2</v>
      </c>
      <c r="I434" s="209">
        <v>7</v>
      </c>
      <c r="J434" s="209">
        <v>2</v>
      </c>
      <c r="K434" s="209">
        <v>9948</v>
      </c>
    </row>
    <row r="435" spans="1:11" ht="24.75" customHeight="1">
      <c r="A435" s="208">
        <v>42646</v>
      </c>
      <c r="B435" s="209" t="s">
        <v>529</v>
      </c>
      <c r="C435" s="226">
        <v>300008467005</v>
      </c>
      <c r="D435" s="272" t="s">
        <v>540</v>
      </c>
      <c r="E435" s="209">
        <v>0</v>
      </c>
      <c r="F435" s="209">
        <v>13</v>
      </c>
      <c r="G435" s="209">
        <v>0</v>
      </c>
      <c r="H435" s="209">
        <v>6</v>
      </c>
      <c r="I435" s="209">
        <v>13</v>
      </c>
      <c r="J435" s="209">
        <v>6</v>
      </c>
      <c r="K435" s="209">
        <v>5649.1</v>
      </c>
    </row>
    <row r="436" spans="1:11" ht="24.75" customHeight="1">
      <c r="A436" s="208">
        <v>42646</v>
      </c>
      <c r="B436" s="209" t="s">
        <v>529</v>
      </c>
      <c r="C436" s="226">
        <v>300009190343</v>
      </c>
      <c r="D436" s="272" t="s">
        <v>541</v>
      </c>
      <c r="E436" s="209">
        <v>2</v>
      </c>
      <c r="F436" s="209">
        <v>3</v>
      </c>
      <c r="G436" s="209">
        <v>0</v>
      </c>
      <c r="H436" s="209">
        <v>0</v>
      </c>
      <c r="I436" s="209">
        <v>3</v>
      </c>
      <c r="J436" s="209">
        <v>0</v>
      </c>
      <c r="K436" s="209">
        <v>4514.01</v>
      </c>
    </row>
    <row r="437" spans="1:11" ht="24.75" customHeight="1">
      <c r="A437" s="208">
        <v>42646</v>
      </c>
      <c r="B437" s="209" t="s">
        <v>529</v>
      </c>
      <c r="C437" s="226">
        <v>300009232016</v>
      </c>
      <c r="D437" s="272" t="s">
        <v>499</v>
      </c>
      <c r="E437" s="209">
        <v>0</v>
      </c>
      <c r="F437" s="209">
        <v>0</v>
      </c>
      <c r="G437" s="209">
        <v>0</v>
      </c>
      <c r="H437" s="209">
        <v>0</v>
      </c>
      <c r="I437" s="209">
        <v>0</v>
      </c>
      <c r="J437" s="209">
        <v>0</v>
      </c>
      <c r="K437" s="209">
        <v>1150.44</v>
      </c>
    </row>
    <row r="438" spans="1:11" ht="24.75" customHeight="1">
      <c r="A438" s="208">
        <v>42646</v>
      </c>
      <c r="B438" s="209" t="s">
        <v>529</v>
      </c>
      <c r="C438" s="226">
        <v>300009197635</v>
      </c>
      <c r="D438" s="272" t="s">
        <v>282</v>
      </c>
      <c r="E438" s="209">
        <v>0</v>
      </c>
      <c r="F438" s="209">
        <v>0</v>
      </c>
      <c r="G438" s="209">
        <v>0</v>
      </c>
      <c r="H438" s="209">
        <v>0</v>
      </c>
      <c r="I438" s="209">
        <v>0</v>
      </c>
      <c r="J438" s="209">
        <v>0</v>
      </c>
      <c r="K438" s="209">
        <v>900.12</v>
      </c>
    </row>
    <row r="439" spans="1:11" ht="24.75" customHeight="1">
      <c r="A439" s="208">
        <v>42646</v>
      </c>
      <c r="B439" s="209" t="s">
        <v>529</v>
      </c>
      <c r="C439" s="226">
        <v>300009211922</v>
      </c>
      <c r="D439" s="209" t="s">
        <v>523</v>
      </c>
      <c r="E439" s="209">
        <v>0</v>
      </c>
      <c r="F439" s="209">
        <v>0</v>
      </c>
      <c r="G439" s="209">
        <v>0</v>
      </c>
      <c r="H439" s="209">
        <v>0</v>
      </c>
      <c r="I439" s="209">
        <v>0</v>
      </c>
      <c r="J439" s="209">
        <v>0</v>
      </c>
      <c r="K439" s="209">
        <v>283</v>
      </c>
    </row>
    <row r="440" spans="1:11" ht="24.75" customHeight="1">
      <c r="A440" s="208">
        <v>42646</v>
      </c>
      <c r="B440" s="209" t="s">
        <v>529</v>
      </c>
      <c r="C440" s="226">
        <v>300009240032</v>
      </c>
      <c r="D440" s="272" t="s">
        <v>542</v>
      </c>
      <c r="E440" s="209">
        <v>0</v>
      </c>
      <c r="F440" s="209">
        <v>0</v>
      </c>
      <c r="G440" s="209">
        <v>0</v>
      </c>
      <c r="H440" s="209">
        <v>0</v>
      </c>
      <c r="I440" s="209">
        <v>0</v>
      </c>
      <c r="J440" s="209">
        <v>0</v>
      </c>
      <c r="K440" s="209">
        <v>180</v>
      </c>
    </row>
    <row r="441" spans="1:11" ht="24.75" customHeight="1">
      <c r="A441" s="208">
        <v>42646</v>
      </c>
      <c r="B441" s="209" t="s">
        <v>529</v>
      </c>
      <c r="C441" s="226">
        <v>300009328320</v>
      </c>
      <c r="D441" s="272" t="s">
        <v>543</v>
      </c>
      <c r="E441" s="209">
        <v>0</v>
      </c>
      <c r="F441" s="209">
        <v>1</v>
      </c>
      <c r="G441" s="209">
        <v>0</v>
      </c>
      <c r="H441" s="209">
        <v>0</v>
      </c>
      <c r="I441" s="209">
        <v>1</v>
      </c>
      <c r="J441" s="209">
        <v>0</v>
      </c>
      <c r="K441" s="209">
        <v>162</v>
      </c>
    </row>
    <row r="442" spans="1:11" ht="24.75" customHeight="1">
      <c r="A442" s="208">
        <v>42646</v>
      </c>
      <c r="B442" s="209" t="s">
        <v>529</v>
      </c>
      <c r="C442" s="226">
        <v>300009972233</v>
      </c>
      <c r="D442" s="272" t="s">
        <v>544</v>
      </c>
      <c r="E442" s="209">
        <v>0</v>
      </c>
      <c r="F442" s="209">
        <v>0</v>
      </c>
      <c r="G442" s="209">
        <v>0</v>
      </c>
      <c r="H442" s="209">
        <v>0</v>
      </c>
      <c r="I442" s="209">
        <v>0</v>
      </c>
      <c r="J442" s="209">
        <v>0</v>
      </c>
      <c r="K442" s="209">
        <v>4</v>
      </c>
    </row>
    <row r="443" spans="1:11" ht="24.75" customHeight="1">
      <c r="A443" s="208">
        <v>42646</v>
      </c>
      <c r="B443" s="209" t="s">
        <v>529</v>
      </c>
      <c r="C443" s="226">
        <v>300009190346</v>
      </c>
      <c r="D443" s="272" t="s">
        <v>528</v>
      </c>
      <c r="E443" s="209">
        <v>0</v>
      </c>
      <c r="F443" s="209">
        <v>0</v>
      </c>
      <c r="G443" s="209">
        <v>0</v>
      </c>
      <c r="H443" s="209">
        <v>0</v>
      </c>
      <c r="I443" s="209">
        <v>0</v>
      </c>
      <c r="J443" s="209">
        <v>0</v>
      </c>
      <c r="K443" s="209">
        <v>0</v>
      </c>
    </row>
    <row r="444" spans="1:11" ht="24.75" customHeight="1">
      <c r="A444" s="208">
        <v>42646</v>
      </c>
      <c r="B444" s="209" t="s">
        <v>529</v>
      </c>
      <c r="C444" s="226">
        <v>300009406202</v>
      </c>
      <c r="D444" s="272" t="s">
        <v>232</v>
      </c>
      <c r="E444" s="209">
        <v>0</v>
      </c>
      <c r="F444" s="209">
        <v>1</v>
      </c>
      <c r="G444" s="209">
        <v>0</v>
      </c>
      <c r="H444" s="209">
        <v>0</v>
      </c>
      <c r="I444" s="209">
        <v>1</v>
      </c>
      <c r="J444" s="209">
        <v>0</v>
      </c>
      <c r="K444" s="209">
        <v>0</v>
      </c>
    </row>
    <row r="445" spans="1:11" ht="24.75" customHeight="1">
      <c r="A445" s="208">
        <v>42646</v>
      </c>
      <c r="B445" s="209" t="s">
        <v>529</v>
      </c>
      <c r="C445" s="226">
        <v>300009406202</v>
      </c>
      <c r="D445" s="272" t="s">
        <v>232</v>
      </c>
      <c r="E445" s="209">
        <v>0</v>
      </c>
      <c r="F445" s="209">
        <v>1</v>
      </c>
      <c r="G445" s="209">
        <v>0</v>
      </c>
      <c r="H445" s="209">
        <v>0</v>
      </c>
      <c r="I445" s="209">
        <v>1</v>
      </c>
      <c r="J445" s="209">
        <v>0</v>
      </c>
      <c r="K445" s="209">
        <v>0</v>
      </c>
    </row>
    <row r="446" spans="1:11" ht="24.75" customHeight="1">
      <c r="A446" s="208">
        <v>42647</v>
      </c>
      <c r="B446" s="209" t="s">
        <v>529</v>
      </c>
      <c r="C446" s="226">
        <v>300009822212</v>
      </c>
      <c r="D446" s="272" t="s">
        <v>530</v>
      </c>
      <c r="E446" s="209">
        <v>7</v>
      </c>
      <c r="F446" s="209">
        <v>22</v>
      </c>
      <c r="G446" s="209">
        <v>0</v>
      </c>
      <c r="H446" s="209">
        <v>6</v>
      </c>
      <c r="I446" s="209">
        <v>2.59</v>
      </c>
      <c r="J446" s="209">
        <v>0.71</v>
      </c>
      <c r="K446" s="209">
        <v>85035</v>
      </c>
    </row>
    <row r="447" spans="1:11" ht="24.75" customHeight="1">
      <c r="A447" s="208">
        <v>42647</v>
      </c>
      <c r="B447" s="209" t="s">
        <v>529</v>
      </c>
      <c r="C447" s="226">
        <v>300009288265</v>
      </c>
      <c r="D447" s="272" t="s">
        <v>531</v>
      </c>
      <c r="E447" s="209">
        <v>8</v>
      </c>
      <c r="F447" s="209">
        <v>31</v>
      </c>
      <c r="G447" s="209">
        <v>1</v>
      </c>
      <c r="H447" s="209">
        <v>13</v>
      </c>
      <c r="I447" s="209">
        <v>7.79</v>
      </c>
      <c r="J447" s="209">
        <v>3.27</v>
      </c>
      <c r="K447" s="209">
        <v>39806</v>
      </c>
    </row>
    <row r="448" spans="1:11" ht="24.75" customHeight="1">
      <c r="A448" s="208">
        <v>42647</v>
      </c>
      <c r="B448" s="209" t="s">
        <v>529</v>
      </c>
      <c r="C448" s="226">
        <v>300009294244</v>
      </c>
      <c r="D448" s="272" t="s">
        <v>539</v>
      </c>
      <c r="E448" s="209">
        <v>2</v>
      </c>
      <c r="F448" s="209">
        <v>8</v>
      </c>
      <c r="G448" s="209">
        <v>0</v>
      </c>
      <c r="H448" s="209">
        <v>2</v>
      </c>
      <c r="I448" s="209">
        <v>3.39</v>
      </c>
      <c r="J448" s="209">
        <v>0.85</v>
      </c>
      <c r="K448" s="209">
        <v>23630.400000000001</v>
      </c>
    </row>
    <row r="449" spans="1:11" ht="24.75" customHeight="1">
      <c r="A449" s="208">
        <v>42647</v>
      </c>
      <c r="B449" s="209" t="s">
        <v>529</v>
      </c>
      <c r="C449" s="226">
        <v>300009208680</v>
      </c>
      <c r="D449" s="272" t="s">
        <v>532</v>
      </c>
      <c r="E449" s="209">
        <v>0</v>
      </c>
      <c r="F449" s="209">
        <v>4</v>
      </c>
      <c r="G449" s="209">
        <v>0</v>
      </c>
      <c r="H449" s="209">
        <v>2</v>
      </c>
      <c r="I449" s="209">
        <v>2.46</v>
      </c>
      <c r="J449" s="209">
        <v>1.23</v>
      </c>
      <c r="K449" s="209">
        <v>16255</v>
      </c>
    </row>
    <row r="450" spans="1:11" ht="24.75" customHeight="1">
      <c r="A450" s="208">
        <v>42647</v>
      </c>
      <c r="B450" s="209" t="s">
        <v>529</v>
      </c>
      <c r="C450" s="226">
        <v>300009208675</v>
      </c>
      <c r="D450" s="272" t="s">
        <v>535</v>
      </c>
      <c r="E450" s="209">
        <v>2</v>
      </c>
      <c r="F450" s="209">
        <v>2</v>
      </c>
      <c r="G450" s="209">
        <v>1</v>
      </c>
      <c r="H450" s="209">
        <v>1</v>
      </c>
      <c r="I450" s="209">
        <v>1.24</v>
      </c>
      <c r="J450" s="209">
        <v>0.62</v>
      </c>
      <c r="K450" s="209">
        <v>16113.4</v>
      </c>
    </row>
    <row r="451" spans="1:11" ht="24.75" customHeight="1">
      <c r="A451" s="208">
        <v>42647</v>
      </c>
      <c r="B451" s="209" t="s">
        <v>529</v>
      </c>
      <c r="C451" s="226">
        <v>300009197814</v>
      </c>
      <c r="D451" s="272" t="s">
        <v>533</v>
      </c>
      <c r="E451" s="209">
        <v>1</v>
      </c>
      <c r="F451" s="209">
        <v>1</v>
      </c>
      <c r="G451" s="209">
        <v>1</v>
      </c>
      <c r="H451" s="209">
        <v>1</v>
      </c>
      <c r="I451" s="209">
        <v>0.62</v>
      </c>
      <c r="J451" s="209">
        <v>0.62</v>
      </c>
      <c r="K451" s="209">
        <v>16054.3</v>
      </c>
    </row>
    <row r="452" spans="1:11" ht="24.75" customHeight="1">
      <c r="A452" s="208">
        <v>42647</v>
      </c>
      <c r="B452" s="209" t="s">
        <v>529</v>
      </c>
      <c r="C452" s="226">
        <v>300009249957</v>
      </c>
      <c r="D452" s="272" t="s">
        <v>537</v>
      </c>
      <c r="E452" s="209">
        <v>0</v>
      </c>
      <c r="F452" s="209">
        <v>1</v>
      </c>
      <c r="G452" s="209">
        <v>0</v>
      </c>
      <c r="H452" s="209">
        <v>1</v>
      </c>
      <c r="I452" s="209">
        <v>0.65</v>
      </c>
      <c r="J452" s="209">
        <v>0.65</v>
      </c>
      <c r="K452" s="209">
        <v>15453</v>
      </c>
    </row>
    <row r="453" spans="1:11" ht="24.75" customHeight="1">
      <c r="A453" s="208">
        <v>42647</v>
      </c>
      <c r="B453" s="209" t="s">
        <v>529</v>
      </c>
      <c r="C453" s="226">
        <v>300009290227</v>
      </c>
      <c r="D453" s="272" t="s">
        <v>534</v>
      </c>
      <c r="E453" s="209">
        <v>1</v>
      </c>
      <c r="F453" s="209">
        <v>9</v>
      </c>
      <c r="G453" s="209">
        <v>0</v>
      </c>
      <c r="H453" s="209">
        <v>4</v>
      </c>
      <c r="I453" s="209">
        <v>7.1</v>
      </c>
      <c r="J453" s="209">
        <v>3.16</v>
      </c>
      <c r="K453" s="209">
        <v>12670.1</v>
      </c>
    </row>
    <row r="454" spans="1:11" ht="24.75" customHeight="1">
      <c r="A454" s="208">
        <v>42647</v>
      </c>
      <c r="B454" s="209" t="s">
        <v>529</v>
      </c>
      <c r="C454" s="226">
        <v>300009212855</v>
      </c>
      <c r="D454" s="272" t="s">
        <v>536</v>
      </c>
      <c r="E454" s="209">
        <v>0</v>
      </c>
      <c r="F454" s="209">
        <v>8</v>
      </c>
      <c r="G454" s="209">
        <v>0</v>
      </c>
      <c r="H454" s="209">
        <v>3</v>
      </c>
      <c r="I454" s="209">
        <v>8</v>
      </c>
      <c r="J454" s="209">
        <v>3</v>
      </c>
      <c r="K454" s="209">
        <v>9954</v>
      </c>
    </row>
    <row r="455" spans="1:11" ht="24.75" customHeight="1">
      <c r="A455" s="208">
        <v>42647</v>
      </c>
      <c r="B455" s="209" t="s">
        <v>529</v>
      </c>
      <c r="C455" s="226">
        <v>300009190385</v>
      </c>
      <c r="D455" s="272" t="s">
        <v>538</v>
      </c>
      <c r="E455" s="209">
        <v>0</v>
      </c>
      <c r="F455" s="209">
        <v>7</v>
      </c>
      <c r="G455" s="209">
        <v>0</v>
      </c>
      <c r="H455" s="209">
        <v>2</v>
      </c>
      <c r="I455" s="209">
        <v>7</v>
      </c>
      <c r="J455" s="209">
        <v>2</v>
      </c>
      <c r="K455" s="209">
        <v>9948</v>
      </c>
    </row>
    <row r="456" spans="1:11" ht="24.75" customHeight="1">
      <c r="A456" s="208">
        <v>42647</v>
      </c>
      <c r="B456" s="209" t="s">
        <v>529</v>
      </c>
      <c r="C456" s="226">
        <v>300008467005</v>
      </c>
      <c r="D456" s="272" t="s">
        <v>540</v>
      </c>
      <c r="E456" s="209">
        <v>0</v>
      </c>
      <c r="F456" s="209">
        <v>13</v>
      </c>
      <c r="G456" s="209">
        <v>0</v>
      </c>
      <c r="H456" s="209">
        <v>6</v>
      </c>
      <c r="I456" s="209">
        <v>13</v>
      </c>
      <c r="J456" s="209">
        <v>6</v>
      </c>
      <c r="K456" s="209">
        <v>5649.1</v>
      </c>
    </row>
    <row r="457" spans="1:11" ht="24.75" customHeight="1">
      <c r="A457" s="208">
        <v>42647</v>
      </c>
      <c r="B457" s="209" t="s">
        <v>529</v>
      </c>
      <c r="C457" s="226">
        <v>300009190343</v>
      </c>
      <c r="D457" s="272" t="s">
        <v>541</v>
      </c>
      <c r="E457" s="209">
        <v>0</v>
      </c>
      <c r="F457" s="209">
        <v>3</v>
      </c>
      <c r="G457" s="209">
        <v>0</v>
      </c>
      <c r="H457" s="209">
        <v>0</v>
      </c>
      <c r="I457" s="209">
        <v>3</v>
      </c>
      <c r="J457" s="209">
        <v>0</v>
      </c>
      <c r="K457" s="209">
        <v>4608.01</v>
      </c>
    </row>
    <row r="458" spans="1:11" ht="24.75" customHeight="1">
      <c r="A458" s="208">
        <v>42647</v>
      </c>
      <c r="B458" s="209" t="s">
        <v>529</v>
      </c>
      <c r="C458" s="226">
        <v>300009232016</v>
      </c>
      <c r="D458" s="272" t="s">
        <v>499</v>
      </c>
      <c r="E458" s="209">
        <v>0</v>
      </c>
      <c r="F458" s="209">
        <v>0</v>
      </c>
      <c r="G458" s="209">
        <v>0</v>
      </c>
      <c r="H458" s="209">
        <v>0</v>
      </c>
      <c r="I458" s="209">
        <v>0</v>
      </c>
      <c r="J458" s="209">
        <v>0</v>
      </c>
      <c r="K458" s="209">
        <v>3911.58</v>
      </c>
    </row>
    <row r="459" spans="1:11" ht="24.75" customHeight="1">
      <c r="A459" s="208">
        <v>42647</v>
      </c>
      <c r="B459" s="209" t="s">
        <v>529</v>
      </c>
      <c r="C459" s="226">
        <v>300009197635</v>
      </c>
      <c r="D459" s="272" t="s">
        <v>282</v>
      </c>
      <c r="E459" s="209">
        <v>0</v>
      </c>
      <c r="F459" s="209">
        <v>0</v>
      </c>
      <c r="G459" s="209">
        <v>0</v>
      </c>
      <c r="H459" s="209">
        <v>0</v>
      </c>
      <c r="I459" s="209">
        <v>0</v>
      </c>
      <c r="J459" s="209">
        <v>0</v>
      </c>
      <c r="K459" s="209">
        <v>3422.53</v>
      </c>
    </row>
    <row r="460" spans="1:11" ht="24.75" customHeight="1">
      <c r="A460" s="208">
        <v>42647</v>
      </c>
      <c r="B460" s="209" t="s">
        <v>529</v>
      </c>
      <c r="C460" s="226">
        <v>300009211922</v>
      </c>
      <c r="D460" s="209" t="s">
        <v>523</v>
      </c>
      <c r="E460" s="209">
        <v>0</v>
      </c>
      <c r="F460" s="209">
        <v>0</v>
      </c>
      <c r="G460" s="209">
        <v>0</v>
      </c>
      <c r="H460" s="209">
        <v>0</v>
      </c>
      <c r="I460" s="209">
        <v>0</v>
      </c>
      <c r="J460" s="209">
        <v>0</v>
      </c>
      <c r="K460" s="209">
        <v>383</v>
      </c>
    </row>
    <row r="461" spans="1:11" ht="24.75" customHeight="1">
      <c r="A461" s="208">
        <v>42647</v>
      </c>
      <c r="B461" s="209" t="s">
        <v>529</v>
      </c>
      <c r="C461" s="226">
        <v>300009328320</v>
      </c>
      <c r="D461" s="272" t="s">
        <v>543</v>
      </c>
      <c r="E461" s="209">
        <v>0</v>
      </c>
      <c r="F461" s="209">
        <v>1</v>
      </c>
      <c r="G461" s="209">
        <v>0</v>
      </c>
      <c r="H461" s="209">
        <v>0</v>
      </c>
      <c r="I461" s="209">
        <v>1</v>
      </c>
      <c r="J461" s="209">
        <v>0</v>
      </c>
      <c r="K461" s="209">
        <v>242</v>
      </c>
    </row>
    <row r="462" spans="1:11" ht="24.75" customHeight="1">
      <c r="A462" s="208">
        <v>42647</v>
      </c>
      <c r="B462" s="209" t="s">
        <v>529</v>
      </c>
      <c r="C462" s="226">
        <v>300009240032</v>
      </c>
      <c r="D462" s="272" t="s">
        <v>542</v>
      </c>
      <c r="E462" s="209">
        <v>0</v>
      </c>
      <c r="F462" s="209">
        <v>0</v>
      </c>
      <c r="G462" s="209">
        <v>0</v>
      </c>
      <c r="H462" s="209">
        <v>0</v>
      </c>
      <c r="I462" s="209">
        <v>0</v>
      </c>
      <c r="J462" s="209">
        <v>0</v>
      </c>
      <c r="K462" s="209">
        <v>180</v>
      </c>
    </row>
    <row r="463" spans="1:11" ht="24.75" customHeight="1">
      <c r="A463" s="208">
        <v>42647</v>
      </c>
      <c r="B463" s="209" t="s">
        <v>529</v>
      </c>
      <c r="C463" s="226">
        <v>300009972233</v>
      </c>
      <c r="D463" s="272" t="s">
        <v>544</v>
      </c>
      <c r="E463" s="209">
        <v>0</v>
      </c>
      <c r="F463" s="209">
        <v>1</v>
      </c>
      <c r="G463" s="209">
        <v>0</v>
      </c>
      <c r="H463" s="209">
        <v>1</v>
      </c>
      <c r="I463" s="209">
        <v>1</v>
      </c>
      <c r="J463" s="209">
        <v>1</v>
      </c>
      <c r="K463" s="209">
        <v>6</v>
      </c>
    </row>
    <row r="464" spans="1:11" ht="24.75" customHeight="1">
      <c r="A464" s="208">
        <v>42647</v>
      </c>
      <c r="B464" s="209" t="s">
        <v>529</v>
      </c>
      <c r="C464" s="226">
        <v>300009003496</v>
      </c>
      <c r="D464" s="272" t="s">
        <v>546</v>
      </c>
      <c r="E464" s="209">
        <v>0</v>
      </c>
      <c r="F464" s="209">
        <v>0</v>
      </c>
      <c r="G464" s="209" t="s">
        <v>242</v>
      </c>
      <c r="H464" s="209" t="s">
        <v>242</v>
      </c>
      <c r="I464" s="209">
        <v>0</v>
      </c>
      <c r="J464" s="209" t="s">
        <v>242</v>
      </c>
      <c r="K464" s="209">
        <v>0</v>
      </c>
    </row>
    <row r="465" spans="1:11" ht="24.75" customHeight="1">
      <c r="A465" s="208">
        <v>42647</v>
      </c>
      <c r="B465" s="209" t="s">
        <v>529</v>
      </c>
      <c r="C465" s="226">
        <v>300009288214</v>
      </c>
      <c r="D465" s="272" t="s">
        <v>547</v>
      </c>
      <c r="E465" s="209">
        <v>1</v>
      </c>
      <c r="F465" s="209">
        <v>1</v>
      </c>
      <c r="G465" s="209">
        <v>1</v>
      </c>
      <c r="H465" s="209">
        <v>1</v>
      </c>
      <c r="I465" s="209">
        <v>1</v>
      </c>
      <c r="J465" s="209">
        <v>1</v>
      </c>
      <c r="K465" s="209">
        <v>0</v>
      </c>
    </row>
    <row r="466" spans="1:11" ht="24.75" customHeight="1">
      <c r="A466" s="208">
        <v>42647</v>
      </c>
      <c r="B466" s="209" t="s">
        <v>529</v>
      </c>
      <c r="C466" s="226">
        <v>300009191923</v>
      </c>
      <c r="D466" s="272" t="s">
        <v>545</v>
      </c>
      <c r="E466" s="209">
        <v>0</v>
      </c>
      <c r="F466" s="209">
        <v>0</v>
      </c>
      <c r="G466" s="209">
        <v>0</v>
      </c>
      <c r="H466" s="209">
        <v>0</v>
      </c>
      <c r="I466" s="209">
        <v>0</v>
      </c>
      <c r="J466" s="209">
        <v>0</v>
      </c>
      <c r="K466" s="209">
        <v>0</v>
      </c>
    </row>
    <row r="467" spans="1:11" ht="24.75" customHeight="1">
      <c r="A467" s="208">
        <v>42647</v>
      </c>
      <c r="B467" s="209" t="s">
        <v>529</v>
      </c>
      <c r="C467" s="226">
        <v>300009288214</v>
      </c>
      <c r="D467" s="272" t="s">
        <v>547</v>
      </c>
      <c r="E467" s="209">
        <v>1</v>
      </c>
      <c r="F467" s="209">
        <v>1</v>
      </c>
      <c r="G467" s="209">
        <v>1</v>
      </c>
      <c r="H467" s="209">
        <v>1</v>
      </c>
      <c r="I467" s="209">
        <v>1</v>
      </c>
      <c r="J467" s="209">
        <v>1</v>
      </c>
      <c r="K467" s="209">
        <v>0</v>
      </c>
    </row>
    <row r="468" spans="1:11" ht="24.75" customHeight="1">
      <c r="A468" s="208">
        <v>42647</v>
      </c>
      <c r="B468" s="209" t="s">
        <v>529</v>
      </c>
      <c r="C468" s="226">
        <v>300009406202</v>
      </c>
      <c r="D468" s="272" t="s">
        <v>232</v>
      </c>
      <c r="E468" s="209">
        <v>0</v>
      </c>
      <c r="F468" s="209">
        <v>1</v>
      </c>
      <c r="G468" s="209">
        <v>0</v>
      </c>
      <c r="H468" s="209">
        <v>0</v>
      </c>
      <c r="I468" s="209">
        <v>1</v>
      </c>
      <c r="J468" s="209">
        <v>0</v>
      </c>
      <c r="K468" s="209">
        <v>0</v>
      </c>
    </row>
    <row r="469" spans="1:11" ht="24.75" customHeight="1">
      <c r="A469" s="208">
        <v>42648</v>
      </c>
      <c r="B469" s="209" t="s">
        <v>529</v>
      </c>
      <c r="C469" s="226">
        <v>300009822212</v>
      </c>
      <c r="D469" s="272" t="s">
        <v>530</v>
      </c>
      <c r="E469" s="209">
        <v>22</v>
      </c>
      <c r="F469" s="209">
        <v>45</v>
      </c>
      <c r="G469" s="209">
        <v>4</v>
      </c>
      <c r="H469" s="209">
        <v>10</v>
      </c>
      <c r="I469" s="209">
        <v>3.73</v>
      </c>
      <c r="J469" s="209">
        <v>0.83</v>
      </c>
      <c r="K469" s="209">
        <v>120488</v>
      </c>
    </row>
    <row r="470" spans="1:11" ht="24.75" customHeight="1">
      <c r="A470" s="208">
        <v>42648</v>
      </c>
      <c r="B470" s="209" t="s">
        <v>529</v>
      </c>
      <c r="C470" s="226">
        <v>300009288265</v>
      </c>
      <c r="D470" s="272" t="s">
        <v>531</v>
      </c>
      <c r="E470" s="209">
        <v>7</v>
      </c>
      <c r="F470" s="209">
        <v>39</v>
      </c>
      <c r="G470" s="209">
        <v>2</v>
      </c>
      <c r="H470" s="209">
        <v>15</v>
      </c>
      <c r="I470" s="209">
        <v>8.81</v>
      </c>
      <c r="J470" s="209">
        <v>3.39</v>
      </c>
      <c r="K470" s="209">
        <v>44244</v>
      </c>
    </row>
    <row r="471" spans="1:11" ht="24.75" customHeight="1">
      <c r="A471" s="208">
        <v>42648</v>
      </c>
      <c r="B471" s="209" t="s">
        <v>529</v>
      </c>
      <c r="C471" s="226">
        <v>300009294244</v>
      </c>
      <c r="D471" s="272" t="s">
        <v>539</v>
      </c>
      <c r="E471" s="209">
        <v>0</v>
      </c>
      <c r="F471" s="209">
        <v>9</v>
      </c>
      <c r="G471" s="209">
        <v>0</v>
      </c>
      <c r="H471" s="209">
        <v>2</v>
      </c>
      <c r="I471" s="209">
        <v>3.26</v>
      </c>
      <c r="J471" s="209">
        <v>0.72</v>
      </c>
      <c r="K471" s="209">
        <v>27622.400000000001</v>
      </c>
    </row>
    <row r="472" spans="1:11" ht="24.75" customHeight="1">
      <c r="A472" s="208">
        <v>42648</v>
      </c>
      <c r="B472" s="209" t="s">
        <v>529</v>
      </c>
      <c r="C472" s="226">
        <v>300009208675</v>
      </c>
      <c r="D472" s="272" t="s">
        <v>535</v>
      </c>
      <c r="E472" s="209">
        <v>1</v>
      </c>
      <c r="F472" s="209">
        <v>3</v>
      </c>
      <c r="G472" s="209">
        <v>0</v>
      </c>
      <c r="H472" s="209">
        <v>1</v>
      </c>
      <c r="I472" s="209">
        <v>1.61</v>
      </c>
      <c r="J472" s="209">
        <v>0.54</v>
      </c>
      <c r="K472" s="209">
        <v>18580.5</v>
      </c>
    </row>
    <row r="473" spans="1:11" ht="24.75" customHeight="1">
      <c r="A473" s="208">
        <v>42648</v>
      </c>
      <c r="B473" s="209" t="s">
        <v>529</v>
      </c>
      <c r="C473" s="226">
        <v>300009197814</v>
      </c>
      <c r="D473" s="272" t="s">
        <v>533</v>
      </c>
      <c r="E473" s="209">
        <v>4</v>
      </c>
      <c r="F473" s="209">
        <v>5</v>
      </c>
      <c r="G473" s="209">
        <v>3</v>
      </c>
      <c r="H473" s="209">
        <v>5</v>
      </c>
      <c r="I473" s="209">
        <v>2.78</v>
      </c>
      <c r="J473" s="209">
        <v>2.78</v>
      </c>
      <c r="K473" s="209">
        <v>17994.400000000001</v>
      </c>
    </row>
    <row r="474" spans="1:11" ht="24.75" customHeight="1">
      <c r="A474" s="208">
        <v>42648</v>
      </c>
      <c r="B474" s="209" t="s">
        <v>529</v>
      </c>
      <c r="C474" s="226">
        <v>300009208680</v>
      </c>
      <c r="D474" s="272" t="s">
        <v>532</v>
      </c>
      <c r="E474" s="209">
        <v>2</v>
      </c>
      <c r="F474" s="209">
        <v>6</v>
      </c>
      <c r="G474" s="209">
        <v>0</v>
      </c>
      <c r="H474" s="209">
        <v>2</v>
      </c>
      <c r="I474" s="209">
        <v>3.34</v>
      </c>
      <c r="J474" s="209">
        <v>1.1100000000000001</v>
      </c>
      <c r="K474" s="209">
        <v>17983.099999999999</v>
      </c>
    </row>
    <row r="475" spans="1:11" ht="24.75" customHeight="1">
      <c r="A475" s="208">
        <v>42648</v>
      </c>
      <c r="B475" s="209" t="s">
        <v>529</v>
      </c>
      <c r="C475" s="226">
        <v>300009249957</v>
      </c>
      <c r="D475" s="272" t="s">
        <v>537</v>
      </c>
      <c r="E475" s="209">
        <v>1</v>
      </c>
      <c r="F475" s="209">
        <v>2</v>
      </c>
      <c r="G475" s="209">
        <v>1</v>
      </c>
      <c r="H475" s="209">
        <v>2</v>
      </c>
      <c r="I475" s="209">
        <v>1.1599999999999999</v>
      </c>
      <c r="J475" s="209">
        <v>1.1599999999999999</v>
      </c>
      <c r="K475" s="209">
        <v>17276.009999999998</v>
      </c>
    </row>
    <row r="476" spans="1:11" ht="24.75" customHeight="1">
      <c r="A476" s="208">
        <v>42648</v>
      </c>
      <c r="B476" s="209" t="s">
        <v>529</v>
      </c>
      <c r="C476" s="226">
        <v>300009290227</v>
      </c>
      <c r="D476" s="272" t="s">
        <v>534</v>
      </c>
      <c r="E476" s="209">
        <v>1</v>
      </c>
      <c r="F476" s="209">
        <v>10</v>
      </c>
      <c r="G476" s="209">
        <v>0</v>
      </c>
      <c r="H476" s="209">
        <v>5</v>
      </c>
      <c r="I476" s="209">
        <v>7.44</v>
      </c>
      <c r="J476" s="209">
        <v>3.72</v>
      </c>
      <c r="K476" s="209">
        <v>13440.1</v>
      </c>
    </row>
    <row r="477" spans="1:11" ht="24.75" customHeight="1">
      <c r="A477" s="208">
        <v>42648</v>
      </c>
      <c r="B477" s="209" t="s">
        <v>529</v>
      </c>
      <c r="C477" s="226">
        <v>300009212855</v>
      </c>
      <c r="D477" s="272" t="s">
        <v>536</v>
      </c>
      <c r="E477" s="209">
        <v>0</v>
      </c>
      <c r="F477" s="209">
        <v>8</v>
      </c>
      <c r="G477" s="209">
        <v>0</v>
      </c>
      <c r="H477" s="209">
        <v>3</v>
      </c>
      <c r="I477" s="209">
        <v>8</v>
      </c>
      <c r="J477" s="209">
        <v>3</v>
      </c>
      <c r="K477" s="209">
        <v>9954</v>
      </c>
    </row>
    <row r="478" spans="1:11" ht="24.75" customHeight="1">
      <c r="A478" s="208">
        <v>42648</v>
      </c>
      <c r="B478" s="209" t="s">
        <v>529</v>
      </c>
      <c r="C478" s="226">
        <v>300009190385</v>
      </c>
      <c r="D478" s="272" t="s">
        <v>538</v>
      </c>
      <c r="E478" s="209">
        <v>0</v>
      </c>
      <c r="F478" s="209">
        <v>7</v>
      </c>
      <c r="G478" s="209">
        <v>0</v>
      </c>
      <c r="H478" s="209">
        <v>2</v>
      </c>
      <c r="I478" s="209">
        <v>7</v>
      </c>
      <c r="J478" s="209">
        <v>2</v>
      </c>
      <c r="K478" s="209">
        <v>9950</v>
      </c>
    </row>
    <row r="479" spans="1:11" ht="24.75" customHeight="1">
      <c r="A479" s="208">
        <v>42648</v>
      </c>
      <c r="B479" s="209" t="s">
        <v>529</v>
      </c>
      <c r="C479" s="226">
        <v>300009197635</v>
      </c>
      <c r="D479" s="272" t="s">
        <v>282</v>
      </c>
      <c r="E479" s="209">
        <v>1</v>
      </c>
      <c r="F479" s="209">
        <v>1</v>
      </c>
      <c r="G479" s="209">
        <v>1</v>
      </c>
      <c r="H479" s="209">
        <v>1</v>
      </c>
      <c r="I479" s="209">
        <v>1</v>
      </c>
      <c r="J479" s="209">
        <v>1</v>
      </c>
      <c r="K479" s="209">
        <v>6584.08</v>
      </c>
    </row>
    <row r="480" spans="1:11" ht="24.75" customHeight="1">
      <c r="A480" s="208">
        <v>42648</v>
      </c>
      <c r="B480" s="209" t="s">
        <v>529</v>
      </c>
      <c r="C480" s="226">
        <v>300009232016</v>
      </c>
      <c r="D480" s="272" t="s">
        <v>499</v>
      </c>
      <c r="E480" s="209">
        <v>0</v>
      </c>
      <c r="F480" s="209">
        <v>0</v>
      </c>
      <c r="G480" s="209">
        <v>0</v>
      </c>
      <c r="H480" s="209">
        <v>0</v>
      </c>
      <c r="I480" s="209">
        <v>0</v>
      </c>
      <c r="J480" s="209">
        <v>0</v>
      </c>
      <c r="K480" s="209">
        <v>6372.69</v>
      </c>
    </row>
    <row r="481" spans="1:11" ht="24.75" customHeight="1">
      <c r="A481" s="208">
        <v>42648</v>
      </c>
      <c r="B481" s="209" t="s">
        <v>529</v>
      </c>
      <c r="C481" s="226">
        <v>300008467005</v>
      </c>
      <c r="D481" s="272" t="s">
        <v>540</v>
      </c>
      <c r="E481" s="209">
        <v>0</v>
      </c>
      <c r="F481" s="209">
        <v>13</v>
      </c>
      <c r="G481" s="209">
        <v>0</v>
      </c>
      <c r="H481" s="209">
        <v>6</v>
      </c>
      <c r="I481" s="209">
        <v>13</v>
      </c>
      <c r="J481" s="209">
        <v>6</v>
      </c>
      <c r="K481" s="209">
        <v>5649.1</v>
      </c>
    </row>
    <row r="482" spans="1:11" ht="24.75" customHeight="1">
      <c r="A482" s="208">
        <v>42648</v>
      </c>
      <c r="B482" s="209" t="s">
        <v>529</v>
      </c>
      <c r="C482" s="226">
        <v>300009190343</v>
      </c>
      <c r="D482" s="272" t="s">
        <v>541</v>
      </c>
      <c r="E482" s="209">
        <v>0</v>
      </c>
      <c r="F482" s="209">
        <v>3</v>
      </c>
      <c r="G482" s="209">
        <v>0</v>
      </c>
      <c r="H482" s="209">
        <v>0</v>
      </c>
      <c r="I482" s="209">
        <v>3</v>
      </c>
      <c r="J482" s="209">
        <v>0</v>
      </c>
      <c r="K482" s="209">
        <v>4784.01</v>
      </c>
    </row>
    <row r="483" spans="1:11" ht="24.75" customHeight="1">
      <c r="A483" s="208">
        <v>42648</v>
      </c>
      <c r="B483" s="209" t="s">
        <v>529</v>
      </c>
      <c r="C483" s="226">
        <v>300009211922</v>
      </c>
      <c r="D483" s="209" t="s">
        <v>523</v>
      </c>
      <c r="E483" s="209">
        <v>0</v>
      </c>
      <c r="F483" s="209">
        <v>0</v>
      </c>
      <c r="G483" s="209">
        <v>0</v>
      </c>
      <c r="H483" s="209">
        <v>0</v>
      </c>
      <c r="I483" s="209">
        <v>0</v>
      </c>
      <c r="J483" s="209">
        <v>0</v>
      </c>
      <c r="K483" s="209">
        <v>421</v>
      </c>
    </row>
    <row r="484" spans="1:11" ht="24.75" customHeight="1">
      <c r="A484" s="208">
        <v>42648</v>
      </c>
      <c r="B484" s="209" t="s">
        <v>529</v>
      </c>
      <c r="C484" s="226">
        <v>300009328320</v>
      </c>
      <c r="D484" s="272" t="s">
        <v>543</v>
      </c>
      <c r="E484" s="209">
        <v>0</v>
      </c>
      <c r="F484" s="209">
        <v>1</v>
      </c>
      <c r="G484" s="209">
        <v>0</v>
      </c>
      <c r="H484" s="209">
        <v>0</v>
      </c>
      <c r="I484" s="209">
        <v>1</v>
      </c>
      <c r="J484" s="209">
        <v>0</v>
      </c>
      <c r="K484" s="209">
        <v>334</v>
      </c>
    </row>
    <row r="485" spans="1:11" ht="24.75" customHeight="1">
      <c r="A485" s="208">
        <v>42648</v>
      </c>
      <c r="B485" s="209" t="s">
        <v>529</v>
      </c>
      <c r="C485" s="226">
        <v>300009240032</v>
      </c>
      <c r="D485" s="272" t="s">
        <v>542</v>
      </c>
      <c r="E485" s="209">
        <v>0</v>
      </c>
      <c r="F485" s="209">
        <v>0</v>
      </c>
      <c r="G485" s="209">
        <v>0</v>
      </c>
      <c r="H485" s="209">
        <v>0</v>
      </c>
      <c r="I485" s="209">
        <v>0</v>
      </c>
      <c r="J485" s="209">
        <v>0</v>
      </c>
      <c r="K485" s="209">
        <v>180</v>
      </c>
    </row>
    <row r="486" spans="1:11" ht="24.75" customHeight="1">
      <c r="A486" s="208">
        <v>42648</v>
      </c>
      <c r="B486" s="209" t="s">
        <v>529</v>
      </c>
      <c r="C486" s="226">
        <v>300009972233</v>
      </c>
      <c r="D486" s="272" t="s">
        <v>544</v>
      </c>
      <c r="E486" s="209">
        <v>0</v>
      </c>
      <c r="F486" s="209">
        <v>1</v>
      </c>
      <c r="G486" s="209">
        <v>0</v>
      </c>
      <c r="H486" s="209">
        <v>1</v>
      </c>
      <c r="I486" s="209">
        <v>1</v>
      </c>
      <c r="J486" s="209">
        <v>1</v>
      </c>
      <c r="K486" s="209">
        <v>6</v>
      </c>
    </row>
    <row r="487" spans="1:11" ht="24.75" customHeight="1">
      <c r="A487" s="208">
        <v>42648</v>
      </c>
      <c r="B487" s="209" t="s">
        <v>529</v>
      </c>
      <c r="C487" s="226">
        <v>300009003496</v>
      </c>
      <c r="D487" s="272" t="s">
        <v>546</v>
      </c>
      <c r="E487" s="209">
        <v>0</v>
      </c>
      <c r="F487" s="209">
        <v>0</v>
      </c>
      <c r="G487" s="209" t="s">
        <v>242</v>
      </c>
      <c r="H487" s="209" t="s">
        <v>242</v>
      </c>
      <c r="I487" s="209">
        <v>0</v>
      </c>
      <c r="J487" s="209" t="s">
        <v>242</v>
      </c>
      <c r="K487" s="209">
        <v>0</v>
      </c>
    </row>
    <row r="488" spans="1:11" ht="24.75" customHeight="1">
      <c r="A488" s="208">
        <v>42648</v>
      </c>
      <c r="B488" s="209" t="s">
        <v>529</v>
      </c>
      <c r="C488" s="226">
        <v>300009288214</v>
      </c>
      <c r="D488" s="272" t="s">
        <v>547</v>
      </c>
      <c r="E488" s="209">
        <v>0</v>
      </c>
      <c r="F488" s="209">
        <v>1</v>
      </c>
      <c r="G488" s="209">
        <v>0</v>
      </c>
      <c r="H488" s="209">
        <v>1</v>
      </c>
      <c r="I488" s="209">
        <v>1</v>
      </c>
      <c r="J488" s="209">
        <v>1</v>
      </c>
      <c r="K488" s="209">
        <v>0</v>
      </c>
    </row>
    <row r="489" spans="1:11" ht="24.75" customHeight="1">
      <c r="A489" s="208">
        <v>42648</v>
      </c>
      <c r="B489" s="209" t="s">
        <v>529</v>
      </c>
      <c r="C489" s="226">
        <v>300009191923</v>
      </c>
      <c r="D489" s="272" t="s">
        <v>545</v>
      </c>
      <c r="E489" s="209">
        <v>0</v>
      </c>
      <c r="F489" s="209">
        <v>0</v>
      </c>
      <c r="G489" s="209">
        <v>0</v>
      </c>
      <c r="H489" s="209">
        <v>0</v>
      </c>
      <c r="I489" s="209">
        <v>0</v>
      </c>
      <c r="J489" s="209">
        <v>0</v>
      </c>
      <c r="K489" s="209">
        <v>0</v>
      </c>
    </row>
    <row r="490" spans="1:11" ht="24.75" customHeight="1">
      <c r="A490" s="208">
        <v>42648</v>
      </c>
      <c r="B490" s="209" t="s">
        <v>529</v>
      </c>
      <c r="C490" s="226">
        <v>300009288214</v>
      </c>
      <c r="D490" s="272" t="s">
        <v>547</v>
      </c>
      <c r="E490" s="209">
        <v>0</v>
      </c>
      <c r="F490" s="209">
        <v>1</v>
      </c>
      <c r="G490" s="209">
        <v>0</v>
      </c>
      <c r="H490" s="209">
        <v>1</v>
      </c>
      <c r="I490" s="209">
        <v>1</v>
      </c>
      <c r="J490" s="209">
        <v>1</v>
      </c>
      <c r="K490" s="209">
        <v>0</v>
      </c>
    </row>
    <row r="491" spans="1:11" ht="24.75" customHeight="1">
      <c r="A491" s="208">
        <v>42648</v>
      </c>
      <c r="B491" s="209" t="s">
        <v>529</v>
      </c>
      <c r="C491" s="226">
        <v>300009406202</v>
      </c>
      <c r="D491" s="272" t="s">
        <v>232</v>
      </c>
      <c r="E491" s="209">
        <v>0</v>
      </c>
      <c r="F491" s="209">
        <v>1</v>
      </c>
      <c r="G491" s="209">
        <v>0</v>
      </c>
      <c r="H491" s="209">
        <v>0</v>
      </c>
      <c r="I491" s="209">
        <v>1</v>
      </c>
      <c r="J491" s="209">
        <v>0</v>
      </c>
      <c r="K491" s="209">
        <v>0</v>
      </c>
    </row>
    <row r="492" spans="1:11" ht="24.75" customHeight="1">
      <c r="A492" s="208">
        <v>42649</v>
      </c>
      <c r="B492" s="209" t="s">
        <v>529</v>
      </c>
      <c r="C492" s="226">
        <v>300009822212</v>
      </c>
      <c r="D492" s="272" t="s">
        <v>530</v>
      </c>
      <c r="E492" s="209">
        <v>23</v>
      </c>
      <c r="F492" s="209">
        <v>68</v>
      </c>
      <c r="G492" s="209">
        <v>8</v>
      </c>
      <c r="H492" s="209">
        <v>18</v>
      </c>
      <c r="I492" s="209">
        <v>4.5199999999999996</v>
      </c>
      <c r="J492" s="209">
        <v>1.2</v>
      </c>
      <c r="K492" s="209">
        <v>150550</v>
      </c>
    </row>
    <row r="493" spans="1:11" ht="24.75" customHeight="1">
      <c r="A493" s="208">
        <v>42649</v>
      </c>
      <c r="B493" s="209" t="s">
        <v>529</v>
      </c>
      <c r="C493" s="226">
        <v>300009288265</v>
      </c>
      <c r="D493" s="272" t="s">
        <v>531</v>
      </c>
      <c r="E493" s="209">
        <v>5</v>
      </c>
      <c r="F493" s="209">
        <v>44</v>
      </c>
      <c r="G493" s="209">
        <v>2</v>
      </c>
      <c r="H493" s="209">
        <v>17</v>
      </c>
      <c r="I493" s="209">
        <v>9.16</v>
      </c>
      <c r="J493" s="209">
        <v>3.54</v>
      </c>
      <c r="K493" s="209">
        <v>48042</v>
      </c>
    </row>
    <row r="494" spans="1:11" ht="24.75" customHeight="1">
      <c r="A494" s="208">
        <v>42649</v>
      </c>
      <c r="B494" s="209" t="s">
        <v>529</v>
      </c>
      <c r="C494" s="226">
        <v>300009294244</v>
      </c>
      <c r="D494" s="272" t="s">
        <v>539</v>
      </c>
      <c r="E494" s="209">
        <v>0</v>
      </c>
      <c r="F494" s="209">
        <v>9</v>
      </c>
      <c r="G494" s="209">
        <v>0</v>
      </c>
      <c r="H494" s="209">
        <v>2</v>
      </c>
      <c r="I494" s="209">
        <v>2.82</v>
      </c>
      <c r="J494" s="209">
        <v>0.63</v>
      </c>
      <c r="K494" s="209">
        <v>31910.400000000001</v>
      </c>
    </row>
    <row r="495" spans="1:11" ht="24.75" customHeight="1">
      <c r="A495" s="208">
        <v>42649</v>
      </c>
      <c r="B495" s="209" t="s">
        <v>529</v>
      </c>
      <c r="C495" s="226">
        <v>300009208675</v>
      </c>
      <c r="D495" s="272" t="s">
        <v>535</v>
      </c>
      <c r="E495" s="209">
        <v>2</v>
      </c>
      <c r="F495" s="209">
        <v>5</v>
      </c>
      <c r="G495" s="209">
        <v>1</v>
      </c>
      <c r="H495" s="209">
        <v>2</v>
      </c>
      <c r="I495" s="209">
        <v>2.35</v>
      </c>
      <c r="J495" s="209">
        <v>0.94</v>
      </c>
      <c r="K495" s="209">
        <v>21273.7</v>
      </c>
    </row>
    <row r="496" spans="1:11" ht="24.75" customHeight="1">
      <c r="A496" s="208">
        <v>42649</v>
      </c>
      <c r="B496" s="209" t="s">
        <v>529</v>
      </c>
      <c r="C496" s="226">
        <v>300009208680</v>
      </c>
      <c r="D496" s="272" t="s">
        <v>532</v>
      </c>
      <c r="E496" s="209">
        <v>1</v>
      </c>
      <c r="F496" s="209">
        <v>7</v>
      </c>
      <c r="G496" s="209">
        <v>0</v>
      </c>
      <c r="H496" s="209">
        <v>3</v>
      </c>
      <c r="I496" s="209">
        <v>3.4</v>
      </c>
      <c r="J496" s="209">
        <v>1.46</v>
      </c>
      <c r="K496" s="209">
        <v>20606.099999999999</v>
      </c>
    </row>
    <row r="497" spans="1:11" ht="24.75" customHeight="1">
      <c r="A497" s="208">
        <v>42649</v>
      </c>
      <c r="B497" s="209" t="s">
        <v>529</v>
      </c>
      <c r="C497" s="226">
        <v>300009197814</v>
      </c>
      <c r="D497" s="272" t="s">
        <v>533</v>
      </c>
      <c r="E497" s="209">
        <v>1</v>
      </c>
      <c r="F497" s="209">
        <v>7</v>
      </c>
      <c r="G497" s="209">
        <v>1</v>
      </c>
      <c r="H497" s="209">
        <v>6</v>
      </c>
      <c r="I497" s="209">
        <v>3.45</v>
      </c>
      <c r="J497" s="209">
        <v>2.96</v>
      </c>
      <c r="K497" s="209">
        <v>20278.5</v>
      </c>
    </row>
    <row r="498" spans="1:11" ht="24.75" customHeight="1">
      <c r="A498" s="208">
        <v>42649</v>
      </c>
      <c r="B498" s="209" t="s">
        <v>529</v>
      </c>
      <c r="C498" s="226">
        <v>300009249957</v>
      </c>
      <c r="D498" s="272" t="s">
        <v>537</v>
      </c>
      <c r="E498" s="209">
        <v>0</v>
      </c>
      <c r="F498" s="209">
        <v>3</v>
      </c>
      <c r="G498" s="209">
        <v>0</v>
      </c>
      <c r="H498" s="209">
        <v>2</v>
      </c>
      <c r="I498" s="209">
        <v>1.53</v>
      </c>
      <c r="J498" s="209">
        <v>1.02</v>
      </c>
      <c r="K498" s="209">
        <v>19612.02</v>
      </c>
    </row>
    <row r="499" spans="1:11" ht="24.75" customHeight="1">
      <c r="A499" s="208">
        <v>42649</v>
      </c>
      <c r="B499" s="209" t="s">
        <v>529</v>
      </c>
      <c r="C499" s="226">
        <v>300009290227</v>
      </c>
      <c r="D499" s="272" t="s">
        <v>534</v>
      </c>
      <c r="E499" s="209">
        <v>0</v>
      </c>
      <c r="F499" s="209">
        <v>11</v>
      </c>
      <c r="G499" s="209">
        <v>0</v>
      </c>
      <c r="H499" s="209">
        <v>5</v>
      </c>
      <c r="I499" s="209">
        <v>7.86</v>
      </c>
      <c r="J499" s="209">
        <v>3.57</v>
      </c>
      <c r="K499" s="209">
        <v>13996.1</v>
      </c>
    </row>
    <row r="500" spans="1:11" ht="24.75" customHeight="1">
      <c r="A500" s="208">
        <v>42649</v>
      </c>
      <c r="B500" s="209" t="s">
        <v>529</v>
      </c>
      <c r="C500" s="226">
        <v>300009212855</v>
      </c>
      <c r="D500" s="272" t="s">
        <v>536</v>
      </c>
      <c r="E500" s="209">
        <v>1</v>
      </c>
      <c r="F500" s="209">
        <v>10</v>
      </c>
      <c r="G500" s="209">
        <v>0</v>
      </c>
      <c r="H500" s="209">
        <v>3</v>
      </c>
      <c r="I500" s="209">
        <v>10</v>
      </c>
      <c r="J500" s="209">
        <v>3</v>
      </c>
      <c r="K500" s="209">
        <v>9954</v>
      </c>
    </row>
    <row r="501" spans="1:11" ht="24.75" customHeight="1">
      <c r="A501" s="208">
        <v>42649</v>
      </c>
      <c r="B501" s="209" t="s">
        <v>529</v>
      </c>
      <c r="C501" s="226">
        <v>300009190385</v>
      </c>
      <c r="D501" s="272" t="s">
        <v>538</v>
      </c>
      <c r="E501" s="209">
        <v>0</v>
      </c>
      <c r="F501" s="209">
        <v>7</v>
      </c>
      <c r="G501" s="209">
        <v>0</v>
      </c>
      <c r="H501" s="209">
        <v>2</v>
      </c>
      <c r="I501" s="209">
        <v>7</v>
      </c>
      <c r="J501" s="209">
        <v>2</v>
      </c>
      <c r="K501" s="209">
        <v>9952</v>
      </c>
    </row>
    <row r="502" spans="1:11" ht="24.75" customHeight="1">
      <c r="A502" s="208">
        <v>42649</v>
      </c>
      <c r="B502" s="209" t="s">
        <v>529</v>
      </c>
      <c r="C502" s="226">
        <v>300009197635</v>
      </c>
      <c r="D502" s="272" t="s">
        <v>282</v>
      </c>
      <c r="E502" s="209">
        <v>0</v>
      </c>
      <c r="F502" s="209">
        <v>2</v>
      </c>
      <c r="G502" s="209">
        <v>0</v>
      </c>
      <c r="H502" s="209">
        <v>1</v>
      </c>
      <c r="I502" s="209">
        <v>2</v>
      </c>
      <c r="J502" s="209">
        <v>1</v>
      </c>
      <c r="K502" s="209">
        <v>9670.52</v>
      </c>
    </row>
    <row r="503" spans="1:11" ht="24.75" customHeight="1">
      <c r="A503" s="208">
        <v>42649</v>
      </c>
      <c r="B503" s="209" t="s">
        <v>529</v>
      </c>
      <c r="C503" s="226">
        <v>300009232016</v>
      </c>
      <c r="D503" s="272" t="s">
        <v>499</v>
      </c>
      <c r="E503" s="209">
        <v>0</v>
      </c>
      <c r="F503" s="209">
        <v>1</v>
      </c>
      <c r="G503" s="209">
        <v>0</v>
      </c>
      <c r="H503" s="209">
        <v>0</v>
      </c>
      <c r="I503" s="209">
        <v>1</v>
      </c>
      <c r="J503" s="209">
        <v>0</v>
      </c>
      <c r="K503" s="209">
        <v>8868.92</v>
      </c>
    </row>
    <row r="504" spans="1:11" ht="24.75" customHeight="1">
      <c r="A504" s="208">
        <v>42649</v>
      </c>
      <c r="B504" s="209" t="s">
        <v>529</v>
      </c>
      <c r="C504" s="226">
        <v>300008467005</v>
      </c>
      <c r="D504" s="272" t="s">
        <v>540</v>
      </c>
      <c r="E504" s="209">
        <v>0</v>
      </c>
      <c r="F504" s="209">
        <v>13</v>
      </c>
      <c r="G504" s="209">
        <v>0</v>
      </c>
      <c r="H504" s="209">
        <v>6</v>
      </c>
      <c r="I504" s="209">
        <v>13</v>
      </c>
      <c r="J504" s="209">
        <v>6</v>
      </c>
      <c r="K504" s="209">
        <v>5649.1</v>
      </c>
    </row>
    <row r="505" spans="1:11" ht="24.75" customHeight="1">
      <c r="A505" s="208">
        <v>42649</v>
      </c>
      <c r="B505" s="209" t="s">
        <v>529</v>
      </c>
      <c r="C505" s="226">
        <v>300009208033</v>
      </c>
      <c r="D505" s="272" t="s">
        <v>548</v>
      </c>
      <c r="E505" s="209">
        <v>0</v>
      </c>
      <c r="F505" s="209">
        <v>0</v>
      </c>
      <c r="G505" s="209">
        <v>0</v>
      </c>
      <c r="H505" s="209">
        <v>0</v>
      </c>
      <c r="I505" s="209">
        <v>0</v>
      </c>
      <c r="J505" s="209">
        <v>0</v>
      </c>
      <c r="K505" s="209">
        <v>5053</v>
      </c>
    </row>
    <row r="506" spans="1:11" ht="24.75" customHeight="1">
      <c r="A506" s="208">
        <v>42649</v>
      </c>
      <c r="B506" s="209" t="s">
        <v>529</v>
      </c>
      <c r="C506" s="226">
        <v>300009190343</v>
      </c>
      <c r="D506" s="272" t="s">
        <v>541</v>
      </c>
      <c r="E506" s="209">
        <v>0</v>
      </c>
      <c r="F506" s="209">
        <v>4</v>
      </c>
      <c r="G506" s="209">
        <v>0</v>
      </c>
      <c r="H506" s="209">
        <v>0</v>
      </c>
      <c r="I506" s="209">
        <v>4</v>
      </c>
      <c r="J506" s="209">
        <v>0</v>
      </c>
      <c r="K506" s="209">
        <v>5002.01</v>
      </c>
    </row>
    <row r="507" spans="1:11" ht="24.75" customHeight="1">
      <c r="A507" s="208">
        <v>42649</v>
      </c>
      <c r="B507" s="209" t="s">
        <v>529</v>
      </c>
      <c r="C507" s="226">
        <v>300009211922</v>
      </c>
      <c r="D507" s="209" t="s">
        <v>523</v>
      </c>
      <c r="E507" s="209">
        <v>0</v>
      </c>
      <c r="F507" s="209">
        <v>0</v>
      </c>
      <c r="G507" s="209">
        <v>0</v>
      </c>
      <c r="H507" s="209">
        <v>0</v>
      </c>
      <c r="I507" s="209">
        <v>0</v>
      </c>
      <c r="J507" s="209">
        <v>0</v>
      </c>
      <c r="K507" s="209">
        <v>583</v>
      </c>
    </row>
    <row r="508" spans="1:11" ht="24.75" customHeight="1">
      <c r="A508" s="208">
        <v>42649</v>
      </c>
      <c r="B508" s="209" t="s">
        <v>529</v>
      </c>
      <c r="C508" s="226">
        <v>300009328320</v>
      </c>
      <c r="D508" s="272" t="s">
        <v>543</v>
      </c>
      <c r="E508" s="209">
        <v>0</v>
      </c>
      <c r="F508" s="209">
        <v>1</v>
      </c>
      <c r="G508" s="209">
        <v>0</v>
      </c>
      <c r="H508" s="209">
        <v>0</v>
      </c>
      <c r="I508" s="209">
        <v>1</v>
      </c>
      <c r="J508" s="209">
        <v>0</v>
      </c>
      <c r="K508" s="209">
        <v>364</v>
      </c>
    </row>
    <row r="509" spans="1:11" ht="24.75" customHeight="1">
      <c r="A509" s="208">
        <v>42649</v>
      </c>
      <c r="B509" s="209" t="s">
        <v>529</v>
      </c>
      <c r="C509" s="226">
        <v>300009240032</v>
      </c>
      <c r="D509" s="272" t="s">
        <v>542</v>
      </c>
      <c r="E509" s="209">
        <v>0</v>
      </c>
      <c r="F509" s="209">
        <v>0</v>
      </c>
      <c r="G509" s="209">
        <v>0</v>
      </c>
      <c r="H509" s="209">
        <v>0</v>
      </c>
      <c r="I509" s="209">
        <v>0</v>
      </c>
      <c r="J509" s="209">
        <v>0</v>
      </c>
      <c r="K509" s="209">
        <v>180</v>
      </c>
    </row>
    <row r="510" spans="1:11" ht="24.75" customHeight="1">
      <c r="A510" s="208">
        <v>42649</v>
      </c>
      <c r="B510" s="209" t="s">
        <v>529</v>
      </c>
      <c r="C510" s="226">
        <v>300009972233</v>
      </c>
      <c r="D510" s="272" t="s">
        <v>544</v>
      </c>
      <c r="E510" s="209">
        <v>0</v>
      </c>
      <c r="F510" s="209">
        <v>1</v>
      </c>
      <c r="G510" s="209">
        <v>0</v>
      </c>
      <c r="H510" s="209">
        <v>1</v>
      </c>
      <c r="I510" s="209">
        <v>1</v>
      </c>
      <c r="J510" s="209">
        <v>1</v>
      </c>
      <c r="K510" s="209">
        <v>6</v>
      </c>
    </row>
    <row r="511" spans="1:11" ht="24.75" customHeight="1">
      <c r="A511" s="208">
        <v>42649</v>
      </c>
      <c r="B511" s="209" t="s">
        <v>529</v>
      </c>
      <c r="C511" s="226">
        <v>300009003496</v>
      </c>
      <c r="D511" s="272" t="s">
        <v>546</v>
      </c>
      <c r="E511" s="209">
        <v>0</v>
      </c>
      <c r="F511" s="209">
        <v>0</v>
      </c>
      <c r="G511" s="209" t="s">
        <v>242</v>
      </c>
      <c r="H511" s="209" t="s">
        <v>242</v>
      </c>
      <c r="I511" s="209">
        <v>0</v>
      </c>
      <c r="J511" s="209" t="s">
        <v>242</v>
      </c>
      <c r="K511" s="209">
        <v>0</v>
      </c>
    </row>
    <row r="512" spans="1:11" ht="24.75" customHeight="1">
      <c r="A512" s="208">
        <v>42649</v>
      </c>
      <c r="B512" s="209" t="s">
        <v>529</v>
      </c>
      <c r="C512" s="226">
        <v>300009190346</v>
      </c>
      <c r="D512" s="272" t="s">
        <v>528</v>
      </c>
      <c r="E512" s="209">
        <v>0</v>
      </c>
      <c r="F512" s="209">
        <v>1</v>
      </c>
      <c r="G512" s="209">
        <v>0</v>
      </c>
      <c r="H512" s="209">
        <v>0</v>
      </c>
      <c r="I512" s="209">
        <v>1</v>
      </c>
      <c r="J512" s="209">
        <v>0</v>
      </c>
      <c r="K512" s="209">
        <v>0</v>
      </c>
    </row>
    <row r="513" spans="1:11" ht="24.75" customHeight="1">
      <c r="A513" s="208">
        <v>42649</v>
      </c>
      <c r="B513" s="209" t="s">
        <v>529</v>
      </c>
      <c r="C513" s="226">
        <v>300009191923</v>
      </c>
      <c r="D513" s="272" t="s">
        <v>545</v>
      </c>
      <c r="E513" s="209">
        <v>0</v>
      </c>
      <c r="F513" s="209">
        <v>0</v>
      </c>
      <c r="G513" s="209">
        <v>0</v>
      </c>
      <c r="H513" s="209">
        <v>0</v>
      </c>
      <c r="I513" s="209">
        <v>0</v>
      </c>
      <c r="J513" s="209">
        <v>0</v>
      </c>
      <c r="K513" s="209">
        <v>0</v>
      </c>
    </row>
    <row r="514" spans="1:11" ht="24.75" customHeight="1">
      <c r="A514" s="208">
        <v>42649</v>
      </c>
      <c r="B514" s="209" t="s">
        <v>529</v>
      </c>
      <c r="C514" s="226">
        <v>300009288214</v>
      </c>
      <c r="D514" s="272" t="s">
        <v>547</v>
      </c>
      <c r="E514" s="209">
        <v>0</v>
      </c>
      <c r="F514" s="209">
        <v>1</v>
      </c>
      <c r="G514" s="209">
        <v>0</v>
      </c>
      <c r="H514" s="209">
        <v>1</v>
      </c>
      <c r="I514" s="209">
        <v>1</v>
      </c>
      <c r="J514" s="209">
        <v>1</v>
      </c>
      <c r="K514" s="209">
        <v>0</v>
      </c>
    </row>
    <row r="515" spans="1:11" ht="24.75" customHeight="1">
      <c r="A515" s="208">
        <v>42649</v>
      </c>
      <c r="B515" s="209" t="s">
        <v>529</v>
      </c>
      <c r="C515" s="226">
        <v>300009406202</v>
      </c>
      <c r="D515" s="272" t="s">
        <v>232</v>
      </c>
      <c r="E515" s="209">
        <v>0</v>
      </c>
      <c r="F515" s="209">
        <v>1</v>
      </c>
      <c r="G515" s="209">
        <v>0</v>
      </c>
      <c r="H515" s="209">
        <v>0</v>
      </c>
      <c r="I515" s="209">
        <v>1</v>
      </c>
      <c r="J515" s="209">
        <v>0</v>
      </c>
      <c r="K515" s="209">
        <v>0</v>
      </c>
    </row>
    <row r="516" spans="1:11" ht="24.75" customHeight="1">
      <c r="A516" s="208">
        <v>42650</v>
      </c>
      <c r="B516" s="209" t="s">
        <v>529</v>
      </c>
      <c r="C516" s="226">
        <v>300009822212</v>
      </c>
      <c r="D516" s="272" t="s">
        <v>530</v>
      </c>
      <c r="E516" s="209">
        <v>14</v>
      </c>
      <c r="F516" s="209">
        <v>83</v>
      </c>
      <c r="G516" s="209">
        <v>2</v>
      </c>
      <c r="H516" s="209">
        <v>21</v>
      </c>
      <c r="I516" s="209">
        <v>4.6100000000000003</v>
      </c>
      <c r="J516" s="209">
        <v>1.17</v>
      </c>
      <c r="K516" s="209">
        <v>180131</v>
      </c>
    </row>
    <row r="517" spans="1:11" ht="24.75" customHeight="1">
      <c r="A517" s="208">
        <v>42650</v>
      </c>
      <c r="B517" s="209" t="s">
        <v>529</v>
      </c>
      <c r="C517" s="226">
        <v>300009288265</v>
      </c>
      <c r="D517" s="272" t="s">
        <v>531</v>
      </c>
      <c r="E517" s="209">
        <v>2</v>
      </c>
      <c r="F517" s="209">
        <v>46</v>
      </c>
      <c r="G517" s="209">
        <v>0</v>
      </c>
      <c r="H517" s="209">
        <v>18</v>
      </c>
      <c r="I517" s="209">
        <v>8.8000000000000007</v>
      </c>
      <c r="J517" s="209">
        <v>3.44</v>
      </c>
      <c r="K517" s="209">
        <v>52252</v>
      </c>
    </row>
    <row r="518" spans="1:11" ht="24.75" customHeight="1">
      <c r="A518" s="208">
        <v>42650</v>
      </c>
      <c r="B518" s="209" t="s">
        <v>529</v>
      </c>
      <c r="C518" s="226">
        <v>300009294244</v>
      </c>
      <c r="D518" s="272" t="s">
        <v>539</v>
      </c>
      <c r="E518" s="209">
        <v>0</v>
      </c>
      <c r="F518" s="209">
        <v>9</v>
      </c>
      <c r="G518" s="209">
        <v>0</v>
      </c>
      <c r="H518" s="209">
        <v>2</v>
      </c>
      <c r="I518" s="209">
        <v>2.46</v>
      </c>
      <c r="J518" s="209">
        <v>0.55000000000000004</v>
      </c>
      <c r="K518" s="209">
        <v>36588.400000000001</v>
      </c>
    </row>
    <row r="519" spans="1:11" ht="24.75" customHeight="1">
      <c r="A519" s="208">
        <v>42650</v>
      </c>
      <c r="B519" s="209" t="s">
        <v>529</v>
      </c>
      <c r="C519" s="226">
        <v>300009208675</v>
      </c>
      <c r="D519" s="272" t="s">
        <v>535</v>
      </c>
      <c r="E519" s="209">
        <v>1</v>
      </c>
      <c r="F519" s="209">
        <v>6</v>
      </c>
      <c r="G519" s="209">
        <v>0</v>
      </c>
      <c r="H519" s="209">
        <v>2</v>
      </c>
      <c r="I519" s="209">
        <v>2.56</v>
      </c>
      <c r="J519" s="209">
        <v>0.85</v>
      </c>
      <c r="K519" s="209">
        <v>23436</v>
      </c>
    </row>
    <row r="520" spans="1:11" ht="24.75" customHeight="1">
      <c r="A520" s="208">
        <v>42650</v>
      </c>
      <c r="B520" s="209" t="s">
        <v>529</v>
      </c>
      <c r="C520" s="226">
        <v>300009208680</v>
      </c>
      <c r="D520" s="272" t="s">
        <v>532</v>
      </c>
      <c r="E520" s="209">
        <v>0</v>
      </c>
      <c r="F520" s="209">
        <v>8</v>
      </c>
      <c r="G520" s="209">
        <v>0</v>
      </c>
      <c r="H520" s="209">
        <v>4</v>
      </c>
      <c r="I520" s="209">
        <v>3.61</v>
      </c>
      <c r="J520" s="209">
        <v>1.81</v>
      </c>
      <c r="K520" s="209">
        <v>22145.4</v>
      </c>
    </row>
    <row r="521" spans="1:11" ht="24.75" customHeight="1">
      <c r="A521" s="208">
        <v>42650</v>
      </c>
      <c r="B521" s="209" t="s">
        <v>529</v>
      </c>
      <c r="C521" s="226">
        <v>300009249957</v>
      </c>
      <c r="D521" s="272" t="s">
        <v>537</v>
      </c>
      <c r="E521" s="209">
        <v>1</v>
      </c>
      <c r="F521" s="209">
        <v>4</v>
      </c>
      <c r="G521" s="209">
        <v>0</v>
      </c>
      <c r="H521" s="209">
        <v>3</v>
      </c>
      <c r="I521" s="209">
        <v>1.81</v>
      </c>
      <c r="J521" s="209">
        <v>1.36</v>
      </c>
      <c r="K521" s="209">
        <v>22106.05</v>
      </c>
    </row>
    <row r="522" spans="1:11" ht="24.75" customHeight="1">
      <c r="A522" s="208">
        <v>42650</v>
      </c>
      <c r="B522" s="209" t="s">
        <v>529</v>
      </c>
      <c r="C522" s="226">
        <v>300009197814</v>
      </c>
      <c r="D522" s="272" t="s">
        <v>533</v>
      </c>
      <c r="E522" s="209">
        <v>4</v>
      </c>
      <c r="F522" s="209">
        <v>11</v>
      </c>
      <c r="G522" s="209">
        <v>1</v>
      </c>
      <c r="H522" s="209">
        <v>7</v>
      </c>
      <c r="I522" s="209">
        <v>5.03</v>
      </c>
      <c r="J522" s="209">
        <v>3.2</v>
      </c>
      <c r="K522" s="209">
        <v>21883.5</v>
      </c>
    </row>
    <row r="523" spans="1:11" ht="24.75" customHeight="1">
      <c r="A523" s="208">
        <v>42650</v>
      </c>
      <c r="B523" s="209" t="s">
        <v>529</v>
      </c>
      <c r="C523" s="226">
        <v>300009290227</v>
      </c>
      <c r="D523" s="272" t="s">
        <v>534</v>
      </c>
      <c r="E523" s="209">
        <v>0</v>
      </c>
      <c r="F523" s="209">
        <v>12</v>
      </c>
      <c r="G523" s="209">
        <v>0</v>
      </c>
      <c r="H523" s="209">
        <v>5</v>
      </c>
      <c r="I523" s="209">
        <v>8.09</v>
      </c>
      <c r="J523" s="209">
        <v>3.37</v>
      </c>
      <c r="K523" s="209">
        <v>14826.1</v>
      </c>
    </row>
    <row r="524" spans="1:11" ht="24.75" customHeight="1">
      <c r="A524" s="208">
        <v>42650</v>
      </c>
      <c r="B524" s="209" t="s">
        <v>529</v>
      </c>
      <c r="C524" s="226">
        <v>300009197635</v>
      </c>
      <c r="D524" s="272" t="s">
        <v>282</v>
      </c>
      <c r="E524" s="209">
        <v>0</v>
      </c>
      <c r="F524" s="209">
        <v>2</v>
      </c>
      <c r="G524" s="209">
        <v>0</v>
      </c>
      <c r="H524" s="209">
        <v>1</v>
      </c>
      <c r="I524" s="209">
        <v>1.55</v>
      </c>
      <c r="J524" s="209">
        <v>0.78</v>
      </c>
      <c r="K524" s="209">
        <v>12892.64</v>
      </c>
    </row>
    <row r="525" spans="1:11" ht="24.75" customHeight="1">
      <c r="A525" s="208">
        <v>42650</v>
      </c>
      <c r="B525" s="209" t="s">
        <v>529</v>
      </c>
      <c r="C525" s="226">
        <v>300009232016</v>
      </c>
      <c r="D525" s="272" t="s">
        <v>499</v>
      </c>
      <c r="E525" s="209">
        <v>0</v>
      </c>
      <c r="F525" s="209">
        <v>1</v>
      </c>
      <c r="G525" s="209">
        <v>0</v>
      </c>
      <c r="H525" s="209">
        <v>0</v>
      </c>
      <c r="I525" s="209">
        <v>0.91</v>
      </c>
      <c r="J525" s="209">
        <v>0</v>
      </c>
      <c r="K525" s="209">
        <v>10934.93</v>
      </c>
    </row>
    <row r="526" spans="1:11" ht="24.75" customHeight="1">
      <c r="A526" s="208">
        <v>42650</v>
      </c>
      <c r="B526" s="209" t="s">
        <v>529</v>
      </c>
      <c r="C526" s="226">
        <v>300009208033</v>
      </c>
      <c r="D526" s="272" t="s">
        <v>548</v>
      </c>
      <c r="E526" s="209">
        <v>0</v>
      </c>
      <c r="F526" s="209">
        <v>0</v>
      </c>
      <c r="G526" s="209">
        <v>0</v>
      </c>
      <c r="H526" s="209">
        <v>0</v>
      </c>
      <c r="I526" s="209">
        <v>0</v>
      </c>
      <c r="J526" s="209">
        <v>0</v>
      </c>
      <c r="K526" s="209">
        <v>10179.1</v>
      </c>
    </row>
    <row r="527" spans="1:11" ht="24.75" customHeight="1">
      <c r="A527" s="208">
        <v>42650</v>
      </c>
      <c r="B527" s="209" t="s">
        <v>529</v>
      </c>
      <c r="C527" s="226">
        <v>300009212855</v>
      </c>
      <c r="D527" s="272" t="s">
        <v>536</v>
      </c>
      <c r="E527" s="209">
        <v>0</v>
      </c>
      <c r="F527" s="209">
        <v>10</v>
      </c>
      <c r="G527" s="209">
        <v>0</v>
      </c>
      <c r="H527" s="209">
        <v>3</v>
      </c>
      <c r="I527" s="209">
        <v>9.9700000000000006</v>
      </c>
      <c r="J527" s="209">
        <v>2.99</v>
      </c>
      <c r="K527" s="209">
        <v>10034</v>
      </c>
    </row>
    <row r="528" spans="1:11" ht="24.75" customHeight="1">
      <c r="A528" s="208">
        <v>42650</v>
      </c>
      <c r="B528" s="209" t="s">
        <v>529</v>
      </c>
      <c r="C528" s="226">
        <v>300009190385</v>
      </c>
      <c r="D528" s="272" t="s">
        <v>538</v>
      </c>
      <c r="E528" s="209">
        <v>0</v>
      </c>
      <c r="F528" s="209">
        <v>7</v>
      </c>
      <c r="G528" s="209">
        <v>0</v>
      </c>
      <c r="H528" s="209">
        <v>2</v>
      </c>
      <c r="I528" s="209">
        <v>7</v>
      </c>
      <c r="J528" s="209">
        <v>2</v>
      </c>
      <c r="K528" s="209">
        <v>9984</v>
      </c>
    </row>
    <row r="529" spans="1:11" ht="24.75" customHeight="1">
      <c r="A529" s="208">
        <v>42650</v>
      </c>
      <c r="B529" s="209" t="s">
        <v>529</v>
      </c>
      <c r="C529" s="226">
        <v>300008467005</v>
      </c>
      <c r="D529" s="272" t="s">
        <v>540</v>
      </c>
      <c r="E529" s="209">
        <v>0</v>
      </c>
      <c r="F529" s="209">
        <v>13</v>
      </c>
      <c r="G529" s="209">
        <v>0</v>
      </c>
      <c r="H529" s="209">
        <v>6</v>
      </c>
      <c r="I529" s="209">
        <v>13</v>
      </c>
      <c r="J529" s="209">
        <v>6</v>
      </c>
      <c r="K529" s="209">
        <v>5649.1</v>
      </c>
    </row>
    <row r="530" spans="1:11" ht="24.75" customHeight="1">
      <c r="A530" s="208">
        <v>42650</v>
      </c>
      <c r="B530" s="209" t="s">
        <v>529</v>
      </c>
      <c r="C530" s="226">
        <v>300009190343</v>
      </c>
      <c r="D530" s="272" t="s">
        <v>541</v>
      </c>
      <c r="E530" s="209">
        <v>0</v>
      </c>
      <c r="F530" s="209">
        <v>4</v>
      </c>
      <c r="G530" s="209">
        <v>0</v>
      </c>
      <c r="H530" s="209">
        <v>0</v>
      </c>
      <c r="I530" s="209">
        <v>4</v>
      </c>
      <c r="J530" s="209">
        <v>0</v>
      </c>
      <c r="K530" s="209">
        <v>5254.01</v>
      </c>
    </row>
    <row r="531" spans="1:11" ht="24.75" customHeight="1">
      <c r="A531" s="208">
        <v>42650</v>
      </c>
      <c r="B531" s="209" t="s">
        <v>529</v>
      </c>
      <c r="C531" s="226">
        <v>300009211922</v>
      </c>
      <c r="D531" s="209" t="s">
        <v>523</v>
      </c>
      <c r="E531" s="209">
        <v>0</v>
      </c>
      <c r="F531" s="209">
        <v>0</v>
      </c>
      <c r="G531" s="209">
        <v>0</v>
      </c>
      <c r="H531" s="209">
        <v>0</v>
      </c>
      <c r="I531" s="209">
        <v>0</v>
      </c>
      <c r="J531" s="209">
        <v>0</v>
      </c>
      <c r="K531" s="209">
        <v>767</v>
      </c>
    </row>
    <row r="532" spans="1:11" ht="24.75" customHeight="1">
      <c r="A532" s="208">
        <v>42650</v>
      </c>
      <c r="B532" s="209" t="s">
        <v>529</v>
      </c>
      <c r="C532" s="226">
        <v>300009328320</v>
      </c>
      <c r="D532" s="272" t="s">
        <v>543</v>
      </c>
      <c r="E532" s="209">
        <v>0</v>
      </c>
      <c r="F532" s="209">
        <v>1</v>
      </c>
      <c r="G532" s="209">
        <v>0</v>
      </c>
      <c r="H532" s="209">
        <v>0</v>
      </c>
      <c r="I532" s="209">
        <v>1</v>
      </c>
      <c r="J532" s="209">
        <v>0</v>
      </c>
      <c r="K532" s="209">
        <v>518</v>
      </c>
    </row>
    <row r="533" spans="1:11" ht="24.75" customHeight="1">
      <c r="A533" s="208">
        <v>42650</v>
      </c>
      <c r="B533" s="209" t="s">
        <v>529</v>
      </c>
      <c r="C533" s="226">
        <v>300009240032</v>
      </c>
      <c r="D533" s="272" t="s">
        <v>542</v>
      </c>
      <c r="E533" s="209">
        <v>0</v>
      </c>
      <c r="F533" s="209">
        <v>0</v>
      </c>
      <c r="G533" s="209">
        <v>0</v>
      </c>
      <c r="H533" s="209">
        <v>0</v>
      </c>
      <c r="I533" s="209">
        <v>0</v>
      </c>
      <c r="J533" s="209">
        <v>0</v>
      </c>
      <c r="K533" s="209">
        <v>180</v>
      </c>
    </row>
    <row r="534" spans="1:11" ht="24.75" customHeight="1">
      <c r="A534" s="208">
        <v>42650</v>
      </c>
      <c r="B534" s="209" t="s">
        <v>529</v>
      </c>
      <c r="C534" s="226">
        <v>300009972233</v>
      </c>
      <c r="D534" s="272" t="s">
        <v>544</v>
      </c>
      <c r="E534" s="209">
        <v>0</v>
      </c>
      <c r="F534" s="209">
        <v>2</v>
      </c>
      <c r="G534" s="209">
        <v>0</v>
      </c>
      <c r="H534" s="209">
        <v>2</v>
      </c>
      <c r="I534" s="209">
        <v>2</v>
      </c>
      <c r="J534" s="209">
        <v>2</v>
      </c>
      <c r="K534" s="209">
        <v>6</v>
      </c>
    </row>
    <row r="535" spans="1:11" ht="24.75" customHeight="1">
      <c r="A535" s="208">
        <v>42650</v>
      </c>
      <c r="B535" s="209" t="s">
        <v>529</v>
      </c>
      <c r="C535" s="226">
        <v>300009003496</v>
      </c>
      <c r="D535" s="272" t="s">
        <v>546</v>
      </c>
      <c r="E535" s="209">
        <v>0</v>
      </c>
      <c r="F535" s="209">
        <v>0</v>
      </c>
      <c r="G535" s="209" t="s">
        <v>242</v>
      </c>
      <c r="H535" s="209" t="s">
        <v>242</v>
      </c>
      <c r="I535" s="209">
        <v>0</v>
      </c>
      <c r="J535" s="209" t="s">
        <v>242</v>
      </c>
      <c r="K535" s="209">
        <v>0</v>
      </c>
    </row>
    <row r="536" spans="1:11" ht="24.75" customHeight="1">
      <c r="A536" s="208">
        <v>42650</v>
      </c>
      <c r="B536" s="209" t="s">
        <v>529</v>
      </c>
      <c r="C536" s="226">
        <v>300009190346</v>
      </c>
      <c r="D536" s="272" t="s">
        <v>528</v>
      </c>
      <c r="E536" s="209">
        <v>0</v>
      </c>
      <c r="F536" s="209">
        <v>1</v>
      </c>
      <c r="G536" s="209">
        <v>0</v>
      </c>
      <c r="H536" s="209">
        <v>0</v>
      </c>
      <c r="I536" s="209">
        <v>1</v>
      </c>
      <c r="J536" s="209">
        <v>0</v>
      </c>
      <c r="K536" s="209">
        <v>0</v>
      </c>
    </row>
    <row r="537" spans="1:11" ht="24.75" customHeight="1">
      <c r="A537" s="208">
        <v>42650</v>
      </c>
      <c r="B537" s="209" t="s">
        <v>529</v>
      </c>
      <c r="C537" s="226">
        <v>300009191923</v>
      </c>
      <c r="D537" s="272" t="s">
        <v>545</v>
      </c>
      <c r="E537" s="209">
        <v>0</v>
      </c>
      <c r="F537" s="209">
        <v>0</v>
      </c>
      <c r="G537" s="209">
        <v>0</v>
      </c>
      <c r="H537" s="209">
        <v>0</v>
      </c>
      <c r="I537" s="209">
        <v>0</v>
      </c>
      <c r="J537" s="209">
        <v>0</v>
      </c>
      <c r="K537" s="209">
        <v>0</v>
      </c>
    </row>
    <row r="538" spans="1:11" ht="24.75" customHeight="1">
      <c r="A538" s="208">
        <v>42650</v>
      </c>
      <c r="B538" s="209" t="s">
        <v>529</v>
      </c>
      <c r="C538" s="226">
        <v>300009288214</v>
      </c>
      <c r="D538" s="272" t="s">
        <v>547</v>
      </c>
      <c r="E538" s="209">
        <v>0</v>
      </c>
      <c r="F538" s="209">
        <v>1</v>
      </c>
      <c r="G538" s="209">
        <v>0</v>
      </c>
      <c r="H538" s="209">
        <v>1</v>
      </c>
      <c r="I538" s="209">
        <v>1</v>
      </c>
      <c r="J538" s="209">
        <v>1</v>
      </c>
      <c r="K538" s="209">
        <v>0</v>
      </c>
    </row>
    <row r="539" spans="1:11" ht="24.75" customHeight="1">
      <c r="A539" s="208">
        <v>42650</v>
      </c>
      <c r="B539" s="209" t="s">
        <v>529</v>
      </c>
      <c r="C539" s="226">
        <v>300009406202</v>
      </c>
      <c r="D539" s="272" t="s">
        <v>232</v>
      </c>
      <c r="E539" s="209">
        <v>0</v>
      </c>
      <c r="F539" s="209">
        <v>1</v>
      </c>
      <c r="G539" s="209">
        <v>0</v>
      </c>
      <c r="H539" s="209">
        <v>0</v>
      </c>
      <c r="I539" s="209">
        <v>1</v>
      </c>
      <c r="J539" s="209">
        <v>0</v>
      </c>
      <c r="K539" s="209">
        <v>0</v>
      </c>
    </row>
    <row r="540" spans="1:11" ht="24.75" customHeight="1">
      <c r="A540" s="208">
        <v>42651</v>
      </c>
      <c r="B540" s="209" t="s">
        <v>511</v>
      </c>
      <c r="C540" s="226">
        <v>300007704986</v>
      </c>
      <c r="D540" s="272" t="s">
        <v>283</v>
      </c>
      <c r="E540" s="209">
        <v>0</v>
      </c>
      <c r="F540" s="209">
        <v>0</v>
      </c>
      <c r="G540" s="209">
        <v>0</v>
      </c>
      <c r="H540" s="209">
        <v>0</v>
      </c>
      <c r="I540" s="209">
        <v>0</v>
      </c>
      <c r="J540" s="209">
        <v>0</v>
      </c>
      <c r="K540" s="209">
        <v>1</v>
      </c>
    </row>
    <row r="541" spans="1:11" ht="24.75" customHeight="1">
      <c r="A541" s="208">
        <v>42651</v>
      </c>
      <c r="B541" s="209" t="s">
        <v>511</v>
      </c>
      <c r="C541" s="226">
        <v>300007875924</v>
      </c>
      <c r="D541" s="209" t="s">
        <v>492</v>
      </c>
      <c r="E541" s="209">
        <v>0</v>
      </c>
      <c r="F541" s="209">
        <v>0</v>
      </c>
      <c r="G541" s="209">
        <v>0</v>
      </c>
      <c r="H541" s="209">
        <v>0</v>
      </c>
      <c r="I541" s="209">
        <v>0</v>
      </c>
      <c r="J541" s="209">
        <v>0</v>
      </c>
      <c r="K541" s="209">
        <v>1</v>
      </c>
    </row>
    <row r="542" spans="1:11" ht="24.75" customHeight="1">
      <c r="A542" s="208">
        <v>42651</v>
      </c>
      <c r="B542" s="209" t="s">
        <v>511</v>
      </c>
      <c r="C542" s="226">
        <v>300008193965</v>
      </c>
      <c r="D542" s="272" t="s">
        <v>512</v>
      </c>
      <c r="E542" s="209">
        <v>0</v>
      </c>
      <c r="F542" s="209">
        <v>0</v>
      </c>
      <c r="G542" s="209">
        <v>0</v>
      </c>
      <c r="H542" s="209">
        <v>0</v>
      </c>
      <c r="I542" s="209">
        <v>0</v>
      </c>
      <c r="J542" s="209">
        <v>0</v>
      </c>
      <c r="K542" s="209">
        <v>5</v>
      </c>
    </row>
    <row r="543" spans="1:11" ht="24.75" customHeight="1">
      <c r="A543" s="208">
        <v>42651</v>
      </c>
      <c r="B543" s="209" t="s">
        <v>511</v>
      </c>
      <c r="C543" s="226">
        <v>300008219979</v>
      </c>
      <c r="D543" s="272" t="s">
        <v>517</v>
      </c>
      <c r="E543" s="209">
        <v>0</v>
      </c>
      <c r="F543" s="209">
        <v>0</v>
      </c>
      <c r="G543" s="209">
        <v>0</v>
      </c>
      <c r="H543" s="209">
        <v>0</v>
      </c>
      <c r="I543" s="209">
        <v>0</v>
      </c>
      <c r="J543" s="209">
        <v>0</v>
      </c>
      <c r="K543" s="209">
        <v>1</v>
      </c>
    </row>
    <row r="544" spans="1:11" ht="24.75" customHeight="1">
      <c r="A544" s="208">
        <v>42651</v>
      </c>
      <c r="B544" s="209" t="s">
        <v>511</v>
      </c>
      <c r="C544" s="226">
        <v>300008244937</v>
      </c>
      <c r="D544" s="272" t="s">
        <v>272</v>
      </c>
      <c r="E544" s="209">
        <v>0</v>
      </c>
      <c r="F544" s="209">
        <v>0</v>
      </c>
      <c r="G544" s="209">
        <v>0</v>
      </c>
      <c r="H544" s="209">
        <v>0</v>
      </c>
      <c r="I544" s="209">
        <v>0</v>
      </c>
      <c r="J544" s="209">
        <v>0</v>
      </c>
      <c r="K544" s="209">
        <v>0</v>
      </c>
    </row>
    <row r="545" spans="1:11" ht="24.75" customHeight="1">
      <c r="A545" s="208">
        <v>42651</v>
      </c>
      <c r="B545" s="209" t="s">
        <v>511</v>
      </c>
      <c r="C545" s="226">
        <v>300008508327</v>
      </c>
      <c r="D545" s="209" t="s">
        <v>501</v>
      </c>
      <c r="E545" s="209">
        <v>0</v>
      </c>
      <c r="F545" s="209">
        <v>0</v>
      </c>
      <c r="G545" s="209">
        <v>0</v>
      </c>
      <c r="H545" s="209">
        <v>0</v>
      </c>
      <c r="I545" s="209">
        <v>0</v>
      </c>
      <c r="J545" s="209">
        <v>0</v>
      </c>
      <c r="K545" s="209">
        <v>1413</v>
      </c>
    </row>
    <row r="546" spans="1:11" ht="24.75" customHeight="1">
      <c r="A546" s="208">
        <v>42651</v>
      </c>
      <c r="B546" s="209" t="s">
        <v>511</v>
      </c>
      <c r="C546" s="226">
        <v>300008579657</v>
      </c>
      <c r="D546" s="272" t="s">
        <v>513</v>
      </c>
      <c r="E546" s="209">
        <v>0</v>
      </c>
      <c r="F546" s="209">
        <v>0</v>
      </c>
      <c r="G546" s="209">
        <v>0</v>
      </c>
      <c r="H546" s="209">
        <v>0</v>
      </c>
      <c r="I546" s="209">
        <v>0</v>
      </c>
      <c r="J546" s="209">
        <v>0</v>
      </c>
      <c r="K546" s="209">
        <v>0</v>
      </c>
    </row>
    <row r="547" spans="1:11" ht="24.75" customHeight="1">
      <c r="A547" s="208">
        <v>42651</v>
      </c>
      <c r="B547" s="209" t="s">
        <v>511</v>
      </c>
      <c r="C547" s="226">
        <v>300008841062</v>
      </c>
      <c r="D547" s="272" t="s">
        <v>277</v>
      </c>
      <c r="E547" s="209">
        <v>0</v>
      </c>
      <c r="F547" s="209">
        <v>9</v>
      </c>
      <c r="G547" s="209">
        <v>9</v>
      </c>
      <c r="H547" s="209">
        <v>0</v>
      </c>
      <c r="I547" s="209">
        <v>9</v>
      </c>
      <c r="J547" s="209">
        <v>9</v>
      </c>
      <c r="K547" s="209">
        <v>2308</v>
      </c>
    </row>
    <row r="548" spans="1:11" ht="24.75" customHeight="1">
      <c r="A548" s="208">
        <v>42651</v>
      </c>
      <c r="B548" s="209" t="s">
        <v>511</v>
      </c>
      <c r="C548" s="226">
        <v>300008853065</v>
      </c>
      <c r="D548" s="272" t="s">
        <v>515</v>
      </c>
      <c r="E548" s="209">
        <v>0</v>
      </c>
      <c r="F548" s="209">
        <v>0</v>
      </c>
      <c r="G548" s="209">
        <v>0</v>
      </c>
      <c r="H548" s="209">
        <v>0</v>
      </c>
      <c r="I548" s="209">
        <v>0</v>
      </c>
      <c r="J548" s="209">
        <v>0</v>
      </c>
      <c r="K548" s="209">
        <v>2</v>
      </c>
    </row>
    <row r="549" spans="1:11" ht="24.75" customHeight="1">
      <c r="A549" s="208">
        <v>42651</v>
      </c>
      <c r="B549" s="209" t="s">
        <v>511</v>
      </c>
      <c r="C549" s="226">
        <v>300008868585</v>
      </c>
      <c r="D549" s="272" t="s">
        <v>495</v>
      </c>
      <c r="E549" s="209">
        <v>0</v>
      </c>
      <c r="F549" s="209">
        <v>2</v>
      </c>
      <c r="G549" s="209">
        <v>2</v>
      </c>
      <c r="H549" s="209">
        <v>0</v>
      </c>
      <c r="I549" s="209">
        <v>0</v>
      </c>
      <c r="J549" s="209">
        <v>0</v>
      </c>
      <c r="K549" s="209">
        <v>609</v>
      </c>
    </row>
    <row r="550" spans="1:11" ht="24.75" customHeight="1">
      <c r="A550" s="208">
        <v>42651</v>
      </c>
      <c r="B550" s="209" t="s">
        <v>511</v>
      </c>
      <c r="C550" s="226">
        <v>300008993578</v>
      </c>
      <c r="D550" s="272" t="s">
        <v>497</v>
      </c>
      <c r="E550" s="209">
        <v>0</v>
      </c>
      <c r="F550" s="209">
        <v>8</v>
      </c>
      <c r="G550" s="209">
        <v>8</v>
      </c>
      <c r="H550" s="209">
        <v>0</v>
      </c>
      <c r="I550" s="209">
        <v>6</v>
      </c>
      <c r="J550" s="209">
        <v>6</v>
      </c>
      <c r="K550" s="209">
        <v>1375</v>
      </c>
    </row>
    <row r="551" spans="1:11" ht="24.75" customHeight="1">
      <c r="A551" s="208">
        <v>42651</v>
      </c>
      <c r="B551" s="209" t="s">
        <v>511</v>
      </c>
      <c r="C551" s="226">
        <v>300009003496</v>
      </c>
      <c r="D551" s="272" t="s">
        <v>546</v>
      </c>
      <c r="E551" s="209">
        <v>0</v>
      </c>
      <c r="F551" s="209">
        <v>0</v>
      </c>
      <c r="G551" s="209">
        <v>0</v>
      </c>
      <c r="H551" s="209">
        <v>0</v>
      </c>
      <c r="I551" s="209">
        <v>0</v>
      </c>
      <c r="J551" s="209">
        <v>0</v>
      </c>
      <c r="K551" s="209">
        <v>0</v>
      </c>
    </row>
    <row r="552" spans="1:11" ht="24.75" customHeight="1">
      <c r="A552" s="208">
        <v>42651</v>
      </c>
      <c r="B552" s="209" t="s">
        <v>511</v>
      </c>
      <c r="C552" s="226">
        <v>300009016017</v>
      </c>
      <c r="D552" s="272" t="s">
        <v>498</v>
      </c>
      <c r="E552" s="209">
        <v>0</v>
      </c>
      <c r="F552" s="209">
        <v>1</v>
      </c>
      <c r="G552" s="209">
        <v>1</v>
      </c>
      <c r="H552" s="209">
        <v>0</v>
      </c>
      <c r="I552" s="209">
        <v>0</v>
      </c>
      <c r="J552" s="209">
        <v>0</v>
      </c>
      <c r="K552" s="209">
        <v>317</v>
      </c>
    </row>
    <row r="553" spans="1:11" ht="24.75" customHeight="1">
      <c r="A553" s="208">
        <v>42651</v>
      </c>
      <c r="B553" s="209" t="s">
        <v>511</v>
      </c>
      <c r="C553" s="226">
        <v>300009151749</v>
      </c>
      <c r="D553" s="272" t="s">
        <v>518</v>
      </c>
      <c r="E553" s="209">
        <v>0</v>
      </c>
      <c r="F553" s="209">
        <v>0</v>
      </c>
      <c r="G553" s="209">
        <v>0</v>
      </c>
      <c r="H553" s="209">
        <v>0</v>
      </c>
      <c r="I553" s="209">
        <v>0</v>
      </c>
      <c r="J553" s="209">
        <v>0</v>
      </c>
      <c r="K553" s="209">
        <v>1</v>
      </c>
    </row>
    <row r="554" spans="1:11" ht="24.75" customHeight="1">
      <c r="A554" s="208">
        <v>42651</v>
      </c>
      <c r="B554" s="209" t="s">
        <v>511</v>
      </c>
      <c r="C554" s="226">
        <v>300009185572</v>
      </c>
      <c r="D554" s="272" t="s">
        <v>237</v>
      </c>
      <c r="E554" s="209">
        <v>0</v>
      </c>
      <c r="F554" s="209">
        <v>0</v>
      </c>
      <c r="G554" s="209">
        <v>0</v>
      </c>
      <c r="H554" s="209">
        <v>0</v>
      </c>
      <c r="I554" s="209">
        <v>0</v>
      </c>
      <c r="J554" s="209">
        <v>0</v>
      </c>
      <c r="K554" s="209">
        <v>0</v>
      </c>
    </row>
    <row r="555" spans="1:11" ht="24.75" customHeight="1">
      <c r="A555" s="208">
        <v>42651</v>
      </c>
      <c r="B555" s="209" t="s">
        <v>511</v>
      </c>
      <c r="C555" s="226">
        <v>300009190374</v>
      </c>
      <c r="D555" s="272" t="s">
        <v>516</v>
      </c>
      <c r="E555" s="209">
        <v>0</v>
      </c>
      <c r="F555" s="209">
        <v>0</v>
      </c>
      <c r="G555" s="209">
        <v>0</v>
      </c>
      <c r="H555" s="209">
        <v>0</v>
      </c>
      <c r="I555" s="209">
        <v>0</v>
      </c>
      <c r="J555" s="209">
        <v>0</v>
      </c>
      <c r="K555" s="209">
        <v>1</v>
      </c>
    </row>
    <row r="556" spans="1:11" ht="24.75" customHeight="1">
      <c r="A556" s="208">
        <v>42651</v>
      </c>
      <c r="B556" s="209" t="s">
        <v>511</v>
      </c>
      <c r="C556" s="226">
        <v>300009192151</v>
      </c>
      <c r="D556" s="272" t="s">
        <v>514</v>
      </c>
      <c r="E556" s="209">
        <v>0</v>
      </c>
      <c r="F556" s="209">
        <v>0</v>
      </c>
      <c r="G556" s="209">
        <v>0</v>
      </c>
      <c r="H556" s="209">
        <v>0</v>
      </c>
      <c r="I556" s="209">
        <v>0</v>
      </c>
      <c r="J556" s="209">
        <v>0</v>
      </c>
      <c r="K556" s="209">
        <v>1138</v>
      </c>
    </row>
    <row r="557" spans="1:11" ht="24.75" customHeight="1">
      <c r="A557" s="208">
        <v>42651</v>
      </c>
      <c r="B557" s="209" t="s">
        <v>511</v>
      </c>
      <c r="C557" s="226">
        <v>300009193471</v>
      </c>
      <c r="D557" s="272" t="s">
        <v>502</v>
      </c>
      <c r="E557" s="209">
        <v>0</v>
      </c>
      <c r="F557" s="209">
        <v>1</v>
      </c>
      <c r="G557" s="209">
        <v>1</v>
      </c>
      <c r="H557" s="209">
        <v>0</v>
      </c>
      <c r="I557" s="209">
        <v>0</v>
      </c>
      <c r="J557" s="209">
        <v>0</v>
      </c>
      <c r="K557" s="209">
        <v>626</v>
      </c>
    </row>
    <row r="558" spans="1:11" ht="24.75" customHeight="1">
      <c r="A558" s="208">
        <v>42651</v>
      </c>
      <c r="B558" s="209" t="s">
        <v>511</v>
      </c>
      <c r="C558" s="226">
        <v>300009197635</v>
      </c>
      <c r="D558" s="272" t="s">
        <v>282</v>
      </c>
      <c r="E558" s="209">
        <v>0</v>
      </c>
      <c r="F558" s="209">
        <v>6</v>
      </c>
      <c r="G558" s="209">
        <v>6</v>
      </c>
      <c r="H558" s="209">
        <v>0</v>
      </c>
      <c r="I558" s="209">
        <v>0</v>
      </c>
      <c r="J558" s="209">
        <v>0</v>
      </c>
      <c r="K558" s="209">
        <v>2572</v>
      </c>
    </row>
    <row r="559" spans="1:11" ht="24.75" customHeight="1">
      <c r="A559" s="208">
        <v>42651</v>
      </c>
      <c r="B559" s="209" t="s">
        <v>511</v>
      </c>
      <c r="C559" s="226">
        <v>300009232016</v>
      </c>
      <c r="D559" s="272" t="s">
        <v>499</v>
      </c>
      <c r="E559" s="209">
        <v>0</v>
      </c>
      <c r="F559" s="209">
        <v>3</v>
      </c>
      <c r="G559" s="209">
        <v>3</v>
      </c>
      <c r="H559" s="209">
        <v>0</v>
      </c>
      <c r="I559" s="209">
        <v>3</v>
      </c>
      <c r="J559" s="209">
        <v>3</v>
      </c>
      <c r="K559" s="209">
        <v>1883</v>
      </c>
    </row>
    <row r="560" spans="1:11" ht="24.75" customHeight="1">
      <c r="A560" s="208">
        <v>42651</v>
      </c>
      <c r="B560" s="209" t="s">
        <v>511</v>
      </c>
      <c r="C560" s="226">
        <v>300009235971</v>
      </c>
      <c r="D560" s="272" t="s">
        <v>241</v>
      </c>
      <c r="E560" s="209">
        <v>0</v>
      </c>
      <c r="F560" s="209">
        <v>0</v>
      </c>
      <c r="G560" s="209">
        <v>0</v>
      </c>
      <c r="H560" s="209">
        <v>0</v>
      </c>
      <c r="I560" s="209">
        <v>0</v>
      </c>
      <c r="J560" s="209">
        <v>0</v>
      </c>
      <c r="K560" s="209">
        <v>0</v>
      </c>
    </row>
    <row r="561" spans="1:11" ht="24.75" customHeight="1">
      <c r="A561" s="208">
        <v>42651</v>
      </c>
      <c r="B561" s="209" t="s">
        <v>511</v>
      </c>
      <c r="C561" s="226">
        <v>300009358277</v>
      </c>
      <c r="D561" s="272" t="s">
        <v>500</v>
      </c>
      <c r="E561" s="209">
        <v>1</v>
      </c>
      <c r="F561" s="209">
        <v>8</v>
      </c>
      <c r="G561" s="209">
        <v>8</v>
      </c>
      <c r="H561" s="209">
        <v>0</v>
      </c>
      <c r="I561" s="209">
        <v>0</v>
      </c>
      <c r="J561" s="209">
        <v>0</v>
      </c>
      <c r="K561" s="209">
        <v>4108</v>
      </c>
    </row>
    <row r="562" spans="1:11" ht="24.75" customHeight="1">
      <c r="A562" s="208">
        <v>42651</v>
      </c>
      <c r="B562" s="209" t="s">
        <v>511</v>
      </c>
      <c r="C562" s="226">
        <v>300009374212</v>
      </c>
      <c r="D562" s="272" t="s">
        <v>235</v>
      </c>
      <c r="E562" s="209">
        <v>0</v>
      </c>
      <c r="F562" s="209">
        <v>3</v>
      </c>
      <c r="G562" s="209">
        <v>3</v>
      </c>
      <c r="H562" s="209">
        <v>0</v>
      </c>
      <c r="I562" s="209">
        <v>0</v>
      </c>
      <c r="J562" s="209">
        <v>0</v>
      </c>
      <c r="K562" s="209">
        <v>683</v>
      </c>
    </row>
    <row r="563" spans="1:11" ht="24.75" customHeight="1">
      <c r="A563" s="208">
        <v>42651</v>
      </c>
      <c r="B563" s="209" t="s">
        <v>511</v>
      </c>
      <c r="C563" s="226">
        <v>300009406201</v>
      </c>
      <c r="D563" s="272" t="s">
        <v>234</v>
      </c>
      <c r="E563" s="209">
        <v>0</v>
      </c>
      <c r="F563" s="209">
        <v>4</v>
      </c>
      <c r="G563" s="209">
        <v>4</v>
      </c>
      <c r="H563" s="209">
        <v>0</v>
      </c>
      <c r="I563" s="209">
        <v>1</v>
      </c>
      <c r="J563" s="209">
        <v>1</v>
      </c>
      <c r="K563" s="209">
        <v>809</v>
      </c>
    </row>
    <row r="564" spans="1:11" ht="24.75" customHeight="1">
      <c r="A564" s="208">
        <v>42651</v>
      </c>
      <c r="B564" s="209" t="s">
        <v>511</v>
      </c>
      <c r="C564" s="226">
        <v>300009406202</v>
      </c>
      <c r="D564" s="272" t="s">
        <v>232</v>
      </c>
      <c r="E564" s="209">
        <v>0</v>
      </c>
      <c r="F564" s="209">
        <v>0</v>
      </c>
      <c r="G564" s="209">
        <v>0</v>
      </c>
      <c r="H564" s="209">
        <v>0</v>
      </c>
      <c r="I564" s="209">
        <v>0</v>
      </c>
      <c r="J564" s="209">
        <v>0</v>
      </c>
      <c r="K564" s="209">
        <v>0</v>
      </c>
    </row>
    <row r="565" spans="1:11" ht="24.75" customHeight="1">
      <c r="A565" s="208">
        <v>42651</v>
      </c>
      <c r="B565" s="209" t="s">
        <v>511</v>
      </c>
      <c r="C565" s="226">
        <v>300009410229</v>
      </c>
      <c r="D565" s="272" t="s">
        <v>279</v>
      </c>
      <c r="E565" s="209">
        <v>0</v>
      </c>
      <c r="F565" s="209">
        <v>0</v>
      </c>
      <c r="G565" s="209">
        <v>0</v>
      </c>
      <c r="H565" s="209">
        <v>0</v>
      </c>
      <c r="I565" s="209">
        <v>0</v>
      </c>
      <c r="J565" s="209">
        <v>0</v>
      </c>
      <c r="K565" s="209">
        <v>43</v>
      </c>
    </row>
    <row r="566" spans="1:11" ht="24.75" customHeight="1">
      <c r="A566" s="208">
        <v>42651</v>
      </c>
      <c r="B566" s="209" t="s">
        <v>511</v>
      </c>
      <c r="C566" s="226">
        <v>300009480238</v>
      </c>
      <c r="D566" s="272" t="s">
        <v>263</v>
      </c>
      <c r="E566" s="209">
        <v>1</v>
      </c>
      <c r="F566" s="209">
        <v>15</v>
      </c>
      <c r="G566" s="209">
        <v>15</v>
      </c>
      <c r="H566" s="209">
        <v>0</v>
      </c>
      <c r="I566" s="209">
        <v>3</v>
      </c>
      <c r="J566" s="209">
        <v>3</v>
      </c>
      <c r="K566" s="209">
        <v>1161</v>
      </c>
    </row>
    <row r="567" spans="1:11" ht="24.75" customHeight="1">
      <c r="A567" s="208">
        <v>42651</v>
      </c>
      <c r="B567" s="209" t="s">
        <v>529</v>
      </c>
      <c r="C567" s="226">
        <v>300009003496</v>
      </c>
      <c r="D567" s="272" t="s">
        <v>546</v>
      </c>
      <c r="E567" s="209">
        <v>0</v>
      </c>
      <c r="F567" s="209">
        <v>0</v>
      </c>
      <c r="G567" s="209">
        <v>0</v>
      </c>
      <c r="H567" s="209" t="s">
        <v>242</v>
      </c>
      <c r="I567" s="209" t="s">
        <v>242</v>
      </c>
      <c r="J567" s="209" t="s">
        <v>242</v>
      </c>
      <c r="K567" s="209">
        <v>0</v>
      </c>
    </row>
    <row r="568" spans="1:11" ht="24.75" customHeight="1">
      <c r="A568" s="208">
        <v>42651</v>
      </c>
      <c r="B568" s="209" t="s">
        <v>529</v>
      </c>
      <c r="C568" s="226">
        <v>300009822212</v>
      </c>
      <c r="D568" s="272" t="s">
        <v>530</v>
      </c>
      <c r="E568" s="209">
        <v>7</v>
      </c>
      <c r="F568" s="209">
        <v>52</v>
      </c>
      <c r="G568" s="209">
        <v>52</v>
      </c>
      <c r="H568" s="209">
        <v>2</v>
      </c>
      <c r="I568" s="209">
        <v>16</v>
      </c>
      <c r="J568" s="209">
        <v>16</v>
      </c>
      <c r="K568" s="209">
        <v>9614</v>
      </c>
    </row>
    <row r="569" spans="1:11" ht="24.75" customHeight="1">
      <c r="A569" s="208">
        <v>42651</v>
      </c>
      <c r="B569" s="209" t="s">
        <v>529</v>
      </c>
      <c r="C569" s="226">
        <v>300008467005</v>
      </c>
      <c r="D569" s="272" t="s">
        <v>540</v>
      </c>
      <c r="E569" s="209">
        <v>1</v>
      </c>
      <c r="F569" s="209">
        <v>13</v>
      </c>
      <c r="G569" s="209">
        <v>13</v>
      </c>
      <c r="H569" s="209">
        <v>0</v>
      </c>
      <c r="I569" s="209">
        <v>6</v>
      </c>
      <c r="J569" s="209">
        <v>6</v>
      </c>
      <c r="K569" s="209">
        <v>297</v>
      </c>
    </row>
    <row r="570" spans="1:11" ht="24.75" customHeight="1">
      <c r="A570" s="208">
        <v>42651</v>
      </c>
      <c r="B570" s="209" t="s">
        <v>529</v>
      </c>
      <c r="C570" s="226">
        <v>300009190346</v>
      </c>
      <c r="D570" s="272" t="s">
        <v>528</v>
      </c>
      <c r="E570" s="209">
        <v>0</v>
      </c>
      <c r="F570" s="209">
        <v>1</v>
      </c>
      <c r="G570" s="209">
        <v>1</v>
      </c>
      <c r="H570" s="209">
        <v>0</v>
      </c>
      <c r="I570" s="209">
        <v>0</v>
      </c>
      <c r="J570" s="209">
        <v>0</v>
      </c>
      <c r="K570" s="209">
        <v>0</v>
      </c>
    </row>
    <row r="571" spans="1:11" ht="24.75" customHeight="1">
      <c r="A571" s="208">
        <v>42651</v>
      </c>
      <c r="B571" s="209" t="s">
        <v>529</v>
      </c>
      <c r="C571" s="226">
        <v>300009190385</v>
      </c>
      <c r="D571" s="272" t="s">
        <v>538</v>
      </c>
      <c r="E571" s="209">
        <v>0</v>
      </c>
      <c r="F571" s="209">
        <v>0</v>
      </c>
      <c r="G571" s="209">
        <v>0</v>
      </c>
      <c r="H571" s="209">
        <v>0</v>
      </c>
      <c r="I571" s="209">
        <v>0</v>
      </c>
      <c r="J571" s="209">
        <v>0</v>
      </c>
      <c r="K571" s="209">
        <v>499</v>
      </c>
    </row>
    <row r="572" spans="1:11" ht="24.75" customHeight="1">
      <c r="A572" s="208">
        <v>42651</v>
      </c>
      <c r="B572" s="209" t="s">
        <v>529</v>
      </c>
      <c r="C572" s="226">
        <v>300009191923</v>
      </c>
      <c r="D572" s="272" t="s">
        <v>545</v>
      </c>
      <c r="E572" s="209">
        <v>0</v>
      </c>
      <c r="F572" s="209">
        <v>0</v>
      </c>
      <c r="G572" s="209">
        <v>0</v>
      </c>
      <c r="H572" s="209">
        <v>0</v>
      </c>
      <c r="I572" s="209">
        <v>0</v>
      </c>
      <c r="J572" s="209">
        <v>0</v>
      </c>
      <c r="K572" s="209">
        <v>0</v>
      </c>
    </row>
    <row r="573" spans="1:11" ht="24.75" customHeight="1">
      <c r="A573" s="208">
        <v>42651</v>
      </c>
      <c r="B573" s="209" t="s">
        <v>529</v>
      </c>
      <c r="C573" s="226">
        <v>300009197635</v>
      </c>
      <c r="D573" s="272" t="s">
        <v>282</v>
      </c>
      <c r="E573" s="209">
        <v>0</v>
      </c>
      <c r="F573" s="209">
        <v>2</v>
      </c>
      <c r="G573" s="209">
        <v>2</v>
      </c>
      <c r="H573" s="209">
        <v>0</v>
      </c>
      <c r="I573" s="209">
        <v>1</v>
      </c>
      <c r="J573" s="209">
        <v>1</v>
      </c>
      <c r="K573" s="209">
        <v>1653</v>
      </c>
    </row>
    <row r="574" spans="1:11" ht="24.75" customHeight="1">
      <c r="A574" s="208">
        <v>42651</v>
      </c>
      <c r="B574" s="209" t="s">
        <v>529</v>
      </c>
      <c r="C574" s="226">
        <v>300009197814</v>
      </c>
      <c r="D574" s="272" t="s">
        <v>533</v>
      </c>
      <c r="E574" s="209">
        <v>0</v>
      </c>
      <c r="F574" s="209">
        <v>4</v>
      </c>
      <c r="G574" s="209">
        <v>4</v>
      </c>
      <c r="H574" s="209">
        <v>0</v>
      </c>
      <c r="I574" s="209">
        <v>3</v>
      </c>
      <c r="J574" s="209">
        <v>3</v>
      </c>
      <c r="K574" s="209">
        <v>1098</v>
      </c>
    </row>
    <row r="575" spans="1:11" ht="24.75" customHeight="1">
      <c r="A575" s="208">
        <v>42651</v>
      </c>
      <c r="B575" s="209" t="s">
        <v>529</v>
      </c>
      <c r="C575" s="226">
        <v>300009208033</v>
      </c>
      <c r="D575" s="272" t="s">
        <v>548</v>
      </c>
      <c r="E575" s="209">
        <v>0</v>
      </c>
      <c r="F575" s="209">
        <v>0</v>
      </c>
      <c r="G575" s="209">
        <v>0</v>
      </c>
      <c r="H575" s="209">
        <v>0</v>
      </c>
      <c r="I575" s="209">
        <v>0</v>
      </c>
      <c r="J575" s="209">
        <v>0</v>
      </c>
      <c r="K575" s="209">
        <v>621</v>
      </c>
    </row>
    <row r="576" spans="1:11" ht="24.75" customHeight="1">
      <c r="A576" s="208">
        <v>42651</v>
      </c>
      <c r="B576" s="209" t="s">
        <v>529</v>
      </c>
      <c r="C576" s="226">
        <v>300009208675</v>
      </c>
      <c r="D576" s="272" t="s">
        <v>535</v>
      </c>
      <c r="E576" s="209">
        <v>0</v>
      </c>
      <c r="F576" s="209">
        <v>0</v>
      </c>
      <c r="G576" s="209">
        <v>0</v>
      </c>
      <c r="H576" s="209">
        <v>0</v>
      </c>
      <c r="I576" s="209">
        <v>0</v>
      </c>
      <c r="J576" s="209">
        <v>0</v>
      </c>
      <c r="K576" s="209">
        <v>1164</v>
      </c>
    </row>
    <row r="577" spans="1:11" ht="24.75" customHeight="1">
      <c r="A577" s="208">
        <v>42651</v>
      </c>
      <c r="B577" s="209" t="s">
        <v>529</v>
      </c>
      <c r="C577" s="226">
        <v>300009208680</v>
      </c>
      <c r="D577" s="272" t="s">
        <v>532</v>
      </c>
      <c r="E577" s="209">
        <v>0</v>
      </c>
      <c r="F577" s="209">
        <v>1</v>
      </c>
      <c r="G577" s="209">
        <v>1</v>
      </c>
      <c r="H577" s="209">
        <v>0</v>
      </c>
      <c r="I577" s="209">
        <v>1</v>
      </c>
      <c r="J577" s="209">
        <v>1</v>
      </c>
      <c r="K577" s="209">
        <v>1077</v>
      </c>
    </row>
    <row r="578" spans="1:11" ht="24.75" customHeight="1">
      <c r="A578" s="208">
        <v>42651</v>
      </c>
      <c r="B578" s="209" t="s">
        <v>529</v>
      </c>
      <c r="C578" s="226">
        <v>300009211922</v>
      </c>
      <c r="D578" s="209" t="s">
        <v>523</v>
      </c>
      <c r="E578" s="209">
        <v>0</v>
      </c>
      <c r="F578" s="209">
        <v>0</v>
      </c>
      <c r="G578" s="209">
        <v>0</v>
      </c>
      <c r="H578" s="209">
        <v>0</v>
      </c>
      <c r="I578" s="209">
        <v>0</v>
      </c>
      <c r="J578" s="209">
        <v>0</v>
      </c>
      <c r="K578" s="209">
        <v>47</v>
      </c>
    </row>
    <row r="579" spans="1:11" ht="24.75" customHeight="1">
      <c r="A579" s="208">
        <v>42651</v>
      </c>
      <c r="B579" s="209" t="s">
        <v>529</v>
      </c>
      <c r="C579" s="226">
        <v>300009212855</v>
      </c>
      <c r="D579" s="272" t="s">
        <v>536</v>
      </c>
      <c r="E579" s="209">
        <v>0</v>
      </c>
      <c r="F579" s="209">
        <v>3</v>
      </c>
      <c r="G579" s="209">
        <v>3</v>
      </c>
      <c r="H579" s="209">
        <v>0</v>
      </c>
      <c r="I579" s="209">
        <v>0</v>
      </c>
      <c r="J579" s="209">
        <v>0</v>
      </c>
      <c r="K579" s="209">
        <v>584</v>
      </c>
    </row>
    <row r="580" spans="1:11" ht="24.75" customHeight="1">
      <c r="A580" s="208">
        <v>42651</v>
      </c>
      <c r="B580" s="209" t="s">
        <v>529</v>
      </c>
      <c r="C580" s="226">
        <v>300009232016</v>
      </c>
      <c r="D580" s="272" t="s">
        <v>499</v>
      </c>
      <c r="E580" s="209">
        <v>0</v>
      </c>
      <c r="F580" s="209">
        <v>1</v>
      </c>
      <c r="G580" s="209">
        <v>1</v>
      </c>
      <c r="H580" s="209">
        <v>0</v>
      </c>
      <c r="I580" s="209">
        <v>0</v>
      </c>
      <c r="J580" s="209">
        <v>0</v>
      </c>
      <c r="K580" s="209">
        <v>1214</v>
      </c>
    </row>
    <row r="581" spans="1:11" ht="24.75" customHeight="1">
      <c r="A581" s="208">
        <v>42651</v>
      </c>
      <c r="B581" s="209" t="s">
        <v>529</v>
      </c>
      <c r="C581" s="226">
        <v>300009240032</v>
      </c>
      <c r="D581" s="272" t="s">
        <v>542</v>
      </c>
      <c r="E581" s="209">
        <v>0</v>
      </c>
      <c r="F581" s="209">
        <v>0</v>
      </c>
      <c r="G581" s="209">
        <v>0</v>
      </c>
      <c r="H581" s="209">
        <v>0</v>
      </c>
      <c r="I581" s="209">
        <v>0</v>
      </c>
      <c r="J581" s="209">
        <v>0</v>
      </c>
      <c r="K581" s="209">
        <v>8</v>
      </c>
    </row>
    <row r="582" spans="1:11" ht="24.75" customHeight="1">
      <c r="A582" s="208">
        <v>42651</v>
      </c>
      <c r="B582" s="209" t="s">
        <v>529</v>
      </c>
      <c r="C582" s="226">
        <v>300009249957</v>
      </c>
      <c r="D582" s="272" t="s">
        <v>537</v>
      </c>
      <c r="E582" s="209">
        <v>0</v>
      </c>
      <c r="F582" s="209">
        <v>1</v>
      </c>
      <c r="G582" s="209">
        <v>1</v>
      </c>
      <c r="H582" s="209">
        <v>0</v>
      </c>
      <c r="I582" s="209">
        <v>1</v>
      </c>
      <c r="J582" s="209">
        <v>1</v>
      </c>
      <c r="K582" s="209">
        <v>1120</v>
      </c>
    </row>
    <row r="583" spans="1:11" ht="24.75" customHeight="1">
      <c r="A583" s="208">
        <v>42651</v>
      </c>
      <c r="B583" s="209" t="s">
        <v>529</v>
      </c>
      <c r="C583" s="226">
        <v>300009288214</v>
      </c>
      <c r="D583" s="272" t="s">
        <v>547</v>
      </c>
      <c r="E583" s="209">
        <v>0</v>
      </c>
      <c r="F583" s="209">
        <v>0</v>
      </c>
      <c r="G583" s="209">
        <v>0</v>
      </c>
      <c r="H583" s="209">
        <v>0</v>
      </c>
      <c r="I583" s="209">
        <v>0</v>
      </c>
      <c r="J583" s="209">
        <v>0</v>
      </c>
      <c r="K583" s="209">
        <v>0</v>
      </c>
    </row>
    <row r="584" spans="1:11" ht="24.75" customHeight="1">
      <c r="A584" s="208">
        <v>42651</v>
      </c>
      <c r="B584" s="209" t="s">
        <v>529</v>
      </c>
      <c r="C584" s="226">
        <v>300009288265</v>
      </c>
      <c r="D584" s="272" t="s">
        <v>531</v>
      </c>
      <c r="E584" s="209">
        <v>0</v>
      </c>
      <c r="F584" s="209">
        <v>7</v>
      </c>
      <c r="G584" s="209">
        <v>7</v>
      </c>
      <c r="H584" s="209">
        <v>0</v>
      </c>
      <c r="I584" s="209">
        <v>1</v>
      </c>
      <c r="J584" s="209">
        <v>1</v>
      </c>
      <c r="K584" s="209">
        <v>1862</v>
      </c>
    </row>
    <row r="585" spans="1:11" ht="24.75" customHeight="1">
      <c r="A585" s="208">
        <v>42651</v>
      </c>
      <c r="B585" s="209" t="s">
        <v>529</v>
      </c>
      <c r="C585" s="226">
        <v>300009290227</v>
      </c>
      <c r="D585" s="272" t="s">
        <v>534</v>
      </c>
      <c r="E585" s="209">
        <v>0</v>
      </c>
      <c r="F585" s="209">
        <v>1</v>
      </c>
      <c r="G585" s="209">
        <v>1</v>
      </c>
      <c r="H585" s="209">
        <v>0</v>
      </c>
      <c r="I585" s="209">
        <v>1</v>
      </c>
      <c r="J585" s="209">
        <v>1</v>
      </c>
      <c r="K585" s="209">
        <v>676</v>
      </c>
    </row>
    <row r="586" spans="1:11" ht="24.75" customHeight="1">
      <c r="A586" s="208">
        <v>42651</v>
      </c>
      <c r="B586" s="209" t="s">
        <v>529</v>
      </c>
      <c r="C586" s="226">
        <v>300009294244</v>
      </c>
      <c r="D586" s="272" t="s">
        <v>539</v>
      </c>
      <c r="E586" s="209">
        <v>0</v>
      </c>
      <c r="F586" s="209">
        <v>6</v>
      </c>
      <c r="G586" s="209">
        <v>6</v>
      </c>
      <c r="H586" s="209">
        <v>0</v>
      </c>
      <c r="I586" s="209">
        <v>1</v>
      </c>
      <c r="J586" s="209">
        <v>1</v>
      </c>
      <c r="K586" s="209">
        <v>1405</v>
      </c>
    </row>
    <row r="587" spans="1:11" ht="24.75" customHeight="1">
      <c r="A587" s="208">
        <v>42651</v>
      </c>
      <c r="B587" s="209" t="s">
        <v>529</v>
      </c>
      <c r="C587" s="226">
        <v>300009294244</v>
      </c>
      <c r="D587" s="272" t="s">
        <v>539</v>
      </c>
      <c r="E587" s="209">
        <v>0</v>
      </c>
      <c r="F587" s="209">
        <v>6</v>
      </c>
      <c r="G587" s="209">
        <v>6</v>
      </c>
      <c r="H587" s="209">
        <v>0</v>
      </c>
      <c r="I587" s="209">
        <v>1</v>
      </c>
      <c r="J587" s="209">
        <v>1</v>
      </c>
      <c r="K587" s="209">
        <v>1405</v>
      </c>
    </row>
    <row r="588" spans="1:11" ht="24.75" customHeight="1">
      <c r="A588" s="208">
        <v>42651</v>
      </c>
      <c r="B588" s="209" t="s">
        <v>529</v>
      </c>
      <c r="C588" s="226">
        <v>300009328320</v>
      </c>
      <c r="D588" s="272" t="s">
        <v>543</v>
      </c>
      <c r="E588" s="209">
        <v>0</v>
      </c>
      <c r="F588" s="209">
        <v>0</v>
      </c>
      <c r="G588" s="209">
        <v>0</v>
      </c>
      <c r="H588" s="209">
        <v>0</v>
      </c>
      <c r="I588" s="209">
        <v>0</v>
      </c>
      <c r="J588" s="209">
        <v>0</v>
      </c>
      <c r="K588" s="209">
        <v>26</v>
      </c>
    </row>
    <row r="589" spans="1:11" ht="24.75" customHeight="1">
      <c r="A589" s="208">
        <v>42651</v>
      </c>
      <c r="B589" s="209" t="s">
        <v>529</v>
      </c>
      <c r="C589" s="226">
        <v>300009406202</v>
      </c>
      <c r="D589" s="272" t="s">
        <v>232</v>
      </c>
      <c r="E589" s="209">
        <v>0</v>
      </c>
      <c r="F589" s="209">
        <v>1</v>
      </c>
      <c r="G589" s="209">
        <v>1</v>
      </c>
      <c r="H589" s="209">
        <v>0</v>
      </c>
      <c r="I589" s="209">
        <v>0</v>
      </c>
      <c r="J589" s="209">
        <v>0</v>
      </c>
      <c r="K589" s="209">
        <v>113</v>
      </c>
    </row>
    <row r="590" spans="1:11" ht="24.75" customHeight="1">
      <c r="A590" s="208">
        <v>42651</v>
      </c>
      <c r="B590" s="209" t="s">
        <v>529</v>
      </c>
      <c r="C590" s="226">
        <v>300009972233</v>
      </c>
      <c r="D590" s="272" t="s">
        <v>544</v>
      </c>
      <c r="E590" s="209">
        <v>0</v>
      </c>
      <c r="F590" s="209">
        <v>2</v>
      </c>
      <c r="G590" s="209">
        <v>2</v>
      </c>
      <c r="H590" s="209">
        <v>0</v>
      </c>
      <c r="I590" s="209">
        <v>2</v>
      </c>
      <c r="J590" s="209">
        <v>2</v>
      </c>
      <c r="K590" s="209">
        <v>2</v>
      </c>
    </row>
    <row r="591" spans="1:11" ht="24.75" customHeight="1">
      <c r="A591" s="208">
        <v>42651</v>
      </c>
      <c r="B591" s="209" t="s">
        <v>519</v>
      </c>
      <c r="C591" s="226">
        <v>300008841062</v>
      </c>
      <c r="D591" s="272" t="s">
        <v>277</v>
      </c>
      <c r="E591" s="209">
        <v>1</v>
      </c>
      <c r="F591" s="209">
        <v>6</v>
      </c>
      <c r="G591" s="209">
        <v>6</v>
      </c>
      <c r="H591" s="209">
        <v>1</v>
      </c>
      <c r="I591" s="209">
        <v>5</v>
      </c>
      <c r="J591" s="209">
        <v>5</v>
      </c>
      <c r="K591" s="209">
        <v>2049</v>
      </c>
    </row>
    <row r="592" spans="1:11" ht="24.75" customHeight="1">
      <c r="A592" s="208">
        <v>42651</v>
      </c>
      <c r="B592" s="209" t="s">
        <v>519</v>
      </c>
      <c r="C592" s="226">
        <v>300009842225</v>
      </c>
      <c r="D592" s="272" t="s">
        <v>524</v>
      </c>
      <c r="E592" s="209">
        <v>1</v>
      </c>
      <c r="F592" s="209">
        <v>18</v>
      </c>
      <c r="G592" s="209">
        <v>18</v>
      </c>
      <c r="H592" s="209">
        <v>1</v>
      </c>
      <c r="I592" s="209">
        <v>18</v>
      </c>
      <c r="J592" s="209">
        <v>18</v>
      </c>
      <c r="K592" s="209">
        <v>3463</v>
      </c>
    </row>
    <row r="593" spans="1:11" ht="24.75" customHeight="1">
      <c r="A593" s="208">
        <v>42651</v>
      </c>
      <c r="B593" s="209" t="s">
        <v>519</v>
      </c>
      <c r="C593" s="226">
        <v>300002932641</v>
      </c>
      <c r="D593" s="272" t="s">
        <v>503</v>
      </c>
      <c r="E593" s="209">
        <v>0</v>
      </c>
      <c r="F593" s="209">
        <v>0</v>
      </c>
      <c r="G593" s="209">
        <v>0</v>
      </c>
      <c r="H593" s="209">
        <v>0</v>
      </c>
      <c r="I593" s="209">
        <v>0</v>
      </c>
      <c r="J593" s="209">
        <v>0</v>
      </c>
      <c r="K593" s="209">
        <v>2</v>
      </c>
    </row>
    <row r="594" spans="1:11" ht="24.75" customHeight="1">
      <c r="A594" s="208">
        <v>42651</v>
      </c>
      <c r="B594" s="209" t="s">
        <v>519</v>
      </c>
      <c r="C594" s="226">
        <v>300008656423</v>
      </c>
      <c r="D594" s="272" t="s">
        <v>522</v>
      </c>
      <c r="E594" s="209">
        <v>0</v>
      </c>
      <c r="F594" s="209">
        <v>0</v>
      </c>
      <c r="G594" s="209">
        <v>0</v>
      </c>
      <c r="H594" s="209">
        <v>0</v>
      </c>
      <c r="I594" s="209">
        <v>0</v>
      </c>
      <c r="J594" s="209">
        <v>0</v>
      </c>
      <c r="K594" s="209">
        <v>5</v>
      </c>
    </row>
    <row r="595" spans="1:11" ht="24.75" customHeight="1">
      <c r="A595" s="208">
        <v>42651</v>
      </c>
      <c r="B595" s="209" t="s">
        <v>519</v>
      </c>
      <c r="C595" s="226">
        <v>300008993578</v>
      </c>
      <c r="D595" s="272" t="s">
        <v>497</v>
      </c>
      <c r="E595" s="209">
        <v>0</v>
      </c>
      <c r="F595" s="209">
        <v>2</v>
      </c>
      <c r="G595" s="209">
        <v>2</v>
      </c>
      <c r="H595" s="209">
        <v>0</v>
      </c>
      <c r="I595" s="209">
        <v>2</v>
      </c>
      <c r="J595" s="209">
        <v>2</v>
      </c>
      <c r="K595" s="209">
        <v>1352</v>
      </c>
    </row>
    <row r="596" spans="1:11" ht="24.75" customHeight="1">
      <c r="A596" s="208">
        <v>42651</v>
      </c>
      <c r="B596" s="209" t="s">
        <v>519</v>
      </c>
      <c r="C596" s="226">
        <v>300009000071</v>
      </c>
      <c r="D596" s="209" t="s">
        <v>527</v>
      </c>
      <c r="E596" s="209">
        <v>0</v>
      </c>
      <c r="F596" s="209">
        <v>1</v>
      </c>
      <c r="G596" s="209">
        <v>1</v>
      </c>
      <c r="H596" s="209">
        <v>0</v>
      </c>
      <c r="I596" s="209">
        <v>0</v>
      </c>
      <c r="J596" s="209">
        <v>0</v>
      </c>
      <c r="K596" s="209">
        <v>0</v>
      </c>
    </row>
    <row r="597" spans="1:11" ht="24.75" customHeight="1">
      <c r="A597" s="208">
        <v>42651</v>
      </c>
      <c r="B597" s="209" t="s">
        <v>519</v>
      </c>
      <c r="C597" s="226">
        <v>300009016017</v>
      </c>
      <c r="D597" s="272" t="s">
        <v>498</v>
      </c>
      <c r="E597" s="209">
        <v>0</v>
      </c>
      <c r="F597" s="209">
        <v>0</v>
      </c>
      <c r="G597" s="209">
        <v>0</v>
      </c>
      <c r="H597" s="209">
        <v>0</v>
      </c>
      <c r="I597" s="209">
        <v>0</v>
      </c>
      <c r="J597" s="209">
        <v>0</v>
      </c>
      <c r="K597" s="209">
        <v>325</v>
      </c>
    </row>
    <row r="598" spans="1:11" ht="24.75" customHeight="1">
      <c r="A598" s="208">
        <v>42651</v>
      </c>
      <c r="B598" s="209" t="s">
        <v>519</v>
      </c>
      <c r="C598" s="226">
        <v>300009185572</v>
      </c>
      <c r="D598" s="272" t="s">
        <v>237</v>
      </c>
      <c r="E598" s="209">
        <v>1</v>
      </c>
      <c r="F598" s="209">
        <v>12</v>
      </c>
      <c r="G598" s="209">
        <v>12</v>
      </c>
      <c r="H598" s="209">
        <v>0</v>
      </c>
      <c r="I598" s="209">
        <v>1</v>
      </c>
      <c r="J598" s="209">
        <v>1</v>
      </c>
      <c r="K598" s="209">
        <v>1205</v>
      </c>
    </row>
    <row r="599" spans="1:11" ht="24.75" customHeight="1">
      <c r="A599" s="208">
        <v>42651</v>
      </c>
      <c r="B599" s="209" t="s">
        <v>519</v>
      </c>
      <c r="C599" s="226">
        <v>300009190335</v>
      </c>
      <c r="D599" s="272" t="s">
        <v>526</v>
      </c>
      <c r="E599" s="209">
        <v>0</v>
      </c>
      <c r="F599" s="209">
        <v>4</v>
      </c>
      <c r="G599" s="209">
        <v>4</v>
      </c>
      <c r="H599" s="209">
        <v>0</v>
      </c>
      <c r="I599" s="209">
        <v>1</v>
      </c>
      <c r="J599" s="209">
        <v>1</v>
      </c>
      <c r="K599" s="209">
        <v>1</v>
      </c>
    </row>
    <row r="600" spans="1:11" ht="24.75" customHeight="1">
      <c r="A600" s="208">
        <v>42651</v>
      </c>
      <c r="B600" s="209" t="s">
        <v>519</v>
      </c>
      <c r="C600" s="226">
        <v>300009190346</v>
      </c>
      <c r="D600" s="272" t="s">
        <v>528</v>
      </c>
      <c r="E600" s="209">
        <v>0</v>
      </c>
      <c r="F600" s="209">
        <v>1</v>
      </c>
      <c r="G600" s="209">
        <v>1</v>
      </c>
      <c r="H600" s="209">
        <v>0</v>
      </c>
      <c r="I600" s="209">
        <v>0</v>
      </c>
      <c r="J600" s="209">
        <v>0</v>
      </c>
      <c r="K600" s="209">
        <v>0</v>
      </c>
    </row>
    <row r="601" spans="1:11" ht="24.75" customHeight="1">
      <c r="A601" s="208">
        <v>42651</v>
      </c>
      <c r="B601" s="209" t="s">
        <v>519</v>
      </c>
      <c r="C601" s="226">
        <v>300009190346</v>
      </c>
      <c r="D601" s="272" t="s">
        <v>528</v>
      </c>
      <c r="E601" s="209">
        <v>0</v>
      </c>
      <c r="F601" s="209">
        <v>1</v>
      </c>
      <c r="G601" s="209">
        <v>1</v>
      </c>
      <c r="H601" s="209">
        <v>0</v>
      </c>
      <c r="I601" s="209">
        <v>0</v>
      </c>
      <c r="J601" s="209">
        <v>0</v>
      </c>
      <c r="K601" s="209">
        <v>0</v>
      </c>
    </row>
    <row r="602" spans="1:11" ht="24.75" customHeight="1">
      <c r="A602" s="208">
        <v>42651</v>
      </c>
      <c r="B602" s="209" t="s">
        <v>519</v>
      </c>
      <c r="C602" s="226">
        <v>300009193471</v>
      </c>
      <c r="D602" s="272" t="s">
        <v>502</v>
      </c>
      <c r="E602" s="209">
        <v>0</v>
      </c>
      <c r="F602" s="209">
        <v>0</v>
      </c>
      <c r="G602" s="209">
        <v>0</v>
      </c>
      <c r="H602" s="209">
        <v>0</v>
      </c>
      <c r="I602" s="209">
        <v>0</v>
      </c>
      <c r="J602" s="209">
        <v>0</v>
      </c>
      <c r="K602" s="209">
        <v>583</v>
      </c>
    </row>
    <row r="603" spans="1:11" ht="24.75" customHeight="1">
      <c r="A603" s="208">
        <v>42651</v>
      </c>
      <c r="B603" s="209" t="s">
        <v>519</v>
      </c>
      <c r="C603" s="226">
        <v>300009197635</v>
      </c>
      <c r="D603" s="272" t="s">
        <v>282</v>
      </c>
      <c r="E603" s="209">
        <v>0</v>
      </c>
      <c r="F603" s="209">
        <v>4</v>
      </c>
      <c r="G603" s="209">
        <v>4</v>
      </c>
      <c r="H603" s="209">
        <v>0</v>
      </c>
      <c r="I603" s="209">
        <v>1</v>
      </c>
      <c r="J603" s="209">
        <v>1</v>
      </c>
      <c r="K603" s="209">
        <v>2585</v>
      </c>
    </row>
    <row r="604" spans="1:11" ht="24.75" customHeight="1">
      <c r="A604" s="208">
        <v>42651</v>
      </c>
      <c r="B604" s="209" t="s">
        <v>519</v>
      </c>
      <c r="C604" s="226">
        <v>300009207968</v>
      </c>
      <c r="D604" s="272" t="s">
        <v>525</v>
      </c>
      <c r="E604" s="209">
        <v>2</v>
      </c>
      <c r="F604" s="209">
        <v>10</v>
      </c>
      <c r="G604" s="209">
        <v>10</v>
      </c>
      <c r="H604" s="209">
        <v>0</v>
      </c>
      <c r="I604" s="209">
        <v>4</v>
      </c>
      <c r="J604" s="209">
        <v>4</v>
      </c>
      <c r="K604" s="209">
        <v>929</v>
      </c>
    </row>
    <row r="605" spans="1:11" ht="24.75" customHeight="1">
      <c r="A605" s="208">
        <v>42651</v>
      </c>
      <c r="B605" s="209" t="s">
        <v>519</v>
      </c>
      <c r="C605" s="226">
        <v>300009211922</v>
      </c>
      <c r="D605" s="209" t="s">
        <v>523</v>
      </c>
      <c r="E605" s="209">
        <v>0</v>
      </c>
      <c r="F605" s="209">
        <v>2</v>
      </c>
      <c r="G605" s="209">
        <v>2</v>
      </c>
      <c r="H605" s="209">
        <v>0</v>
      </c>
      <c r="I605" s="209">
        <v>0</v>
      </c>
      <c r="J605" s="209">
        <v>0</v>
      </c>
      <c r="K605" s="209">
        <v>0</v>
      </c>
    </row>
    <row r="606" spans="1:11" ht="24.75" customHeight="1">
      <c r="A606" s="208">
        <v>42651</v>
      </c>
      <c r="B606" s="209" t="s">
        <v>519</v>
      </c>
      <c r="C606" s="226">
        <v>300009232016</v>
      </c>
      <c r="D606" s="272" t="s">
        <v>499</v>
      </c>
      <c r="E606" s="209">
        <v>0</v>
      </c>
      <c r="F606" s="209">
        <v>2</v>
      </c>
      <c r="G606" s="209">
        <v>2</v>
      </c>
      <c r="H606" s="209">
        <v>0</v>
      </c>
      <c r="I606" s="209">
        <v>2</v>
      </c>
      <c r="J606" s="209">
        <v>2</v>
      </c>
      <c r="K606" s="209">
        <v>1953</v>
      </c>
    </row>
    <row r="607" spans="1:11" ht="24.75" customHeight="1">
      <c r="A607" s="208">
        <v>42651</v>
      </c>
      <c r="B607" s="209" t="s">
        <v>519</v>
      </c>
      <c r="C607" s="226">
        <v>300009358277</v>
      </c>
      <c r="D607" s="272" t="s">
        <v>500</v>
      </c>
      <c r="E607" s="209">
        <v>0</v>
      </c>
      <c r="F607" s="209">
        <v>9</v>
      </c>
      <c r="G607" s="209">
        <v>9</v>
      </c>
      <c r="H607" s="209">
        <v>0</v>
      </c>
      <c r="I607" s="209">
        <v>2</v>
      </c>
      <c r="J607" s="209">
        <v>2</v>
      </c>
      <c r="K607" s="209">
        <v>772</v>
      </c>
    </row>
    <row r="608" spans="1:11" ht="24.75" customHeight="1">
      <c r="A608" s="208">
        <v>42651</v>
      </c>
      <c r="B608" s="209" t="s">
        <v>519</v>
      </c>
      <c r="C608" s="226">
        <v>300009358299</v>
      </c>
      <c r="D608" s="272" t="s">
        <v>520</v>
      </c>
      <c r="E608" s="209">
        <v>0</v>
      </c>
      <c r="F608" s="209">
        <v>2</v>
      </c>
      <c r="G608" s="209">
        <v>2</v>
      </c>
      <c r="H608" s="209">
        <v>0</v>
      </c>
      <c r="I608" s="209">
        <v>1</v>
      </c>
      <c r="J608" s="209">
        <v>1</v>
      </c>
      <c r="K608" s="209">
        <v>1082</v>
      </c>
    </row>
    <row r="609" spans="1:11" ht="24.75" customHeight="1">
      <c r="A609" s="208">
        <v>42651</v>
      </c>
      <c r="B609" s="209" t="s">
        <v>519</v>
      </c>
      <c r="C609" s="226">
        <v>300009358300</v>
      </c>
      <c r="D609" s="272" t="s">
        <v>521</v>
      </c>
      <c r="E609" s="209">
        <v>0</v>
      </c>
      <c r="F609" s="209">
        <v>2</v>
      </c>
      <c r="G609" s="209">
        <v>2</v>
      </c>
      <c r="H609" s="209">
        <v>0</v>
      </c>
      <c r="I609" s="209">
        <v>0</v>
      </c>
      <c r="J609" s="209">
        <v>0</v>
      </c>
      <c r="K609" s="209">
        <v>1021</v>
      </c>
    </row>
    <row r="610" spans="1:11" ht="24.75" customHeight="1">
      <c r="A610" s="208">
        <v>42651</v>
      </c>
      <c r="B610" s="209" t="s">
        <v>519</v>
      </c>
      <c r="C610" s="226">
        <v>300009410229</v>
      </c>
      <c r="D610" s="272" t="s">
        <v>279</v>
      </c>
      <c r="E610" s="209">
        <v>0</v>
      </c>
      <c r="F610" s="209">
        <v>0</v>
      </c>
      <c r="G610" s="209">
        <v>0</v>
      </c>
      <c r="H610" s="209">
        <v>0</v>
      </c>
      <c r="I610" s="209">
        <v>0</v>
      </c>
      <c r="J610" s="209">
        <v>0</v>
      </c>
      <c r="K610" s="209">
        <v>96</v>
      </c>
    </row>
    <row r="611" spans="1:11" ht="24.75" customHeight="1">
      <c r="A611" s="208">
        <v>42651</v>
      </c>
      <c r="B611" s="209" t="s">
        <v>491</v>
      </c>
      <c r="C611" s="226">
        <v>300008868585</v>
      </c>
      <c r="D611" s="272" t="s">
        <v>495</v>
      </c>
      <c r="E611" s="209">
        <v>1</v>
      </c>
      <c r="F611" s="209">
        <v>1</v>
      </c>
      <c r="G611" s="209">
        <v>1</v>
      </c>
      <c r="H611" s="209">
        <v>1</v>
      </c>
      <c r="I611" s="209">
        <v>1</v>
      </c>
      <c r="J611" s="209">
        <v>1</v>
      </c>
      <c r="K611" s="209">
        <v>683</v>
      </c>
    </row>
    <row r="612" spans="1:11" ht="24.75" customHeight="1">
      <c r="A612" s="208">
        <v>42651</v>
      </c>
      <c r="B612" s="209" t="s">
        <v>491</v>
      </c>
      <c r="C612" s="226">
        <v>300007875924</v>
      </c>
      <c r="D612" s="209" t="s">
        <v>492</v>
      </c>
      <c r="E612" s="209">
        <v>0</v>
      </c>
      <c r="F612" s="209">
        <v>0</v>
      </c>
      <c r="G612" s="209">
        <v>0</v>
      </c>
      <c r="H612" s="209">
        <v>0</v>
      </c>
      <c r="I612" s="209">
        <v>0</v>
      </c>
      <c r="J612" s="209">
        <v>0</v>
      </c>
      <c r="K612" s="209">
        <v>8</v>
      </c>
    </row>
    <row r="613" spans="1:11" ht="24.75" customHeight="1">
      <c r="A613" s="208">
        <v>42651</v>
      </c>
      <c r="B613" s="209" t="s">
        <v>491</v>
      </c>
      <c r="C613" s="226">
        <v>300008074001</v>
      </c>
      <c r="D613" s="272" t="s">
        <v>493</v>
      </c>
      <c r="E613" s="209">
        <v>0</v>
      </c>
      <c r="F613" s="209">
        <v>0</v>
      </c>
      <c r="G613" s="209">
        <v>0</v>
      </c>
      <c r="H613" s="209">
        <v>0</v>
      </c>
      <c r="I613" s="209">
        <v>0</v>
      </c>
      <c r="J613" s="209">
        <v>0</v>
      </c>
      <c r="K613" s="209">
        <v>46</v>
      </c>
    </row>
    <row r="614" spans="1:11" ht="24.75" customHeight="1">
      <c r="A614" s="208">
        <v>42651</v>
      </c>
      <c r="B614" s="209" t="s">
        <v>491</v>
      </c>
      <c r="C614" s="226">
        <v>300008183804</v>
      </c>
      <c r="D614" s="272" t="s">
        <v>494</v>
      </c>
      <c r="E614" s="209">
        <v>0</v>
      </c>
      <c r="F614" s="209">
        <v>0</v>
      </c>
      <c r="G614" s="209">
        <v>0</v>
      </c>
      <c r="H614" s="209">
        <v>0</v>
      </c>
      <c r="I614" s="209">
        <v>0</v>
      </c>
      <c r="J614" s="209">
        <v>0</v>
      </c>
      <c r="K614" s="209">
        <v>9</v>
      </c>
    </row>
    <row r="615" spans="1:11" ht="24.75" customHeight="1">
      <c r="A615" s="208">
        <v>42651</v>
      </c>
      <c r="B615" s="209" t="s">
        <v>491</v>
      </c>
      <c r="C615" s="226">
        <v>300008508327</v>
      </c>
      <c r="D615" s="209" t="s">
        <v>501</v>
      </c>
      <c r="E615" s="209">
        <v>0</v>
      </c>
      <c r="F615" s="209">
        <v>0</v>
      </c>
      <c r="G615" s="209">
        <v>0</v>
      </c>
      <c r="H615" s="209">
        <v>0</v>
      </c>
      <c r="I615" s="209">
        <v>0</v>
      </c>
      <c r="J615" s="209">
        <v>0</v>
      </c>
      <c r="K615" s="209">
        <v>880</v>
      </c>
    </row>
    <row r="616" spans="1:11" ht="24.75" customHeight="1">
      <c r="A616" s="208">
        <v>42651</v>
      </c>
      <c r="B616" s="209" t="s">
        <v>491</v>
      </c>
      <c r="C616" s="226">
        <v>300008841062</v>
      </c>
      <c r="D616" s="272" t="s">
        <v>277</v>
      </c>
      <c r="E616" s="209">
        <v>0</v>
      </c>
      <c r="F616" s="209">
        <v>4</v>
      </c>
      <c r="G616" s="209">
        <v>4</v>
      </c>
      <c r="H616" s="209">
        <v>0</v>
      </c>
      <c r="I616" s="209">
        <v>3</v>
      </c>
      <c r="J616" s="209">
        <v>3</v>
      </c>
      <c r="K616" s="209">
        <v>2365</v>
      </c>
    </row>
    <row r="617" spans="1:11" ht="24.75" customHeight="1">
      <c r="A617" s="208">
        <v>42651</v>
      </c>
      <c r="B617" s="209" t="s">
        <v>491</v>
      </c>
      <c r="C617" s="226">
        <v>300008975991</v>
      </c>
      <c r="D617" s="209" t="s">
        <v>496</v>
      </c>
      <c r="E617" s="209">
        <v>0</v>
      </c>
      <c r="F617" s="209">
        <v>0</v>
      </c>
      <c r="G617" s="209">
        <v>0</v>
      </c>
      <c r="H617" s="209">
        <v>0</v>
      </c>
      <c r="I617" s="209">
        <v>0</v>
      </c>
      <c r="J617" s="209">
        <v>0</v>
      </c>
      <c r="K617" s="209">
        <v>5</v>
      </c>
    </row>
    <row r="618" spans="1:11" ht="24.75" customHeight="1">
      <c r="A618" s="208">
        <v>42651</v>
      </c>
      <c r="B618" s="209" t="s">
        <v>491</v>
      </c>
      <c r="C618" s="226">
        <v>300008993578</v>
      </c>
      <c r="D618" s="272" t="s">
        <v>497</v>
      </c>
      <c r="E618" s="209">
        <v>0</v>
      </c>
      <c r="F618" s="209">
        <v>2</v>
      </c>
      <c r="G618" s="209">
        <v>2</v>
      </c>
      <c r="H618" s="209">
        <v>0</v>
      </c>
      <c r="I618" s="209">
        <v>1</v>
      </c>
      <c r="J618" s="209">
        <v>1</v>
      </c>
      <c r="K618" s="209">
        <v>1183</v>
      </c>
    </row>
    <row r="619" spans="1:11" ht="24.75" customHeight="1">
      <c r="A619" s="208">
        <v>42651</v>
      </c>
      <c r="B619" s="209" t="s">
        <v>491</v>
      </c>
      <c r="C619" s="226">
        <v>300009016017</v>
      </c>
      <c r="D619" s="272" t="s">
        <v>498</v>
      </c>
      <c r="E619" s="209">
        <v>0</v>
      </c>
      <c r="F619" s="209">
        <v>0</v>
      </c>
      <c r="G619" s="209">
        <v>0</v>
      </c>
      <c r="H619" s="209">
        <v>0</v>
      </c>
      <c r="I619" s="209">
        <v>0</v>
      </c>
      <c r="J619" s="209">
        <v>0</v>
      </c>
      <c r="K619" s="209">
        <v>342</v>
      </c>
    </row>
    <row r="620" spans="1:11" ht="24.75" customHeight="1">
      <c r="A620" s="208">
        <v>42651</v>
      </c>
      <c r="B620" s="209" t="s">
        <v>491</v>
      </c>
      <c r="C620" s="226">
        <v>300009193471</v>
      </c>
      <c r="D620" s="272" t="s">
        <v>502</v>
      </c>
      <c r="E620" s="209">
        <v>0</v>
      </c>
      <c r="F620" s="209">
        <v>2</v>
      </c>
      <c r="G620" s="209">
        <v>2</v>
      </c>
      <c r="H620" s="209">
        <v>0</v>
      </c>
      <c r="I620" s="209">
        <v>1</v>
      </c>
      <c r="J620" s="209">
        <v>1</v>
      </c>
      <c r="K620" s="209">
        <v>580</v>
      </c>
    </row>
    <row r="621" spans="1:11" ht="24.75" customHeight="1">
      <c r="A621" s="208">
        <v>42651</v>
      </c>
      <c r="B621" s="209" t="s">
        <v>491</v>
      </c>
      <c r="C621" s="226">
        <v>300009197635</v>
      </c>
      <c r="D621" s="272" t="s">
        <v>282</v>
      </c>
      <c r="E621" s="209">
        <v>0</v>
      </c>
      <c r="F621" s="209">
        <v>11</v>
      </c>
      <c r="G621" s="209">
        <v>11</v>
      </c>
      <c r="H621" s="209">
        <v>0</v>
      </c>
      <c r="I621" s="209">
        <v>2</v>
      </c>
      <c r="J621" s="209">
        <v>2</v>
      </c>
      <c r="K621" s="209">
        <v>2661</v>
      </c>
    </row>
    <row r="622" spans="1:11" ht="24.75" customHeight="1">
      <c r="A622" s="208">
        <v>42651</v>
      </c>
      <c r="B622" s="209" t="s">
        <v>491</v>
      </c>
      <c r="C622" s="226">
        <v>300009228510</v>
      </c>
      <c r="D622" s="272" t="s">
        <v>503</v>
      </c>
      <c r="E622" s="209">
        <v>0</v>
      </c>
      <c r="F622" s="209">
        <v>0</v>
      </c>
      <c r="G622" s="209">
        <v>0</v>
      </c>
      <c r="H622" s="209">
        <v>0</v>
      </c>
      <c r="I622" s="209">
        <v>0</v>
      </c>
      <c r="J622" s="209">
        <v>0</v>
      </c>
      <c r="K622" s="209">
        <v>1</v>
      </c>
    </row>
    <row r="623" spans="1:11" ht="24.75" customHeight="1">
      <c r="A623" s="208">
        <v>42651</v>
      </c>
      <c r="B623" s="209" t="s">
        <v>491</v>
      </c>
      <c r="C623" s="226">
        <v>300009232016</v>
      </c>
      <c r="D623" s="272" t="s">
        <v>499</v>
      </c>
      <c r="E623" s="209">
        <v>0</v>
      </c>
      <c r="F623" s="209">
        <v>3</v>
      </c>
      <c r="G623" s="209">
        <v>3</v>
      </c>
      <c r="H623" s="209">
        <v>0</v>
      </c>
      <c r="I623" s="209">
        <v>3</v>
      </c>
      <c r="J623" s="209">
        <v>3</v>
      </c>
      <c r="K623" s="209">
        <v>1939</v>
      </c>
    </row>
    <row r="624" spans="1:11" ht="24.75" customHeight="1">
      <c r="A624" s="208">
        <v>42651</v>
      </c>
      <c r="B624" s="209" t="s">
        <v>491</v>
      </c>
      <c r="C624" s="226">
        <v>300009235974</v>
      </c>
      <c r="D624" s="272" t="s">
        <v>187</v>
      </c>
      <c r="E624" s="209">
        <v>0</v>
      </c>
      <c r="F624" s="209">
        <v>0</v>
      </c>
      <c r="G624" s="209">
        <v>0</v>
      </c>
      <c r="H624" s="209">
        <v>0</v>
      </c>
      <c r="I624" s="209">
        <v>0</v>
      </c>
      <c r="J624" s="209">
        <v>0</v>
      </c>
      <c r="K624" s="209">
        <v>0</v>
      </c>
    </row>
    <row r="625" spans="1:11" ht="24.75" customHeight="1">
      <c r="A625" s="208">
        <v>42651</v>
      </c>
      <c r="B625" s="209" t="s">
        <v>491</v>
      </c>
      <c r="C625" s="226">
        <v>300009358277</v>
      </c>
      <c r="D625" s="272" t="s">
        <v>500</v>
      </c>
      <c r="E625" s="209">
        <v>1</v>
      </c>
      <c r="F625" s="209">
        <v>11</v>
      </c>
      <c r="G625" s="209">
        <v>11</v>
      </c>
      <c r="H625" s="209">
        <v>0</v>
      </c>
      <c r="I625" s="209">
        <v>1</v>
      </c>
      <c r="J625" s="209">
        <v>1</v>
      </c>
      <c r="K625" s="209">
        <v>2804</v>
      </c>
    </row>
    <row r="626" spans="1:11" ht="24.75" customHeight="1">
      <c r="A626" s="208">
        <v>42651</v>
      </c>
      <c r="B626" s="209" t="s">
        <v>491</v>
      </c>
      <c r="C626" s="226">
        <v>300009374212</v>
      </c>
      <c r="D626" s="272" t="s">
        <v>235</v>
      </c>
      <c r="E626" s="209">
        <v>0</v>
      </c>
      <c r="F626" s="209">
        <v>0</v>
      </c>
      <c r="G626" s="209">
        <v>0</v>
      </c>
      <c r="H626" s="209">
        <v>0</v>
      </c>
      <c r="I626" s="209">
        <v>0</v>
      </c>
      <c r="J626" s="209">
        <v>0</v>
      </c>
      <c r="K626" s="209">
        <v>0</v>
      </c>
    </row>
    <row r="627" spans="1:11" ht="24.75" customHeight="1">
      <c r="A627" s="208">
        <v>42651</v>
      </c>
      <c r="B627" s="209" t="s">
        <v>491</v>
      </c>
      <c r="C627" s="226">
        <v>300009374215</v>
      </c>
      <c r="D627" s="272" t="s">
        <v>236</v>
      </c>
      <c r="E627" s="209">
        <v>0</v>
      </c>
      <c r="F627" s="209">
        <v>1</v>
      </c>
      <c r="G627" s="209">
        <v>1</v>
      </c>
      <c r="H627" s="209">
        <v>0</v>
      </c>
      <c r="I627" s="209">
        <v>0</v>
      </c>
      <c r="J627" s="209">
        <v>0</v>
      </c>
      <c r="K627" s="209">
        <v>0</v>
      </c>
    </row>
    <row r="628" spans="1:11" ht="24.75" customHeight="1">
      <c r="A628" s="208">
        <v>42651</v>
      </c>
      <c r="B628" s="209" t="s">
        <v>491</v>
      </c>
      <c r="C628" s="226">
        <v>300009410229</v>
      </c>
      <c r="D628" s="272" t="s">
        <v>279</v>
      </c>
      <c r="E628" s="209">
        <v>0</v>
      </c>
      <c r="F628" s="209">
        <v>0</v>
      </c>
      <c r="G628" s="209">
        <v>0</v>
      </c>
      <c r="H628" s="209">
        <v>0</v>
      </c>
      <c r="I628" s="209">
        <v>0</v>
      </c>
      <c r="J628" s="209">
        <v>0</v>
      </c>
      <c r="K628" s="209">
        <v>56</v>
      </c>
    </row>
    <row r="629" spans="1:11" ht="24.75" customHeight="1">
      <c r="A629" s="208">
        <v>42652</v>
      </c>
      <c r="B629" s="209" t="s">
        <v>511</v>
      </c>
      <c r="C629" s="226">
        <v>300008841062</v>
      </c>
      <c r="D629" s="272" t="s">
        <v>277</v>
      </c>
      <c r="E629" s="209">
        <v>1</v>
      </c>
      <c r="F629" s="209">
        <v>11</v>
      </c>
      <c r="G629" s="209">
        <v>11</v>
      </c>
      <c r="H629" s="209">
        <v>1</v>
      </c>
      <c r="I629" s="209">
        <v>10</v>
      </c>
      <c r="J629" s="209">
        <v>10</v>
      </c>
      <c r="K629" s="209">
        <v>2439</v>
      </c>
    </row>
    <row r="630" spans="1:11" ht="24.75" customHeight="1">
      <c r="A630" s="208">
        <v>42652</v>
      </c>
      <c r="B630" s="209" t="s">
        <v>511</v>
      </c>
      <c r="C630" s="226">
        <v>300009232016</v>
      </c>
      <c r="D630" s="272" t="s">
        <v>499</v>
      </c>
      <c r="E630" s="209">
        <v>1</v>
      </c>
      <c r="F630" s="209">
        <v>4</v>
      </c>
      <c r="G630" s="209">
        <v>4</v>
      </c>
      <c r="H630" s="209">
        <v>1</v>
      </c>
      <c r="I630" s="209">
        <v>4</v>
      </c>
      <c r="J630" s="209">
        <v>4</v>
      </c>
      <c r="K630" s="209">
        <v>2020</v>
      </c>
    </row>
    <row r="631" spans="1:11" ht="24.75" customHeight="1">
      <c r="A631" s="208">
        <v>42652</v>
      </c>
      <c r="B631" s="209" t="s">
        <v>511</v>
      </c>
      <c r="C631" s="226">
        <v>300008868585</v>
      </c>
      <c r="D631" s="272" t="s">
        <v>495</v>
      </c>
      <c r="E631" s="209">
        <v>1</v>
      </c>
      <c r="F631" s="209">
        <v>3</v>
      </c>
      <c r="G631" s="209">
        <v>3</v>
      </c>
      <c r="H631" s="209">
        <v>1</v>
      </c>
      <c r="I631" s="209">
        <v>1</v>
      </c>
      <c r="J631" s="209">
        <v>1</v>
      </c>
      <c r="K631" s="209">
        <v>635</v>
      </c>
    </row>
    <row r="632" spans="1:11" ht="24.75" customHeight="1">
      <c r="A632" s="208">
        <v>42652</v>
      </c>
      <c r="B632" s="209" t="s">
        <v>511</v>
      </c>
      <c r="C632" s="226">
        <v>300007704986</v>
      </c>
      <c r="D632" s="272" t="s">
        <v>283</v>
      </c>
      <c r="E632" s="209">
        <v>0</v>
      </c>
      <c r="F632" s="209">
        <v>0</v>
      </c>
      <c r="G632" s="209">
        <v>0</v>
      </c>
      <c r="H632" s="209">
        <v>0</v>
      </c>
      <c r="I632" s="209">
        <v>0</v>
      </c>
      <c r="J632" s="209">
        <v>0</v>
      </c>
      <c r="K632" s="209">
        <v>1</v>
      </c>
    </row>
    <row r="633" spans="1:11" ht="24.75" customHeight="1">
      <c r="A633" s="208">
        <v>42652</v>
      </c>
      <c r="B633" s="209" t="s">
        <v>511</v>
      </c>
      <c r="C633" s="226">
        <v>300008193965</v>
      </c>
      <c r="D633" s="272" t="s">
        <v>512</v>
      </c>
      <c r="E633" s="209">
        <v>0</v>
      </c>
      <c r="F633" s="209">
        <v>0</v>
      </c>
      <c r="G633" s="209">
        <v>0</v>
      </c>
      <c r="H633" s="209">
        <v>0</v>
      </c>
      <c r="I633" s="209">
        <v>0</v>
      </c>
      <c r="J633" s="209">
        <v>0</v>
      </c>
      <c r="K633" s="209">
        <v>5</v>
      </c>
    </row>
    <row r="634" spans="1:11" ht="24.75" customHeight="1">
      <c r="A634" s="208">
        <v>42652</v>
      </c>
      <c r="B634" s="209" t="s">
        <v>511</v>
      </c>
      <c r="C634" s="226">
        <v>300008219979</v>
      </c>
      <c r="D634" s="272" t="s">
        <v>517</v>
      </c>
      <c r="E634" s="209">
        <v>0</v>
      </c>
      <c r="F634" s="209">
        <v>0</v>
      </c>
      <c r="G634" s="209">
        <v>0</v>
      </c>
      <c r="H634" s="209">
        <v>0</v>
      </c>
      <c r="I634" s="209">
        <v>0</v>
      </c>
      <c r="J634" s="209">
        <v>0</v>
      </c>
      <c r="K634" s="209">
        <v>1</v>
      </c>
    </row>
    <row r="635" spans="1:11" ht="24.75" customHeight="1">
      <c r="A635" s="208">
        <v>42652</v>
      </c>
      <c r="B635" s="209" t="s">
        <v>511</v>
      </c>
      <c r="C635" s="226">
        <v>300008244937</v>
      </c>
      <c r="D635" s="272" t="s">
        <v>272</v>
      </c>
      <c r="E635" s="209">
        <v>0</v>
      </c>
      <c r="F635" s="209">
        <v>0</v>
      </c>
      <c r="G635" s="209">
        <v>0</v>
      </c>
      <c r="H635" s="209">
        <v>0</v>
      </c>
      <c r="I635" s="209">
        <v>0</v>
      </c>
      <c r="J635" s="209">
        <v>0</v>
      </c>
      <c r="K635" s="209">
        <v>0</v>
      </c>
    </row>
    <row r="636" spans="1:11" ht="24.75" customHeight="1">
      <c r="A636" s="208">
        <v>42652</v>
      </c>
      <c r="B636" s="209" t="s">
        <v>511</v>
      </c>
      <c r="C636" s="226">
        <v>300008508327</v>
      </c>
      <c r="D636" s="209" t="s">
        <v>501</v>
      </c>
      <c r="E636" s="209">
        <v>0</v>
      </c>
      <c r="F636" s="209">
        <v>1</v>
      </c>
      <c r="G636" s="209">
        <v>1</v>
      </c>
      <c r="H636" s="209">
        <v>0</v>
      </c>
      <c r="I636" s="209">
        <v>1</v>
      </c>
      <c r="J636" s="209">
        <v>1</v>
      </c>
      <c r="K636" s="209">
        <v>1500</v>
      </c>
    </row>
    <row r="637" spans="1:11" ht="24.75" customHeight="1">
      <c r="A637" s="208">
        <v>42652</v>
      </c>
      <c r="B637" s="209" t="s">
        <v>511</v>
      </c>
      <c r="C637" s="226">
        <v>300008579657</v>
      </c>
      <c r="D637" s="272" t="s">
        <v>513</v>
      </c>
      <c r="E637" s="209">
        <v>0</v>
      </c>
      <c r="F637" s="209">
        <v>0</v>
      </c>
      <c r="G637" s="209">
        <v>0</v>
      </c>
      <c r="H637" s="209">
        <v>0</v>
      </c>
      <c r="I637" s="209">
        <v>0</v>
      </c>
      <c r="J637" s="209">
        <v>0</v>
      </c>
      <c r="K637" s="209">
        <v>0</v>
      </c>
    </row>
    <row r="638" spans="1:11" ht="24.75" customHeight="1">
      <c r="A638" s="208">
        <v>42652</v>
      </c>
      <c r="B638" s="209" t="s">
        <v>511</v>
      </c>
      <c r="C638" s="226">
        <v>300008853065</v>
      </c>
      <c r="D638" s="272" t="s">
        <v>515</v>
      </c>
      <c r="E638" s="209">
        <v>0</v>
      </c>
      <c r="F638" s="209">
        <v>0</v>
      </c>
      <c r="G638" s="209">
        <v>0</v>
      </c>
      <c r="H638" s="209">
        <v>0</v>
      </c>
      <c r="I638" s="209">
        <v>0</v>
      </c>
      <c r="J638" s="209">
        <v>0</v>
      </c>
      <c r="K638" s="209">
        <v>2</v>
      </c>
    </row>
    <row r="639" spans="1:11" ht="24.75" customHeight="1">
      <c r="A639" s="208">
        <v>42652</v>
      </c>
      <c r="B639" s="209" t="s">
        <v>511</v>
      </c>
      <c r="C639" s="226">
        <v>300008853065</v>
      </c>
      <c r="D639" s="272" t="s">
        <v>515</v>
      </c>
      <c r="E639" s="209">
        <v>0</v>
      </c>
      <c r="F639" s="209">
        <v>0</v>
      </c>
      <c r="G639" s="209">
        <v>0</v>
      </c>
      <c r="H639" s="209">
        <v>0</v>
      </c>
      <c r="I639" s="209">
        <v>0</v>
      </c>
      <c r="J639" s="209">
        <v>0</v>
      </c>
      <c r="K639" s="209">
        <v>2</v>
      </c>
    </row>
    <row r="640" spans="1:11" ht="24.75" customHeight="1">
      <c r="A640" s="208">
        <v>42652</v>
      </c>
      <c r="B640" s="209" t="s">
        <v>511</v>
      </c>
      <c r="C640" s="226">
        <v>300008993578</v>
      </c>
      <c r="D640" s="272" t="s">
        <v>497</v>
      </c>
      <c r="E640" s="209">
        <v>0</v>
      </c>
      <c r="F640" s="209">
        <v>8</v>
      </c>
      <c r="G640" s="209">
        <v>8</v>
      </c>
      <c r="H640" s="209">
        <v>0</v>
      </c>
      <c r="I640" s="209">
        <v>7</v>
      </c>
      <c r="J640" s="209">
        <v>7</v>
      </c>
      <c r="K640" s="209">
        <v>1411</v>
      </c>
    </row>
    <row r="641" spans="1:11" ht="24.75" customHeight="1">
      <c r="A641" s="208">
        <v>42652</v>
      </c>
      <c r="B641" s="209" t="s">
        <v>511</v>
      </c>
      <c r="C641" s="226">
        <v>300009003496</v>
      </c>
      <c r="D641" s="272" t="s">
        <v>546</v>
      </c>
      <c r="E641" s="209">
        <v>0</v>
      </c>
      <c r="F641" s="209">
        <v>0</v>
      </c>
      <c r="G641" s="209">
        <v>0</v>
      </c>
      <c r="H641" s="209">
        <v>0</v>
      </c>
      <c r="I641" s="209">
        <v>0</v>
      </c>
      <c r="J641" s="209">
        <v>0</v>
      </c>
      <c r="K641" s="209">
        <v>0</v>
      </c>
    </row>
    <row r="642" spans="1:11" ht="24.75" customHeight="1">
      <c r="A642" s="208">
        <v>42652</v>
      </c>
      <c r="B642" s="209" t="s">
        <v>511</v>
      </c>
      <c r="C642" s="226">
        <v>300009016017</v>
      </c>
      <c r="D642" s="272" t="s">
        <v>498</v>
      </c>
      <c r="E642" s="209">
        <v>0</v>
      </c>
      <c r="F642" s="209">
        <v>1</v>
      </c>
      <c r="G642" s="209">
        <v>1</v>
      </c>
      <c r="H642" s="209">
        <v>0</v>
      </c>
      <c r="I642" s="209">
        <v>0</v>
      </c>
      <c r="J642" s="209">
        <v>0</v>
      </c>
      <c r="K642" s="209">
        <v>327</v>
      </c>
    </row>
    <row r="643" spans="1:11" ht="24.75" customHeight="1">
      <c r="A643" s="208">
        <v>42652</v>
      </c>
      <c r="B643" s="209" t="s">
        <v>511</v>
      </c>
      <c r="C643" s="226">
        <v>300009151749</v>
      </c>
      <c r="D643" s="272" t="s">
        <v>518</v>
      </c>
      <c r="E643" s="209">
        <v>0</v>
      </c>
      <c r="F643" s="209">
        <v>0</v>
      </c>
      <c r="G643" s="209">
        <v>0</v>
      </c>
      <c r="H643" s="209">
        <v>0</v>
      </c>
      <c r="I643" s="209">
        <v>0</v>
      </c>
      <c r="J643" s="209">
        <v>0</v>
      </c>
      <c r="K643" s="209">
        <v>1</v>
      </c>
    </row>
    <row r="644" spans="1:11" ht="24.75" customHeight="1">
      <c r="A644" s="208">
        <v>42652</v>
      </c>
      <c r="B644" s="209" t="s">
        <v>511</v>
      </c>
      <c r="C644" s="226">
        <v>300009185572</v>
      </c>
      <c r="D644" s="272" t="s">
        <v>237</v>
      </c>
      <c r="E644" s="209">
        <v>0</v>
      </c>
      <c r="F644" s="209">
        <v>0</v>
      </c>
      <c r="G644" s="209">
        <v>0</v>
      </c>
      <c r="H644" s="209">
        <v>0</v>
      </c>
      <c r="I644" s="209">
        <v>0</v>
      </c>
      <c r="J644" s="209">
        <v>0</v>
      </c>
      <c r="K644" s="209">
        <v>0</v>
      </c>
    </row>
    <row r="645" spans="1:11" ht="24.75" customHeight="1">
      <c r="A645" s="208">
        <v>42652</v>
      </c>
      <c r="B645" s="209" t="s">
        <v>511</v>
      </c>
      <c r="C645" s="226">
        <v>300009190374</v>
      </c>
      <c r="D645" s="272" t="s">
        <v>516</v>
      </c>
      <c r="E645" s="209">
        <v>0</v>
      </c>
      <c r="F645" s="209">
        <v>0</v>
      </c>
      <c r="G645" s="209">
        <v>0</v>
      </c>
      <c r="H645" s="209">
        <v>0</v>
      </c>
      <c r="I645" s="209">
        <v>0</v>
      </c>
      <c r="J645" s="209">
        <v>0</v>
      </c>
      <c r="K645" s="209">
        <v>1</v>
      </c>
    </row>
    <row r="646" spans="1:11" ht="24.75" customHeight="1">
      <c r="A646" s="208">
        <v>42652</v>
      </c>
      <c r="B646" s="209" t="s">
        <v>511</v>
      </c>
      <c r="C646" s="226">
        <v>300009192151</v>
      </c>
      <c r="D646" s="272" t="s">
        <v>514</v>
      </c>
      <c r="E646" s="209">
        <v>1</v>
      </c>
      <c r="F646" s="209">
        <v>1</v>
      </c>
      <c r="G646" s="209">
        <v>1</v>
      </c>
      <c r="H646" s="209">
        <v>0</v>
      </c>
      <c r="I646" s="209">
        <v>0</v>
      </c>
      <c r="J646" s="209">
        <v>0</v>
      </c>
      <c r="K646" s="209">
        <v>1307</v>
      </c>
    </row>
    <row r="647" spans="1:11" ht="24.75" customHeight="1">
      <c r="A647" s="208">
        <v>42652</v>
      </c>
      <c r="B647" s="209" t="s">
        <v>511</v>
      </c>
      <c r="C647" s="226">
        <v>300009193471</v>
      </c>
      <c r="D647" s="272" t="s">
        <v>502</v>
      </c>
      <c r="E647" s="209">
        <v>0</v>
      </c>
      <c r="F647" s="209">
        <v>1</v>
      </c>
      <c r="G647" s="209">
        <v>1</v>
      </c>
      <c r="H647" s="209">
        <v>0</v>
      </c>
      <c r="I647" s="209">
        <v>0</v>
      </c>
      <c r="J647" s="209">
        <v>0</v>
      </c>
      <c r="K647" s="209">
        <v>692</v>
      </c>
    </row>
    <row r="648" spans="1:11" ht="24.75" customHeight="1">
      <c r="A648" s="208">
        <v>42652</v>
      </c>
      <c r="B648" s="209" t="s">
        <v>511</v>
      </c>
      <c r="C648" s="226">
        <v>300009197635</v>
      </c>
      <c r="D648" s="272" t="s">
        <v>282</v>
      </c>
      <c r="E648" s="209">
        <v>0</v>
      </c>
      <c r="F648" s="209">
        <v>6</v>
      </c>
      <c r="G648" s="209">
        <v>6</v>
      </c>
      <c r="H648" s="209">
        <v>0</v>
      </c>
      <c r="I648" s="209">
        <v>0</v>
      </c>
      <c r="J648" s="209">
        <v>0</v>
      </c>
      <c r="K648" s="209">
        <v>2701</v>
      </c>
    </row>
    <row r="649" spans="1:11" ht="24.75" customHeight="1">
      <c r="A649" s="208">
        <v>42652</v>
      </c>
      <c r="B649" s="209" t="s">
        <v>511</v>
      </c>
      <c r="C649" s="226">
        <v>300009235971</v>
      </c>
      <c r="D649" s="272" t="s">
        <v>241</v>
      </c>
      <c r="E649" s="209">
        <v>0</v>
      </c>
      <c r="F649" s="209">
        <v>0</v>
      </c>
      <c r="G649" s="209">
        <v>0</v>
      </c>
      <c r="H649" s="209">
        <v>0</v>
      </c>
      <c r="I649" s="209">
        <v>0</v>
      </c>
      <c r="J649" s="209">
        <v>0</v>
      </c>
      <c r="K649" s="209">
        <v>0</v>
      </c>
    </row>
    <row r="650" spans="1:11" ht="24.75" customHeight="1">
      <c r="A650" s="208">
        <v>42652</v>
      </c>
      <c r="B650" s="209" t="s">
        <v>511</v>
      </c>
      <c r="C650" s="226">
        <v>300009358277</v>
      </c>
      <c r="D650" s="272" t="s">
        <v>500</v>
      </c>
      <c r="E650" s="209">
        <v>2</v>
      </c>
      <c r="F650" s="209">
        <v>10</v>
      </c>
      <c r="G650" s="209">
        <v>10</v>
      </c>
      <c r="H650" s="209">
        <v>0</v>
      </c>
      <c r="I650" s="209">
        <v>0</v>
      </c>
      <c r="J650" s="209">
        <v>0</v>
      </c>
      <c r="K650" s="209">
        <v>4361</v>
      </c>
    </row>
    <row r="651" spans="1:11" ht="24.75" customHeight="1">
      <c r="A651" s="208">
        <v>42652</v>
      </c>
      <c r="B651" s="209" t="s">
        <v>511</v>
      </c>
      <c r="C651" s="226">
        <v>300009374212</v>
      </c>
      <c r="D651" s="272" t="s">
        <v>235</v>
      </c>
      <c r="E651" s="209">
        <v>0</v>
      </c>
      <c r="F651" s="209">
        <v>3</v>
      </c>
      <c r="G651" s="209">
        <v>3</v>
      </c>
      <c r="H651" s="209">
        <v>0</v>
      </c>
      <c r="I651" s="209">
        <v>0</v>
      </c>
      <c r="J651" s="209">
        <v>0</v>
      </c>
      <c r="K651" s="209">
        <v>683</v>
      </c>
    </row>
    <row r="652" spans="1:11" ht="24.75" customHeight="1">
      <c r="A652" s="208">
        <v>42652</v>
      </c>
      <c r="B652" s="209" t="s">
        <v>511</v>
      </c>
      <c r="C652" s="226">
        <v>300009406201</v>
      </c>
      <c r="D652" s="272" t="s">
        <v>234</v>
      </c>
      <c r="E652" s="209">
        <v>0</v>
      </c>
      <c r="F652" s="209">
        <v>5</v>
      </c>
      <c r="G652" s="209">
        <v>5</v>
      </c>
      <c r="H652" s="209">
        <v>0</v>
      </c>
      <c r="I652" s="209">
        <v>1</v>
      </c>
      <c r="J652" s="209">
        <v>1</v>
      </c>
      <c r="K652" s="209">
        <v>1115</v>
      </c>
    </row>
    <row r="653" spans="1:11" ht="24.75" customHeight="1">
      <c r="A653" s="208">
        <v>42652</v>
      </c>
      <c r="B653" s="209" t="s">
        <v>511</v>
      </c>
      <c r="C653" s="226">
        <v>300009406202</v>
      </c>
      <c r="D653" s="272" t="s">
        <v>232</v>
      </c>
      <c r="E653" s="209">
        <v>0</v>
      </c>
      <c r="F653" s="209">
        <v>0</v>
      </c>
      <c r="G653" s="209">
        <v>0</v>
      </c>
      <c r="H653" s="209">
        <v>0</v>
      </c>
      <c r="I653" s="209">
        <v>0</v>
      </c>
      <c r="J653" s="209">
        <v>0</v>
      </c>
      <c r="K653" s="209">
        <v>0</v>
      </c>
    </row>
    <row r="654" spans="1:11" ht="24.75" customHeight="1">
      <c r="A654" s="208">
        <v>42652</v>
      </c>
      <c r="B654" s="209" t="s">
        <v>511</v>
      </c>
      <c r="C654" s="226">
        <v>300009410229</v>
      </c>
      <c r="D654" s="272" t="s">
        <v>279</v>
      </c>
      <c r="E654" s="209">
        <v>0</v>
      </c>
      <c r="F654" s="209">
        <v>0</v>
      </c>
      <c r="G654" s="209">
        <v>0</v>
      </c>
      <c r="H654" s="209">
        <v>0</v>
      </c>
      <c r="I654" s="209">
        <v>0</v>
      </c>
      <c r="J654" s="209">
        <v>0</v>
      </c>
      <c r="K654" s="209">
        <v>43</v>
      </c>
    </row>
    <row r="655" spans="1:11" ht="24.75" customHeight="1">
      <c r="A655" s="208">
        <v>42652</v>
      </c>
      <c r="B655" s="209" t="s">
        <v>511</v>
      </c>
      <c r="C655" s="226">
        <v>300009480238</v>
      </c>
      <c r="D655" s="272" t="s">
        <v>263</v>
      </c>
      <c r="E655" s="209">
        <v>0</v>
      </c>
      <c r="F655" s="209">
        <v>16</v>
      </c>
      <c r="G655" s="209">
        <v>16</v>
      </c>
      <c r="H655" s="209">
        <v>0</v>
      </c>
      <c r="I655" s="209">
        <v>3</v>
      </c>
      <c r="J655" s="209">
        <v>3</v>
      </c>
      <c r="K655" s="209">
        <v>1161</v>
      </c>
    </row>
    <row r="656" spans="1:11" ht="24.75" customHeight="1">
      <c r="A656" s="208">
        <v>42652</v>
      </c>
      <c r="B656" s="209" t="s">
        <v>519</v>
      </c>
      <c r="C656" s="226">
        <v>300009193471</v>
      </c>
      <c r="D656" s="272" t="s">
        <v>502</v>
      </c>
      <c r="E656" s="209">
        <v>1</v>
      </c>
      <c r="F656" s="209">
        <v>1</v>
      </c>
      <c r="G656" s="209">
        <v>1</v>
      </c>
      <c r="H656" s="209">
        <v>1</v>
      </c>
      <c r="I656" s="209">
        <v>1</v>
      </c>
      <c r="J656" s="209">
        <v>1</v>
      </c>
      <c r="K656" s="209">
        <v>651</v>
      </c>
    </row>
    <row r="657" spans="1:11" ht="24.75" customHeight="1">
      <c r="A657" s="208">
        <v>42652</v>
      </c>
      <c r="B657" s="209" t="s">
        <v>519</v>
      </c>
      <c r="C657" s="226">
        <v>300009842225</v>
      </c>
      <c r="D657" s="272" t="s">
        <v>524</v>
      </c>
      <c r="E657" s="209">
        <v>1</v>
      </c>
      <c r="F657" s="209">
        <v>20</v>
      </c>
      <c r="G657" s="209">
        <v>20</v>
      </c>
      <c r="H657" s="209">
        <v>1</v>
      </c>
      <c r="I657" s="209">
        <v>20</v>
      </c>
      <c r="J657" s="209">
        <v>20</v>
      </c>
      <c r="K657" s="209">
        <v>3697</v>
      </c>
    </row>
    <row r="658" spans="1:11" ht="24.75" customHeight="1">
      <c r="A658" s="208">
        <v>42652</v>
      </c>
      <c r="B658" s="209" t="s">
        <v>519</v>
      </c>
      <c r="C658" s="226">
        <v>300002932641</v>
      </c>
      <c r="D658" s="272" t="s">
        <v>503</v>
      </c>
      <c r="E658" s="209">
        <v>0</v>
      </c>
      <c r="F658" s="209">
        <v>0</v>
      </c>
      <c r="G658" s="209">
        <v>0</v>
      </c>
      <c r="H658" s="209">
        <v>0</v>
      </c>
      <c r="I658" s="209">
        <v>0</v>
      </c>
      <c r="J658" s="209">
        <v>0</v>
      </c>
      <c r="K658" s="209">
        <v>2</v>
      </c>
    </row>
    <row r="659" spans="1:11" ht="24.75" customHeight="1">
      <c r="A659" s="208">
        <v>42652</v>
      </c>
      <c r="B659" s="209" t="s">
        <v>519</v>
      </c>
      <c r="C659" s="226">
        <v>300008841062</v>
      </c>
      <c r="D659" s="272" t="s">
        <v>277</v>
      </c>
      <c r="E659" s="209">
        <v>0</v>
      </c>
      <c r="F659" s="209">
        <v>6</v>
      </c>
      <c r="G659" s="209">
        <v>6</v>
      </c>
      <c r="H659" s="209">
        <v>0</v>
      </c>
      <c r="I659" s="209">
        <v>5</v>
      </c>
      <c r="J659" s="209">
        <v>5</v>
      </c>
      <c r="K659" s="209">
        <v>2162</v>
      </c>
    </row>
    <row r="660" spans="1:11" ht="24.75" customHeight="1">
      <c r="A660" s="208">
        <v>42652</v>
      </c>
      <c r="B660" s="209" t="s">
        <v>519</v>
      </c>
      <c r="C660" s="226">
        <v>300008993578</v>
      </c>
      <c r="D660" s="272" t="s">
        <v>497</v>
      </c>
      <c r="E660" s="209">
        <v>0</v>
      </c>
      <c r="F660" s="209">
        <v>3</v>
      </c>
      <c r="G660" s="209">
        <v>3</v>
      </c>
      <c r="H660" s="209">
        <v>0</v>
      </c>
      <c r="I660" s="209">
        <v>3</v>
      </c>
      <c r="J660" s="209">
        <v>3</v>
      </c>
      <c r="K660" s="209">
        <v>1383</v>
      </c>
    </row>
    <row r="661" spans="1:11" ht="24.75" customHeight="1">
      <c r="A661" s="208">
        <v>42652</v>
      </c>
      <c r="B661" s="209" t="s">
        <v>519</v>
      </c>
      <c r="C661" s="226">
        <v>300009000071</v>
      </c>
      <c r="D661" s="209" t="s">
        <v>527</v>
      </c>
      <c r="E661" s="209">
        <v>0</v>
      </c>
      <c r="F661" s="209">
        <v>1</v>
      </c>
      <c r="G661" s="209">
        <v>1</v>
      </c>
      <c r="H661" s="209">
        <v>0</v>
      </c>
      <c r="I661" s="209">
        <v>0</v>
      </c>
      <c r="J661" s="209">
        <v>0</v>
      </c>
      <c r="K661" s="209">
        <v>0</v>
      </c>
    </row>
    <row r="662" spans="1:11" ht="24.75" customHeight="1">
      <c r="A662" s="208">
        <v>42652</v>
      </c>
      <c r="B662" s="209" t="s">
        <v>519</v>
      </c>
      <c r="C662" s="226">
        <v>300009016017</v>
      </c>
      <c r="D662" s="272" t="s">
        <v>498</v>
      </c>
      <c r="E662" s="209">
        <v>0</v>
      </c>
      <c r="F662" s="209">
        <v>0</v>
      </c>
      <c r="G662" s="209">
        <v>0</v>
      </c>
      <c r="H662" s="209">
        <v>0</v>
      </c>
      <c r="I662" s="209">
        <v>0</v>
      </c>
      <c r="J662" s="209">
        <v>0</v>
      </c>
      <c r="K662" s="209">
        <v>340</v>
      </c>
    </row>
    <row r="663" spans="1:11" ht="24.75" customHeight="1">
      <c r="A663" s="208">
        <v>42652</v>
      </c>
      <c r="B663" s="209" t="s">
        <v>519</v>
      </c>
      <c r="C663" s="226">
        <v>300009185572</v>
      </c>
      <c r="D663" s="272" t="s">
        <v>237</v>
      </c>
      <c r="E663" s="209">
        <v>0</v>
      </c>
      <c r="F663" s="209">
        <v>12</v>
      </c>
      <c r="G663" s="209">
        <v>12</v>
      </c>
      <c r="H663" s="209">
        <v>0</v>
      </c>
      <c r="I663" s="209">
        <v>1</v>
      </c>
      <c r="J663" s="209">
        <v>1</v>
      </c>
      <c r="K663" s="209">
        <v>1483</v>
      </c>
    </row>
    <row r="664" spans="1:11" ht="24.75" customHeight="1">
      <c r="A664" s="208">
        <v>42652</v>
      </c>
      <c r="B664" s="209" t="s">
        <v>519</v>
      </c>
      <c r="C664" s="226">
        <v>300009190335</v>
      </c>
      <c r="D664" s="272" t="s">
        <v>526</v>
      </c>
      <c r="E664" s="209">
        <v>0</v>
      </c>
      <c r="F664" s="209">
        <v>4</v>
      </c>
      <c r="G664" s="209">
        <v>4</v>
      </c>
      <c r="H664" s="209">
        <v>0</v>
      </c>
      <c r="I664" s="209">
        <v>1</v>
      </c>
      <c r="J664" s="209">
        <v>1</v>
      </c>
      <c r="K664" s="209">
        <v>1</v>
      </c>
    </row>
    <row r="665" spans="1:11" ht="24.75" customHeight="1">
      <c r="A665" s="208">
        <v>42652</v>
      </c>
      <c r="B665" s="209" t="s">
        <v>519</v>
      </c>
      <c r="C665" s="226">
        <v>300009190346</v>
      </c>
      <c r="D665" s="272" t="s">
        <v>528</v>
      </c>
      <c r="E665" s="209">
        <v>0</v>
      </c>
      <c r="F665" s="209">
        <v>1</v>
      </c>
      <c r="G665" s="209">
        <v>1</v>
      </c>
      <c r="H665" s="209">
        <v>0</v>
      </c>
      <c r="I665" s="209">
        <v>0</v>
      </c>
      <c r="J665" s="209">
        <v>0</v>
      </c>
      <c r="K665" s="209">
        <v>0</v>
      </c>
    </row>
    <row r="666" spans="1:11" ht="24.75" customHeight="1">
      <c r="A666" s="208">
        <v>42652</v>
      </c>
      <c r="B666" s="209" t="s">
        <v>519</v>
      </c>
      <c r="C666" s="226">
        <v>300009190335</v>
      </c>
      <c r="D666" s="272" t="s">
        <v>526</v>
      </c>
      <c r="E666" s="209">
        <v>0</v>
      </c>
      <c r="F666" s="209">
        <v>4</v>
      </c>
      <c r="G666" s="209">
        <v>4</v>
      </c>
      <c r="H666" s="209">
        <v>0</v>
      </c>
      <c r="I666" s="209">
        <v>1</v>
      </c>
      <c r="J666" s="209">
        <v>1</v>
      </c>
      <c r="K666" s="209">
        <v>1</v>
      </c>
    </row>
    <row r="667" spans="1:11" ht="24.75" customHeight="1">
      <c r="A667" s="208">
        <v>42652</v>
      </c>
      <c r="B667" s="209" t="s">
        <v>519</v>
      </c>
      <c r="C667" s="226">
        <v>300009190346</v>
      </c>
      <c r="D667" s="272" t="s">
        <v>528</v>
      </c>
      <c r="E667" s="209">
        <v>0</v>
      </c>
      <c r="F667" s="209">
        <v>1</v>
      </c>
      <c r="G667" s="209">
        <v>1</v>
      </c>
      <c r="H667" s="209">
        <v>0</v>
      </c>
      <c r="I667" s="209">
        <v>0</v>
      </c>
      <c r="J667" s="209">
        <v>0</v>
      </c>
      <c r="K667" s="209">
        <v>0</v>
      </c>
    </row>
    <row r="668" spans="1:11" ht="24.75" customHeight="1">
      <c r="A668" s="208">
        <v>42652</v>
      </c>
      <c r="B668" s="209" t="s">
        <v>519</v>
      </c>
      <c r="C668" s="226">
        <v>300009197635</v>
      </c>
      <c r="D668" s="272" t="s">
        <v>282</v>
      </c>
      <c r="E668" s="209">
        <v>0</v>
      </c>
      <c r="F668" s="209">
        <v>4</v>
      </c>
      <c r="G668" s="209">
        <v>4</v>
      </c>
      <c r="H668" s="209">
        <v>0</v>
      </c>
      <c r="I668" s="209">
        <v>1</v>
      </c>
      <c r="J668" s="209">
        <v>1</v>
      </c>
      <c r="K668" s="209">
        <v>2708</v>
      </c>
    </row>
    <row r="669" spans="1:11" ht="24.75" customHeight="1">
      <c r="A669" s="208">
        <v>42652</v>
      </c>
      <c r="B669" s="209" t="s">
        <v>519</v>
      </c>
      <c r="C669" s="226">
        <v>300009207968</v>
      </c>
      <c r="D669" s="272" t="s">
        <v>525</v>
      </c>
      <c r="E669" s="209">
        <v>0</v>
      </c>
      <c r="F669" s="209">
        <v>11</v>
      </c>
      <c r="G669" s="209">
        <v>11</v>
      </c>
      <c r="H669" s="209">
        <v>0</v>
      </c>
      <c r="I669" s="209">
        <v>4</v>
      </c>
      <c r="J669" s="209">
        <v>4</v>
      </c>
      <c r="K669" s="209">
        <v>1036</v>
      </c>
    </row>
    <row r="670" spans="1:11" ht="24.75" customHeight="1">
      <c r="A670" s="208">
        <v>42652</v>
      </c>
      <c r="B670" s="209" t="s">
        <v>519</v>
      </c>
      <c r="C670" s="226">
        <v>300009211922</v>
      </c>
      <c r="D670" s="209" t="s">
        <v>523</v>
      </c>
      <c r="E670" s="209">
        <v>0</v>
      </c>
      <c r="F670" s="209">
        <v>2</v>
      </c>
      <c r="G670" s="209">
        <v>2</v>
      </c>
      <c r="H670" s="209">
        <v>0</v>
      </c>
      <c r="I670" s="209">
        <v>0</v>
      </c>
      <c r="J670" s="209">
        <v>0</v>
      </c>
      <c r="K670" s="209">
        <v>0</v>
      </c>
    </row>
    <row r="671" spans="1:11" ht="24.75" customHeight="1">
      <c r="A671" s="208">
        <v>42652</v>
      </c>
      <c r="B671" s="209" t="s">
        <v>519</v>
      </c>
      <c r="C671" s="226">
        <v>300009232016</v>
      </c>
      <c r="D671" s="272" t="s">
        <v>499</v>
      </c>
      <c r="E671" s="209">
        <v>0</v>
      </c>
      <c r="F671" s="209">
        <v>2</v>
      </c>
      <c r="G671" s="209">
        <v>2</v>
      </c>
      <c r="H671" s="209">
        <v>0</v>
      </c>
      <c r="I671" s="209">
        <v>2</v>
      </c>
      <c r="J671" s="209">
        <v>2</v>
      </c>
      <c r="K671" s="209">
        <v>2082</v>
      </c>
    </row>
    <row r="672" spans="1:11" ht="24.75" customHeight="1">
      <c r="A672" s="208">
        <v>42652</v>
      </c>
      <c r="B672" s="209" t="s">
        <v>519</v>
      </c>
      <c r="C672" s="226">
        <v>300009358277</v>
      </c>
      <c r="D672" s="272" t="s">
        <v>500</v>
      </c>
      <c r="E672" s="209">
        <v>1</v>
      </c>
      <c r="F672" s="209">
        <v>10</v>
      </c>
      <c r="G672" s="209">
        <v>10</v>
      </c>
      <c r="H672" s="209">
        <v>0</v>
      </c>
      <c r="I672" s="209">
        <v>2</v>
      </c>
      <c r="J672" s="209">
        <v>2</v>
      </c>
      <c r="K672" s="209">
        <v>772</v>
      </c>
    </row>
    <row r="673" spans="1:11" ht="24.75" customHeight="1">
      <c r="A673" s="208">
        <v>42652</v>
      </c>
      <c r="B673" s="209" t="s">
        <v>519</v>
      </c>
      <c r="C673" s="226">
        <v>300009358299</v>
      </c>
      <c r="D673" s="272" t="s">
        <v>520</v>
      </c>
      <c r="E673" s="209">
        <v>0</v>
      </c>
      <c r="F673" s="209">
        <v>2</v>
      </c>
      <c r="G673" s="209">
        <v>2</v>
      </c>
      <c r="H673" s="209">
        <v>0</v>
      </c>
      <c r="I673" s="209">
        <v>1</v>
      </c>
      <c r="J673" s="209">
        <v>1</v>
      </c>
      <c r="K673" s="209">
        <v>1162</v>
      </c>
    </row>
    <row r="674" spans="1:11" ht="24.75" customHeight="1">
      <c r="A674" s="208">
        <v>42652</v>
      </c>
      <c r="B674" s="209" t="s">
        <v>519</v>
      </c>
      <c r="C674" s="226">
        <v>300009358300</v>
      </c>
      <c r="D674" s="272" t="s">
        <v>521</v>
      </c>
      <c r="E674" s="209">
        <v>0</v>
      </c>
      <c r="F674" s="209">
        <v>2</v>
      </c>
      <c r="G674" s="209">
        <v>2</v>
      </c>
      <c r="H674" s="209">
        <v>0</v>
      </c>
      <c r="I674" s="209">
        <v>0</v>
      </c>
      <c r="J674" s="209">
        <v>0</v>
      </c>
      <c r="K674" s="209">
        <v>1095</v>
      </c>
    </row>
    <row r="675" spans="1:11" ht="24.75" customHeight="1">
      <c r="A675" s="208">
        <v>42652</v>
      </c>
      <c r="B675" s="209" t="s">
        <v>519</v>
      </c>
      <c r="C675" s="226">
        <v>300009410229</v>
      </c>
      <c r="D675" s="272" t="s">
        <v>279</v>
      </c>
      <c r="E675" s="209">
        <v>0</v>
      </c>
      <c r="F675" s="209">
        <v>0</v>
      </c>
      <c r="G675" s="209">
        <v>0</v>
      </c>
      <c r="H675" s="209">
        <v>0</v>
      </c>
      <c r="I675" s="209">
        <v>0</v>
      </c>
      <c r="J675" s="209">
        <v>0</v>
      </c>
      <c r="K675" s="209">
        <v>96</v>
      </c>
    </row>
    <row r="676" spans="1:11" ht="24.75" customHeight="1">
      <c r="A676" s="208">
        <v>42652</v>
      </c>
      <c r="B676" s="209" t="s">
        <v>491</v>
      </c>
      <c r="C676" s="226">
        <v>300007875924</v>
      </c>
      <c r="D676" s="209" t="s">
        <v>492</v>
      </c>
      <c r="E676" s="209">
        <v>0</v>
      </c>
      <c r="F676" s="209">
        <v>0</v>
      </c>
      <c r="G676" s="209">
        <v>0</v>
      </c>
      <c r="H676" s="209">
        <v>0</v>
      </c>
      <c r="I676" s="209">
        <v>0</v>
      </c>
      <c r="J676" s="209">
        <v>0</v>
      </c>
      <c r="K676" s="209">
        <v>8</v>
      </c>
    </row>
    <row r="677" spans="1:11" ht="24.75" customHeight="1">
      <c r="A677" s="208">
        <v>42652</v>
      </c>
      <c r="B677" s="209" t="s">
        <v>491</v>
      </c>
      <c r="C677" s="226">
        <v>300008074001</v>
      </c>
      <c r="D677" s="272" t="s">
        <v>493</v>
      </c>
      <c r="E677" s="209">
        <v>0</v>
      </c>
      <c r="F677" s="209">
        <v>0</v>
      </c>
      <c r="G677" s="209">
        <v>0</v>
      </c>
      <c r="H677" s="209">
        <v>0</v>
      </c>
      <c r="I677" s="209">
        <v>0</v>
      </c>
      <c r="J677" s="209">
        <v>0</v>
      </c>
      <c r="K677" s="209">
        <v>50</v>
      </c>
    </row>
    <row r="678" spans="1:11" ht="24.75" customHeight="1">
      <c r="A678" s="208">
        <v>42652</v>
      </c>
      <c r="B678" s="209" t="s">
        <v>491</v>
      </c>
      <c r="C678" s="226">
        <v>300008183804</v>
      </c>
      <c r="D678" s="272" t="s">
        <v>494</v>
      </c>
      <c r="E678" s="209">
        <v>0</v>
      </c>
      <c r="F678" s="209">
        <v>0</v>
      </c>
      <c r="G678" s="209">
        <v>0</v>
      </c>
      <c r="H678" s="209">
        <v>0</v>
      </c>
      <c r="I678" s="209">
        <v>0</v>
      </c>
      <c r="J678" s="209">
        <v>0</v>
      </c>
      <c r="K678" s="209">
        <v>9</v>
      </c>
    </row>
    <row r="679" spans="1:11" ht="24.75" customHeight="1">
      <c r="A679" s="208">
        <v>42652</v>
      </c>
      <c r="B679" s="209" t="s">
        <v>491</v>
      </c>
      <c r="C679" s="226">
        <v>300008508327</v>
      </c>
      <c r="D679" s="209" t="s">
        <v>501</v>
      </c>
      <c r="E679" s="209">
        <v>0</v>
      </c>
      <c r="F679" s="209">
        <v>0</v>
      </c>
      <c r="G679" s="209">
        <v>0</v>
      </c>
      <c r="H679" s="209">
        <v>0</v>
      </c>
      <c r="I679" s="209">
        <v>0</v>
      </c>
      <c r="J679" s="209">
        <v>0</v>
      </c>
      <c r="K679" s="209">
        <v>950</v>
      </c>
    </row>
    <row r="680" spans="1:11" ht="24.75" customHeight="1">
      <c r="A680" s="208">
        <v>42652</v>
      </c>
      <c r="B680" s="209" t="s">
        <v>491</v>
      </c>
      <c r="C680" s="226">
        <v>300008841062</v>
      </c>
      <c r="D680" s="272" t="s">
        <v>277</v>
      </c>
      <c r="E680" s="209">
        <v>0</v>
      </c>
      <c r="F680" s="209">
        <v>4</v>
      </c>
      <c r="G680" s="209">
        <v>4</v>
      </c>
      <c r="H680" s="209">
        <v>0</v>
      </c>
      <c r="I680" s="209">
        <v>3</v>
      </c>
      <c r="J680" s="209">
        <v>3</v>
      </c>
      <c r="K680" s="209">
        <v>2500</v>
      </c>
    </row>
    <row r="681" spans="1:11" ht="24.75" customHeight="1">
      <c r="A681" s="208">
        <v>42652</v>
      </c>
      <c r="B681" s="209" t="s">
        <v>491</v>
      </c>
      <c r="C681" s="226">
        <v>300008868585</v>
      </c>
      <c r="D681" s="272" t="s">
        <v>495</v>
      </c>
      <c r="E681" s="209">
        <v>2</v>
      </c>
      <c r="F681" s="209">
        <v>4</v>
      </c>
      <c r="G681" s="209">
        <v>4</v>
      </c>
      <c r="H681" s="209">
        <v>0</v>
      </c>
      <c r="I681" s="209">
        <v>1</v>
      </c>
      <c r="J681" s="209">
        <v>1</v>
      </c>
      <c r="K681" s="209">
        <v>772</v>
      </c>
    </row>
    <row r="682" spans="1:11" ht="24.75" customHeight="1">
      <c r="A682" s="208">
        <v>42652</v>
      </c>
      <c r="B682" s="209" t="s">
        <v>491</v>
      </c>
      <c r="C682" s="226">
        <v>300008975991</v>
      </c>
      <c r="D682" s="209" t="s">
        <v>496</v>
      </c>
      <c r="E682" s="209">
        <v>0</v>
      </c>
      <c r="F682" s="209">
        <v>0</v>
      </c>
      <c r="G682" s="209">
        <v>0</v>
      </c>
      <c r="H682" s="209">
        <v>0</v>
      </c>
      <c r="I682" s="209">
        <v>0</v>
      </c>
      <c r="J682" s="209">
        <v>0</v>
      </c>
      <c r="K682" s="209">
        <v>5</v>
      </c>
    </row>
    <row r="683" spans="1:11" ht="24.75" customHeight="1">
      <c r="A683" s="208">
        <v>42652</v>
      </c>
      <c r="B683" s="209" t="s">
        <v>491</v>
      </c>
      <c r="C683" s="226">
        <v>300008993578</v>
      </c>
      <c r="D683" s="272" t="s">
        <v>497</v>
      </c>
      <c r="E683" s="209">
        <v>0</v>
      </c>
      <c r="F683" s="209">
        <v>3</v>
      </c>
      <c r="G683" s="209">
        <v>3</v>
      </c>
      <c r="H683" s="209">
        <v>0</v>
      </c>
      <c r="I683" s="209">
        <v>2</v>
      </c>
      <c r="J683" s="209">
        <v>2</v>
      </c>
      <c r="K683" s="209">
        <v>1232</v>
      </c>
    </row>
    <row r="684" spans="1:11" ht="24.75" customHeight="1">
      <c r="A684" s="208">
        <v>42652</v>
      </c>
      <c r="B684" s="209" t="s">
        <v>491</v>
      </c>
      <c r="C684" s="226">
        <v>300009016017</v>
      </c>
      <c r="D684" s="272" t="s">
        <v>498</v>
      </c>
      <c r="E684" s="209">
        <v>0</v>
      </c>
      <c r="F684" s="209">
        <v>0</v>
      </c>
      <c r="G684" s="209">
        <v>0</v>
      </c>
      <c r="H684" s="209">
        <v>0</v>
      </c>
      <c r="I684" s="209">
        <v>0</v>
      </c>
      <c r="J684" s="209">
        <v>0</v>
      </c>
      <c r="K684" s="209">
        <v>343</v>
      </c>
    </row>
    <row r="685" spans="1:11" ht="24.75" customHeight="1">
      <c r="A685" s="208">
        <v>42652</v>
      </c>
      <c r="B685" s="209" t="s">
        <v>491</v>
      </c>
      <c r="C685" s="226">
        <v>300009193471</v>
      </c>
      <c r="D685" s="272" t="s">
        <v>502</v>
      </c>
      <c r="E685" s="209">
        <v>0</v>
      </c>
      <c r="F685" s="209">
        <v>2</v>
      </c>
      <c r="G685" s="209">
        <v>2</v>
      </c>
      <c r="H685" s="209">
        <v>0</v>
      </c>
      <c r="I685" s="209">
        <v>1</v>
      </c>
      <c r="J685" s="209">
        <v>1</v>
      </c>
      <c r="K685" s="209">
        <v>656</v>
      </c>
    </row>
    <row r="686" spans="1:11" ht="24.75" customHeight="1">
      <c r="A686" s="208">
        <v>42652</v>
      </c>
      <c r="B686" s="209" t="s">
        <v>491</v>
      </c>
      <c r="C686" s="226">
        <v>300009197635</v>
      </c>
      <c r="D686" s="272" t="s">
        <v>282</v>
      </c>
      <c r="E686" s="209">
        <v>0</v>
      </c>
      <c r="F686" s="209">
        <v>11</v>
      </c>
      <c r="G686" s="209">
        <v>11</v>
      </c>
      <c r="H686" s="209">
        <v>0</v>
      </c>
      <c r="I686" s="209">
        <v>2</v>
      </c>
      <c r="J686" s="209">
        <v>2</v>
      </c>
      <c r="K686" s="209">
        <v>2782</v>
      </c>
    </row>
    <row r="687" spans="1:11" ht="24.75" customHeight="1">
      <c r="A687" s="208">
        <v>42652</v>
      </c>
      <c r="B687" s="209" t="s">
        <v>491</v>
      </c>
      <c r="C687" s="226">
        <v>300009228510</v>
      </c>
      <c r="D687" s="272" t="s">
        <v>503</v>
      </c>
      <c r="E687" s="209">
        <v>0</v>
      </c>
      <c r="F687" s="209">
        <v>0</v>
      </c>
      <c r="G687" s="209">
        <v>0</v>
      </c>
      <c r="H687" s="209">
        <v>0</v>
      </c>
      <c r="I687" s="209">
        <v>0</v>
      </c>
      <c r="J687" s="209">
        <v>0</v>
      </c>
      <c r="K687" s="209">
        <v>1</v>
      </c>
    </row>
    <row r="688" spans="1:11" ht="24.75" customHeight="1">
      <c r="A688" s="208">
        <v>42652</v>
      </c>
      <c r="B688" s="209" t="s">
        <v>491</v>
      </c>
      <c r="C688" s="226">
        <v>300009232016</v>
      </c>
      <c r="D688" s="272" t="s">
        <v>499</v>
      </c>
      <c r="E688" s="209">
        <v>0</v>
      </c>
      <c r="F688" s="209">
        <v>4</v>
      </c>
      <c r="G688" s="209">
        <v>4</v>
      </c>
      <c r="H688" s="209">
        <v>0</v>
      </c>
      <c r="I688" s="209">
        <v>4</v>
      </c>
      <c r="J688" s="209">
        <v>4</v>
      </c>
      <c r="K688" s="209">
        <v>2081</v>
      </c>
    </row>
    <row r="689" spans="1:11" ht="24.75" customHeight="1">
      <c r="A689" s="208">
        <v>42652</v>
      </c>
      <c r="B689" s="209" t="s">
        <v>491</v>
      </c>
      <c r="C689" s="226">
        <v>300009235974</v>
      </c>
      <c r="D689" s="272" t="s">
        <v>187</v>
      </c>
      <c r="E689" s="209">
        <v>0</v>
      </c>
      <c r="F689" s="209">
        <v>0</v>
      </c>
      <c r="G689" s="209">
        <v>0</v>
      </c>
      <c r="H689" s="209">
        <v>0</v>
      </c>
      <c r="I689" s="209">
        <v>0</v>
      </c>
      <c r="J689" s="209">
        <v>0</v>
      </c>
      <c r="K689" s="209">
        <v>0</v>
      </c>
    </row>
    <row r="690" spans="1:11" ht="24.75" customHeight="1">
      <c r="A690" s="208">
        <v>42652</v>
      </c>
      <c r="B690" s="209" t="s">
        <v>491</v>
      </c>
      <c r="C690" s="226">
        <v>300009358277</v>
      </c>
      <c r="D690" s="272" t="s">
        <v>500</v>
      </c>
      <c r="E690" s="209">
        <v>2</v>
      </c>
      <c r="F690" s="209">
        <v>13</v>
      </c>
      <c r="G690" s="209">
        <v>13</v>
      </c>
      <c r="H690" s="209">
        <v>0</v>
      </c>
      <c r="I690" s="209">
        <v>1</v>
      </c>
      <c r="J690" s="209">
        <v>1</v>
      </c>
      <c r="K690" s="209">
        <v>3098</v>
      </c>
    </row>
    <row r="691" spans="1:11" ht="24.75" customHeight="1">
      <c r="A691" s="208">
        <v>42652</v>
      </c>
      <c r="B691" s="209" t="s">
        <v>491</v>
      </c>
      <c r="C691" s="226">
        <v>300009374212</v>
      </c>
      <c r="D691" s="272" t="s">
        <v>235</v>
      </c>
      <c r="E691" s="209">
        <v>0</v>
      </c>
      <c r="F691" s="209">
        <v>0</v>
      </c>
      <c r="G691" s="209">
        <v>0</v>
      </c>
      <c r="H691" s="209">
        <v>0</v>
      </c>
      <c r="I691" s="209">
        <v>0</v>
      </c>
      <c r="J691" s="209">
        <v>0</v>
      </c>
      <c r="K691" s="209">
        <v>0</v>
      </c>
    </row>
    <row r="692" spans="1:11" ht="24.75" customHeight="1">
      <c r="A692" s="208">
        <v>42652</v>
      </c>
      <c r="B692" s="209" t="s">
        <v>491</v>
      </c>
      <c r="C692" s="226">
        <v>300009374215</v>
      </c>
      <c r="D692" s="272" t="s">
        <v>236</v>
      </c>
      <c r="E692" s="209">
        <v>0</v>
      </c>
      <c r="F692" s="209">
        <v>1</v>
      </c>
      <c r="G692" s="209">
        <v>1</v>
      </c>
      <c r="H692" s="209">
        <v>0</v>
      </c>
      <c r="I692" s="209">
        <v>0</v>
      </c>
      <c r="J692" s="209">
        <v>0</v>
      </c>
      <c r="K692" s="209">
        <v>0</v>
      </c>
    </row>
    <row r="693" spans="1:11" ht="24.75" customHeight="1">
      <c r="A693" s="208">
        <v>42652</v>
      </c>
      <c r="B693" s="209" t="s">
        <v>491</v>
      </c>
      <c r="C693" s="226">
        <v>300009410229</v>
      </c>
      <c r="D693" s="272" t="s">
        <v>279</v>
      </c>
      <c r="E693" s="209">
        <v>0</v>
      </c>
      <c r="F693" s="209">
        <v>0</v>
      </c>
      <c r="G693" s="209">
        <v>0</v>
      </c>
      <c r="H693" s="209">
        <v>0</v>
      </c>
      <c r="I693" s="209">
        <v>0</v>
      </c>
      <c r="J693" s="209">
        <v>0</v>
      </c>
      <c r="K693" s="209">
        <v>59</v>
      </c>
    </row>
    <row r="694" spans="1:11" ht="24.75" customHeight="1">
      <c r="A694" s="208">
        <v>42652</v>
      </c>
      <c r="B694" s="209" t="s">
        <v>529</v>
      </c>
      <c r="C694" s="226">
        <v>300009003496</v>
      </c>
      <c r="D694" s="272" t="s">
        <v>546</v>
      </c>
      <c r="E694" s="209">
        <v>0</v>
      </c>
      <c r="F694" s="209">
        <v>0</v>
      </c>
      <c r="G694" s="209">
        <v>0</v>
      </c>
      <c r="H694" s="209" t="s">
        <v>242</v>
      </c>
      <c r="I694" s="209" t="s">
        <v>242</v>
      </c>
      <c r="J694" s="209" t="s">
        <v>242</v>
      </c>
      <c r="K694" s="209">
        <v>0</v>
      </c>
    </row>
    <row r="695" spans="1:11" ht="24.75" customHeight="1">
      <c r="A695" s="208">
        <v>42652</v>
      </c>
      <c r="B695" s="209" t="s">
        <v>529</v>
      </c>
      <c r="C695" s="226">
        <v>300009822212</v>
      </c>
      <c r="D695" s="272" t="s">
        <v>530</v>
      </c>
      <c r="E695" s="209">
        <v>6</v>
      </c>
      <c r="F695" s="209">
        <v>59</v>
      </c>
      <c r="G695" s="209">
        <v>57.43</v>
      </c>
      <c r="H695" s="209">
        <v>3</v>
      </c>
      <c r="I695" s="209">
        <v>20</v>
      </c>
      <c r="J695" s="209">
        <v>19.47</v>
      </c>
      <c r="K695" s="209">
        <v>10274</v>
      </c>
    </row>
    <row r="696" spans="1:11" ht="24.75" customHeight="1">
      <c r="A696" s="208">
        <v>42652</v>
      </c>
      <c r="B696" s="209" t="s">
        <v>529</v>
      </c>
      <c r="C696" s="226">
        <v>300008467005</v>
      </c>
      <c r="D696" s="272" t="s">
        <v>540</v>
      </c>
      <c r="E696" s="209">
        <v>0</v>
      </c>
      <c r="F696" s="209">
        <v>13</v>
      </c>
      <c r="G696" s="209">
        <v>13</v>
      </c>
      <c r="H696" s="209">
        <v>0</v>
      </c>
      <c r="I696" s="209">
        <v>6</v>
      </c>
      <c r="J696" s="209">
        <v>6</v>
      </c>
      <c r="K696" s="209">
        <v>297</v>
      </c>
    </row>
    <row r="697" spans="1:11" ht="24.75" customHeight="1">
      <c r="A697" s="208">
        <v>42652</v>
      </c>
      <c r="B697" s="209" t="s">
        <v>529</v>
      </c>
      <c r="C697" s="226">
        <v>300009190346</v>
      </c>
      <c r="D697" s="272" t="s">
        <v>528</v>
      </c>
      <c r="E697" s="209">
        <v>0</v>
      </c>
      <c r="F697" s="209">
        <v>1</v>
      </c>
      <c r="G697" s="209">
        <v>1</v>
      </c>
      <c r="H697" s="209">
        <v>0</v>
      </c>
      <c r="I697" s="209">
        <v>0</v>
      </c>
      <c r="J697" s="209">
        <v>0</v>
      </c>
      <c r="K697" s="209">
        <v>0</v>
      </c>
    </row>
    <row r="698" spans="1:11" ht="24.75" customHeight="1">
      <c r="A698" s="208">
        <v>42652</v>
      </c>
      <c r="B698" s="209" t="s">
        <v>529</v>
      </c>
      <c r="C698" s="226">
        <v>300009190385</v>
      </c>
      <c r="D698" s="272" t="s">
        <v>538</v>
      </c>
      <c r="E698" s="209">
        <v>0</v>
      </c>
      <c r="F698" s="209">
        <v>0</v>
      </c>
      <c r="G698" s="209">
        <v>0</v>
      </c>
      <c r="H698" s="209">
        <v>0</v>
      </c>
      <c r="I698" s="209">
        <v>0</v>
      </c>
      <c r="J698" s="209">
        <v>0</v>
      </c>
      <c r="K698" s="209">
        <v>499</v>
      </c>
    </row>
    <row r="699" spans="1:11" ht="24.75" customHeight="1">
      <c r="A699" s="208">
        <v>42652</v>
      </c>
      <c r="B699" s="209" t="s">
        <v>529</v>
      </c>
      <c r="C699" s="226">
        <v>300009191923</v>
      </c>
      <c r="D699" s="272" t="s">
        <v>545</v>
      </c>
      <c r="E699" s="209">
        <v>0</v>
      </c>
      <c r="F699" s="209">
        <v>0</v>
      </c>
      <c r="G699" s="209">
        <v>0</v>
      </c>
      <c r="H699" s="209">
        <v>0</v>
      </c>
      <c r="I699" s="209">
        <v>0</v>
      </c>
      <c r="J699" s="209">
        <v>0</v>
      </c>
      <c r="K699" s="209">
        <v>0</v>
      </c>
    </row>
    <row r="700" spans="1:11" ht="24.75" customHeight="1">
      <c r="A700" s="208">
        <v>42652</v>
      </c>
      <c r="B700" s="209" t="s">
        <v>529</v>
      </c>
      <c r="C700" s="226">
        <v>300009197635</v>
      </c>
      <c r="D700" s="272" t="s">
        <v>282</v>
      </c>
      <c r="E700" s="209">
        <v>0</v>
      </c>
      <c r="F700" s="209">
        <v>3</v>
      </c>
      <c r="G700" s="209">
        <v>3</v>
      </c>
      <c r="H700" s="209">
        <v>0</v>
      </c>
      <c r="I700" s="209">
        <v>1</v>
      </c>
      <c r="J700" s="209">
        <v>1</v>
      </c>
      <c r="K700" s="209">
        <v>1784</v>
      </c>
    </row>
    <row r="701" spans="1:11" ht="24.75" customHeight="1">
      <c r="A701" s="208">
        <v>42652</v>
      </c>
      <c r="B701" s="209" t="s">
        <v>529</v>
      </c>
      <c r="C701" s="226">
        <v>300009197814</v>
      </c>
      <c r="D701" s="272" t="s">
        <v>533</v>
      </c>
      <c r="E701" s="209">
        <v>0</v>
      </c>
      <c r="F701" s="209">
        <v>4</v>
      </c>
      <c r="G701" s="209">
        <v>4</v>
      </c>
      <c r="H701" s="209">
        <v>0</v>
      </c>
      <c r="I701" s="209">
        <v>3</v>
      </c>
      <c r="J701" s="209">
        <v>3</v>
      </c>
      <c r="K701" s="209">
        <v>1171</v>
      </c>
    </row>
    <row r="702" spans="1:11" ht="24.75" customHeight="1">
      <c r="A702" s="208">
        <v>42652</v>
      </c>
      <c r="B702" s="209" t="s">
        <v>529</v>
      </c>
      <c r="C702" s="226">
        <v>300009208033</v>
      </c>
      <c r="D702" s="272" t="s">
        <v>548</v>
      </c>
      <c r="E702" s="209">
        <v>0</v>
      </c>
      <c r="F702" s="209">
        <v>0</v>
      </c>
      <c r="G702" s="209">
        <v>0</v>
      </c>
      <c r="H702" s="209">
        <v>0</v>
      </c>
      <c r="I702" s="209">
        <v>0</v>
      </c>
      <c r="J702" s="209">
        <v>0</v>
      </c>
      <c r="K702" s="209">
        <v>691</v>
      </c>
    </row>
    <row r="703" spans="1:11" ht="24.75" customHeight="1">
      <c r="A703" s="208">
        <v>42652</v>
      </c>
      <c r="B703" s="209" t="s">
        <v>529</v>
      </c>
      <c r="C703" s="226">
        <v>300009208675</v>
      </c>
      <c r="D703" s="272" t="s">
        <v>535</v>
      </c>
      <c r="E703" s="209">
        <v>0</v>
      </c>
      <c r="F703" s="209">
        <v>0</v>
      </c>
      <c r="G703" s="209">
        <v>0</v>
      </c>
      <c r="H703" s="209">
        <v>0</v>
      </c>
      <c r="I703" s="209">
        <v>0</v>
      </c>
      <c r="J703" s="209">
        <v>0</v>
      </c>
      <c r="K703" s="209">
        <v>1254</v>
      </c>
    </row>
    <row r="704" spans="1:11" ht="24.75" customHeight="1">
      <c r="A704" s="208">
        <v>42652</v>
      </c>
      <c r="B704" s="209" t="s">
        <v>529</v>
      </c>
      <c r="C704" s="226">
        <v>300009208680</v>
      </c>
      <c r="D704" s="272" t="s">
        <v>532</v>
      </c>
      <c r="E704" s="209">
        <v>0</v>
      </c>
      <c r="F704" s="209">
        <v>1</v>
      </c>
      <c r="G704" s="209">
        <v>1</v>
      </c>
      <c r="H704" s="209">
        <v>0</v>
      </c>
      <c r="I704" s="209">
        <v>1</v>
      </c>
      <c r="J704" s="209">
        <v>1</v>
      </c>
      <c r="K704" s="209">
        <v>1160</v>
      </c>
    </row>
    <row r="705" spans="1:11" ht="24.75" customHeight="1">
      <c r="A705" s="208">
        <v>42652</v>
      </c>
      <c r="B705" s="209" t="s">
        <v>529</v>
      </c>
      <c r="C705" s="226">
        <v>300009211922</v>
      </c>
      <c r="D705" s="209" t="s">
        <v>523</v>
      </c>
      <c r="E705" s="209">
        <v>0</v>
      </c>
      <c r="F705" s="209">
        <v>0</v>
      </c>
      <c r="G705" s="209">
        <v>0</v>
      </c>
      <c r="H705" s="209">
        <v>0</v>
      </c>
      <c r="I705" s="209">
        <v>0</v>
      </c>
      <c r="J705" s="209">
        <v>0</v>
      </c>
      <c r="K705" s="209">
        <v>54</v>
      </c>
    </row>
    <row r="706" spans="1:11" ht="24.75" customHeight="1">
      <c r="A706" s="208">
        <v>42652</v>
      </c>
      <c r="B706" s="209" t="s">
        <v>529</v>
      </c>
      <c r="C706" s="226">
        <v>300009212855</v>
      </c>
      <c r="D706" s="272" t="s">
        <v>536</v>
      </c>
      <c r="E706" s="209">
        <v>2</v>
      </c>
      <c r="F706" s="209">
        <v>6</v>
      </c>
      <c r="G706" s="209">
        <v>6</v>
      </c>
      <c r="H706" s="209">
        <v>0</v>
      </c>
      <c r="I706" s="209">
        <v>0</v>
      </c>
      <c r="J706" s="209">
        <v>0</v>
      </c>
      <c r="K706" s="209">
        <v>764</v>
      </c>
    </row>
    <row r="707" spans="1:11" ht="24.75" customHeight="1">
      <c r="A707" s="208">
        <v>42652</v>
      </c>
      <c r="B707" s="209" t="s">
        <v>529</v>
      </c>
      <c r="C707" s="226">
        <v>300009232016</v>
      </c>
      <c r="D707" s="272" t="s">
        <v>499</v>
      </c>
      <c r="E707" s="209">
        <v>0</v>
      </c>
      <c r="F707" s="209">
        <v>1</v>
      </c>
      <c r="G707" s="209">
        <v>1</v>
      </c>
      <c r="H707" s="209">
        <v>0</v>
      </c>
      <c r="I707" s="209">
        <v>0</v>
      </c>
      <c r="J707" s="209">
        <v>0</v>
      </c>
      <c r="K707" s="209">
        <v>1356</v>
      </c>
    </row>
    <row r="708" spans="1:11" ht="24.75" customHeight="1">
      <c r="A708" s="208">
        <v>42652</v>
      </c>
      <c r="B708" s="209" t="s">
        <v>529</v>
      </c>
      <c r="C708" s="226">
        <v>300009240032</v>
      </c>
      <c r="D708" s="272" t="s">
        <v>542</v>
      </c>
      <c r="E708" s="209">
        <v>0</v>
      </c>
      <c r="F708" s="209">
        <v>0</v>
      </c>
      <c r="G708" s="209">
        <v>0</v>
      </c>
      <c r="H708" s="209">
        <v>0</v>
      </c>
      <c r="I708" s="209">
        <v>0</v>
      </c>
      <c r="J708" s="209">
        <v>0</v>
      </c>
      <c r="K708" s="209">
        <v>8</v>
      </c>
    </row>
    <row r="709" spans="1:11" ht="24.75" customHeight="1">
      <c r="A709" s="208">
        <v>42652</v>
      </c>
      <c r="B709" s="209" t="s">
        <v>529</v>
      </c>
      <c r="C709" s="226">
        <v>300009249957</v>
      </c>
      <c r="D709" s="272" t="s">
        <v>537</v>
      </c>
      <c r="E709" s="209">
        <v>0</v>
      </c>
      <c r="F709" s="209">
        <v>1</v>
      </c>
      <c r="G709" s="209">
        <v>1</v>
      </c>
      <c r="H709" s="209">
        <v>0</v>
      </c>
      <c r="I709" s="209">
        <v>1</v>
      </c>
      <c r="J709" s="209">
        <v>1</v>
      </c>
      <c r="K709" s="209">
        <v>1183</v>
      </c>
    </row>
    <row r="710" spans="1:11" ht="24.75" customHeight="1">
      <c r="A710" s="208">
        <v>42652</v>
      </c>
      <c r="B710" s="209" t="s">
        <v>529</v>
      </c>
      <c r="C710" s="226">
        <v>300009288214</v>
      </c>
      <c r="D710" s="272" t="s">
        <v>547</v>
      </c>
      <c r="E710" s="209">
        <v>0</v>
      </c>
      <c r="F710" s="209">
        <v>0</v>
      </c>
      <c r="G710" s="209">
        <v>0</v>
      </c>
      <c r="H710" s="209">
        <v>0</v>
      </c>
      <c r="I710" s="209">
        <v>0</v>
      </c>
      <c r="J710" s="209">
        <v>0</v>
      </c>
      <c r="K710" s="209">
        <v>0</v>
      </c>
    </row>
    <row r="711" spans="1:11" ht="24.75" customHeight="1">
      <c r="A711" s="208">
        <v>42652</v>
      </c>
      <c r="B711" s="209" t="s">
        <v>529</v>
      </c>
      <c r="C711" s="226">
        <v>300009288265</v>
      </c>
      <c r="D711" s="272" t="s">
        <v>531</v>
      </c>
      <c r="E711" s="209">
        <v>0</v>
      </c>
      <c r="F711" s="209">
        <v>7</v>
      </c>
      <c r="G711" s="209">
        <v>7</v>
      </c>
      <c r="H711" s="209">
        <v>0</v>
      </c>
      <c r="I711" s="209">
        <v>1</v>
      </c>
      <c r="J711" s="209">
        <v>1</v>
      </c>
      <c r="K711" s="209">
        <v>1947</v>
      </c>
    </row>
    <row r="712" spans="1:11" ht="24.75" customHeight="1">
      <c r="A712" s="208">
        <v>42652</v>
      </c>
      <c r="B712" s="209" t="s">
        <v>529</v>
      </c>
      <c r="C712" s="226">
        <v>300009290227</v>
      </c>
      <c r="D712" s="272" t="s">
        <v>534</v>
      </c>
      <c r="E712" s="209">
        <v>0</v>
      </c>
      <c r="F712" s="209">
        <v>1</v>
      </c>
      <c r="G712" s="209">
        <v>1</v>
      </c>
      <c r="H712" s="209">
        <v>0</v>
      </c>
      <c r="I712" s="209">
        <v>1</v>
      </c>
      <c r="J712" s="209">
        <v>1</v>
      </c>
      <c r="K712" s="209">
        <v>676</v>
      </c>
    </row>
    <row r="713" spans="1:11" ht="24.75" customHeight="1">
      <c r="A713" s="208">
        <v>42652</v>
      </c>
      <c r="B713" s="209" t="s">
        <v>529</v>
      </c>
      <c r="C713" s="226">
        <v>300009294244</v>
      </c>
      <c r="D713" s="272" t="s">
        <v>539</v>
      </c>
      <c r="E713" s="209">
        <v>0</v>
      </c>
      <c r="F713" s="209">
        <v>7</v>
      </c>
      <c r="G713" s="209">
        <v>7</v>
      </c>
      <c r="H713" s="209">
        <v>0</v>
      </c>
      <c r="I713" s="209">
        <v>1</v>
      </c>
      <c r="J713" s="209">
        <v>1</v>
      </c>
      <c r="K713" s="209">
        <v>1475</v>
      </c>
    </row>
    <row r="714" spans="1:11" ht="24.75" customHeight="1">
      <c r="A714" s="208">
        <v>42652</v>
      </c>
      <c r="B714" s="209" t="s">
        <v>529</v>
      </c>
      <c r="C714" s="226">
        <v>300009294244</v>
      </c>
      <c r="D714" s="272" t="s">
        <v>539</v>
      </c>
      <c r="E714" s="209">
        <v>0</v>
      </c>
      <c r="F714" s="209">
        <v>7</v>
      </c>
      <c r="G714" s="209">
        <v>7</v>
      </c>
      <c r="H714" s="209">
        <v>0</v>
      </c>
      <c r="I714" s="209">
        <v>1</v>
      </c>
      <c r="J714" s="209">
        <v>1</v>
      </c>
      <c r="K714" s="209">
        <v>1475</v>
      </c>
    </row>
    <row r="715" spans="1:11" ht="24.75" customHeight="1">
      <c r="A715" s="208">
        <v>42652</v>
      </c>
      <c r="B715" s="209" t="s">
        <v>529</v>
      </c>
      <c r="C715" s="226">
        <v>300009328320</v>
      </c>
      <c r="D715" s="272" t="s">
        <v>543</v>
      </c>
      <c r="E715" s="209">
        <v>0</v>
      </c>
      <c r="F715" s="209">
        <v>0</v>
      </c>
      <c r="G715" s="209">
        <v>0</v>
      </c>
      <c r="H715" s="209">
        <v>0</v>
      </c>
      <c r="I715" s="209">
        <v>0</v>
      </c>
      <c r="J715" s="209">
        <v>0</v>
      </c>
      <c r="K715" s="209">
        <v>29</v>
      </c>
    </row>
    <row r="716" spans="1:11" ht="24.75" customHeight="1">
      <c r="A716" s="208">
        <v>42652</v>
      </c>
      <c r="B716" s="209" t="s">
        <v>529</v>
      </c>
      <c r="C716" s="226">
        <v>300009406202</v>
      </c>
      <c r="D716" s="272" t="s">
        <v>232</v>
      </c>
      <c r="E716" s="209">
        <v>0</v>
      </c>
      <c r="F716" s="209">
        <v>2</v>
      </c>
      <c r="G716" s="209">
        <v>2</v>
      </c>
      <c r="H716" s="209">
        <v>0</v>
      </c>
      <c r="I716" s="209">
        <v>0</v>
      </c>
      <c r="J716" s="209">
        <v>0</v>
      </c>
      <c r="K716" s="209">
        <v>419</v>
      </c>
    </row>
    <row r="717" spans="1:11" ht="24.75" customHeight="1">
      <c r="A717" s="208">
        <v>42652</v>
      </c>
      <c r="B717" s="209" t="s">
        <v>529</v>
      </c>
      <c r="C717" s="226">
        <v>300009972233</v>
      </c>
      <c r="D717" s="272" t="s">
        <v>544</v>
      </c>
      <c r="E717" s="209">
        <v>0</v>
      </c>
      <c r="F717" s="209">
        <v>2</v>
      </c>
      <c r="G717" s="209">
        <v>2</v>
      </c>
      <c r="H717" s="209">
        <v>0</v>
      </c>
      <c r="I717" s="209">
        <v>2</v>
      </c>
      <c r="J717" s="209">
        <v>2</v>
      </c>
      <c r="K717" s="209">
        <v>2</v>
      </c>
    </row>
    <row r="718" spans="1:11" ht="24.75" customHeight="1">
      <c r="A718" s="208">
        <v>42653</v>
      </c>
      <c r="B718" s="209" t="s">
        <v>511</v>
      </c>
      <c r="C718" s="226">
        <v>300009406201</v>
      </c>
      <c r="D718" s="272" t="s">
        <v>234</v>
      </c>
      <c r="E718" s="209">
        <v>2</v>
      </c>
      <c r="F718" s="209">
        <v>8</v>
      </c>
      <c r="G718" s="209">
        <v>8</v>
      </c>
      <c r="H718" s="209">
        <v>1</v>
      </c>
      <c r="I718" s="209">
        <v>2</v>
      </c>
      <c r="J718" s="209">
        <v>2</v>
      </c>
      <c r="K718" s="209">
        <v>1328</v>
      </c>
    </row>
    <row r="719" spans="1:11" ht="24.75" customHeight="1">
      <c r="A719" s="208">
        <v>42653</v>
      </c>
      <c r="B719" s="209" t="s">
        <v>511</v>
      </c>
      <c r="C719" s="226">
        <v>300007704986</v>
      </c>
      <c r="D719" s="272" t="s">
        <v>283</v>
      </c>
      <c r="E719" s="209">
        <v>0</v>
      </c>
      <c r="F719" s="209">
        <v>0</v>
      </c>
      <c r="G719" s="209">
        <v>0</v>
      </c>
      <c r="H719" s="209">
        <v>0</v>
      </c>
      <c r="I719" s="209">
        <v>0</v>
      </c>
      <c r="J719" s="209">
        <v>0</v>
      </c>
      <c r="K719" s="209">
        <v>1</v>
      </c>
    </row>
    <row r="720" spans="1:11" ht="24.75" customHeight="1">
      <c r="A720" s="208">
        <v>42653</v>
      </c>
      <c r="B720" s="209" t="s">
        <v>511</v>
      </c>
      <c r="C720" s="226">
        <v>300008193965</v>
      </c>
      <c r="D720" s="272" t="s">
        <v>512</v>
      </c>
      <c r="E720" s="209">
        <v>0</v>
      </c>
      <c r="F720" s="209">
        <v>0</v>
      </c>
      <c r="G720" s="209">
        <v>0</v>
      </c>
      <c r="H720" s="209">
        <v>0</v>
      </c>
      <c r="I720" s="209">
        <v>0</v>
      </c>
      <c r="J720" s="209">
        <v>0</v>
      </c>
      <c r="K720" s="209">
        <v>5</v>
      </c>
    </row>
    <row r="721" spans="1:11" ht="24.75" customHeight="1">
      <c r="A721" s="208">
        <v>42653</v>
      </c>
      <c r="B721" s="209" t="s">
        <v>511</v>
      </c>
      <c r="C721" s="226">
        <v>300008219979</v>
      </c>
      <c r="D721" s="272" t="s">
        <v>517</v>
      </c>
      <c r="E721" s="209">
        <v>0</v>
      </c>
      <c r="F721" s="209">
        <v>0</v>
      </c>
      <c r="G721" s="209">
        <v>0</v>
      </c>
      <c r="H721" s="209">
        <v>0</v>
      </c>
      <c r="I721" s="209">
        <v>0</v>
      </c>
      <c r="J721" s="209">
        <v>0</v>
      </c>
      <c r="K721" s="209">
        <v>1</v>
      </c>
    </row>
    <row r="722" spans="1:11" ht="24.75" customHeight="1">
      <c r="A722" s="208">
        <v>42653</v>
      </c>
      <c r="B722" s="209" t="s">
        <v>511</v>
      </c>
      <c r="C722" s="226">
        <v>300008244937</v>
      </c>
      <c r="D722" s="272" t="s">
        <v>272</v>
      </c>
      <c r="E722" s="209">
        <v>0</v>
      </c>
      <c r="F722" s="209">
        <v>0</v>
      </c>
      <c r="G722" s="209">
        <v>0</v>
      </c>
      <c r="H722" s="209">
        <v>0</v>
      </c>
      <c r="I722" s="209">
        <v>0</v>
      </c>
      <c r="J722" s="209">
        <v>0</v>
      </c>
      <c r="K722" s="209">
        <v>0</v>
      </c>
    </row>
    <row r="723" spans="1:11" ht="24.75" customHeight="1">
      <c r="A723" s="208">
        <v>42653</v>
      </c>
      <c r="B723" s="209" t="s">
        <v>511</v>
      </c>
      <c r="C723" s="226">
        <v>300008508327</v>
      </c>
      <c r="D723" s="209" t="s">
        <v>501</v>
      </c>
      <c r="E723" s="209">
        <v>0</v>
      </c>
      <c r="F723" s="209">
        <v>1</v>
      </c>
      <c r="G723" s="209">
        <v>1</v>
      </c>
      <c r="H723" s="209">
        <v>0</v>
      </c>
      <c r="I723" s="209">
        <v>1</v>
      </c>
      <c r="J723" s="209">
        <v>1</v>
      </c>
      <c r="K723" s="209">
        <v>1547</v>
      </c>
    </row>
    <row r="724" spans="1:11" ht="24.75" customHeight="1">
      <c r="A724" s="208">
        <v>42653</v>
      </c>
      <c r="B724" s="209" t="s">
        <v>511</v>
      </c>
      <c r="C724" s="226">
        <v>300008579657</v>
      </c>
      <c r="D724" s="272" t="s">
        <v>513</v>
      </c>
      <c r="E724" s="209">
        <v>0</v>
      </c>
      <c r="F724" s="209">
        <v>1</v>
      </c>
      <c r="G724" s="209">
        <v>1</v>
      </c>
      <c r="H724" s="209">
        <v>0</v>
      </c>
      <c r="I724" s="209">
        <v>1</v>
      </c>
      <c r="J724" s="209">
        <v>1</v>
      </c>
      <c r="K724" s="209">
        <v>0</v>
      </c>
    </row>
    <row r="725" spans="1:11" ht="24.75" customHeight="1">
      <c r="A725" s="208">
        <v>42653</v>
      </c>
      <c r="B725" s="209" t="s">
        <v>511</v>
      </c>
      <c r="C725" s="226">
        <v>300008841062</v>
      </c>
      <c r="D725" s="272" t="s">
        <v>277</v>
      </c>
      <c r="E725" s="209">
        <v>0</v>
      </c>
      <c r="F725" s="209">
        <v>11</v>
      </c>
      <c r="G725" s="209">
        <v>11</v>
      </c>
      <c r="H725" s="209">
        <v>0</v>
      </c>
      <c r="I725" s="209">
        <v>10</v>
      </c>
      <c r="J725" s="209">
        <v>10</v>
      </c>
      <c r="K725" s="209">
        <v>2528</v>
      </c>
    </row>
    <row r="726" spans="1:11" ht="24.75" customHeight="1">
      <c r="A726" s="208">
        <v>42653</v>
      </c>
      <c r="B726" s="209" t="s">
        <v>511</v>
      </c>
      <c r="C726" s="226">
        <v>300008853065</v>
      </c>
      <c r="D726" s="272" t="s">
        <v>515</v>
      </c>
      <c r="E726" s="209">
        <v>0</v>
      </c>
      <c r="F726" s="209">
        <v>0</v>
      </c>
      <c r="G726" s="209">
        <v>0</v>
      </c>
      <c r="H726" s="209">
        <v>0</v>
      </c>
      <c r="I726" s="209">
        <v>0</v>
      </c>
      <c r="J726" s="209">
        <v>0</v>
      </c>
      <c r="K726" s="209">
        <v>2</v>
      </c>
    </row>
    <row r="727" spans="1:11" ht="24.75" customHeight="1">
      <c r="A727" s="208">
        <v>42653</v>
      </c>
      <c r="B727" s="209" t="s">
        <v>511</v>
      </c>
      <c r="C727" s="226">
        <v>300008868585</v>
      </c>
      <c r="D727" s="272" t="s">
        <v>495</v>
      </c>
      <c r="E727" s="209">
        <v>0</v>
      </c>
      <c r="F727" s="209">
        <v>3</v>
      </c>
      <c r="G727" s="209">
        <v>3</v>
      </c>
      <c r="H727" s="209">
        <v>0</v>
      </c>
      <c r="I727" s="209">
        <v>1</v>
      </c>
      <c r="J727" s="209">
        <v>1</v>
      </c>
      <c r="K727" s="209">
        <v>679</v>
      </c>
    </row>
    <row r="728" spans="1:11" ht="24.75" customHeight="1">
      <c r="A728" s="208">
        <v>42653</v>
      </c>
      <c r="B728" s="209" t="s">
        <v>511</v>
      </c>
      <c r="C728" s="226">
        <v>300008993578</v>
      </c>
      <c r="D728" s="272" t="s">
        <v>497</v>
      </c>
      <c r="E728" s="209">
        <v>0</v>
      </c>
      <c r="F728" s="209">
        <v>8</v>
      </c>
      <c r="G728" s="209">
        <v>8</v>
      </c>
      <c r="H728" s="209">
        <v>0</v>
      </c>
      <c r="I728" s="209">
        <v>7</v>
      </c>
      <c r="J728" s="209">
        <v>7</v>
      </c>
      <c r="K728" s="209">
        <v>1483</v>
      </c>
    </row>
    <row r="729" spans="1:11" ht="24.75" customHeight="1">
      <c r="A729" s="208">
        <v>42653</v>
      </c>
      <c r="B729" s="209" t="s">
        <v>511</v>
      </c>
      <c r="C729" s="226">
        <v>300009003496</v>
      </c>
      <c r="D729" s="272" t="s">
        <v>546</v>
      </c>
      <c r="E729" s="209">
        <v>0</v>
      </c>
      <c r="F729" s="209">
        <v>0</v>
      </c>
      <c r="G729" s="209">
        <v>0</v>
      </c>
      <c r="H729" s="209">
        <v>0</v>
      </c>
      <c r="I729" s="209">
        <v>0</v>
      </c>
      <c r="J729" s="209">
        <v>0</v>
      </c>
      <c r="K729" s="209">
        <v>0</v>
      </c>
    </row>
    <row r="730" spans="1:11" ht="24.75" customHeight="1">
      <c r="A730" s="208">
        <v>42653</v>
      </c>
      <c r="B730" s="209" t="s">
        <v>511</v>
      </c>
      <c r="C730" s="226">
        <v>300009016017</v>
      </c>
      <c r="D730" s="272" t="s">
        <v>498</v>
      </c>
      <c r="E730" s="209">
        <v>0</v>
      </c>
      <c r="F730" s="209">
        <v>1</v>
      </c>
      <c r="G730" s="209">
        <v>1</v>
      </c>
      <c r="H730" s="209">
        <v>0</v>
      </c>
      <c r="I730" s="209">
        <v>0</v>
      </c>
      <c r="J730" s="209">
        <v>0</v>
      </c>
      <c r="K730" s="209">
        <v>331</v>
      </c>
    </row>
    <row r="731" spans="1:11" ht="24.75" customHeight="1">
      <c r="A731" s="208">
        <v>42653</v>
      </c>
      <c r="B731" s="209" t="s">
        <v>511</v>
      </c>
      <c r="C731" s="226">
        <v>300009151749</v>
      </c>
      <c r="D731" s="272" t="s">
        <v>518</v>
      </c>
      <c r="E731" s="209">
        <v>0</v>
      </c>
      <c r="F731" s="209">
        <v>0</v>
      </c>
      <c r="G731" s="209">
        <v>0</v>
      </c>
      <c r="H731" s="209">
        <v>0</v>
      </c>
      <c r="I731" s="209">
        <v>0</v>
      </c>
      <c r="J731" s="209">
        <v>0</v>
      </c>
      <c r="K731" s="209">
        <v>1</v>
      </c>
    </row>
    <row r="732" spans="1:11" ht="24.75" customHeight="1">
      <c r="A732" s="208">
        <v>42653</v>
      </c>
      <c r="B732" s="209" t="s">
        <v>511</v>
      </c>
      <c r="C732" s="226">
        <v>300009185572</v>
      </c>
      <c r="D732" s="272" t="s">
        <v>237</v>
      </c>
      <c r="E732" s="209">
        <v>0</v>
      </c>
      <c r="F732" s="209">
        <v>0</v>
      </c>
      <c r="G732" s="209">
        <v>0</v>
      </c>
      <c r="H732" s="209">
        <v>0</v>
      </c>
      <c r="I732" s="209">
        <v>0</v>
      </c>
      <c r="J732" s="209">
        <v>0</v>
      </c>
      <c r="K732" s="209">
        <v>0</v>
      </c>
    </row>
    <row r="733" spans="1:11" ht="24.75" customHeight="1">
      <c r="A733" s="208">
        <v>42653</v>
      </c>
      <c r="B733" s="209" t="s">
        <v>511</v>
      </c>
      <c r="C733" s="226">
        <v>300009190374</v>
      </c>
      <c r="D733" s="272" t="s">
        <v>516</v>
      </c>
      <c r="E733" s="209">
        <v>0</v>
      </c>
      <c r="F733" s="209">
        <v>0</v>
      </c>
      <c r="G733" s="209">
        <v>0</v>
      </c>
      <c r="H733" s="209">
        <v>0</v>
      </c>
      <c r="I733" s="209">
        <v>0</v>
      </c>
      <c r="J733" s="209">
        <v>0</v>
      </c>
      <c r="K733" s="209">
        <v>1</v>
      </c>
    </row>
    <row r="734" spans="1:11" ht="24.75" customHeight="1">
      <c r="A734" s="208">
        <v>42653</v>
      </c>
      <c r="B734" s="209" t="s">
        <v>511</v>
      </c>
      <c r="C734" s="226">
        <v>300009192151</v>
      </c>
      <c r="D734" s="272" t="s">
        <v>514</v>
      </c>
      <c r="E734" s="209">
        <v>0</v>
      </c>
      <c r="F734" s="209">
        <v>1</v>
      </c>
      <c r="G734" s="209">
        <v>1</v>
      </c>
      <c r="H734" s="209">
        <v>0</v>
      </c>
      <c r="I734" s="209">
        <v>0</v>
      </c>
      <c r="J734" s="209">
        <v>0</v>
      </c>
      <c r="K734" s="209">
        <v>1465</v>
      </c>
    </row>
    <row r="735" spans="1:11" ht="24.75" customHeight="1">
      <c r="A735" s="208">
        <v>42653</v>
      </c>
      <c r="B735" s="209" t="s">
        <v>511</v>
      </c>
      <c r="C735" s="226">
        <v>300009193471</v>
      </c>
      <c r="D735" s="272" t="s">
        <v>502</v>
      </c>
      <c r="E735" s="209">
        <v>0</v>
      </c>
      <c r="F735" s="209">
        <v>1</v>
      </c>
      <c r="G735" s="209">
        <v>1</v>
      </c>
      <c r="H735" s="209">
        <v>0</v>
      </c>
      <c r="I735" s="209">
        <v>0</v>
      </c>
      <c r="J735" s="209">
        <v>0</v>
      </c>
      <c r="K735" s="209">
        <v>733</v>
      </c>
    </row>
    <row r="736" spans="1:11" ht="24.75" customHeight="1">
      <c r="A736" s="208">
        <v>42653</v>
      </c>
      <c r="B736" s="209" t="s">
        <v>511</v>
      </c>
      <c r="C736" s="226">
        <v>300009197635</v>
      </c>
      <c r="D736" s="272" t="s">
        <v>282</v>
      </c>
      <c r="E736" s="209">
        <v>0</v>
      </c>
      <c r="F736" s="209">
        <v>6</v>
      </c>
      <c r="G736" s="209">
        <v>6</v>
      </c>
      <c r="H736" s="209">
        <v>0</v>
      </c>
      <c r="I736" s="209">
        <v>0</v>
      </c>
      <c r="J736" s="209">
        <v>0</v>
      </c>
      <c r="K736" s="209">
        <v>2771</v>
      </c>
    </row>
    <row r="737" spans="1:11" ht="24.75" customHeight="1">
      <c r="A737" s="208">
        <v>42653</v>
      </c>
      <c r="B737" s="209" t="s">
        <v>511</v>
      </c>
      <c r="C737" s="226">
        <v>300009232016</v>
      </c>
      <c r="D737" s="272" t="s">
        <v>499</v>
      </c>
      <c r="E737" s="209">
        <v>0</v>
      </c>
      <c r="F737" s="209">
        <v>4</v>
      </c>
      <c r="G737" s="209">
        <v>4</v>
      </c>
      <c r="H737" s="209">
        <v>0</v>
      </c>
      <c r="I737" s="209">
        <v>4</v>
      </c>
      <c r="J737" s="209">
        <v>4</v>
      </c>
      <c r="K737" s="209">
        <v>2091</v>
      </c>
    </row>
    <row r="738" spans="1:11" ht="24.75" customHeight="1">
      <c r="A738" s="208">
        <v>42653</v>
      </c>
      <c r="B738" s="209" t="s">
        <v>511</v>
      </c>
      <c r="C738" s="226">
        <v>300009232016</v>
      </c>
      <c r="D738" s="272" t="s">
        <v>499</v>
      </c>
      <c r="E738" s="209">
        <v>0</v>
      </c>
      <c r="F738" s="209">
        <v>4</v>
      </c>
      <c r="G738" s="209">
        <v>4</v>
      </c>
      <c r="H738" s="209">
        <v>0</v>
      </c>
      <c r="I738" s="209">
        <v>4</v>
      </c>
      <c r="J738" s="209">
        <v>4</v>
      </c>
      <c r="K738" s="209">
        <v>2091</v>
      </c>
    </row>
    <row r="739" spans="1:11" ht="24.75" customHeight="1">
      <c r="A739" s="208">
        <v>42653</v>
      </c>
      <c r="B739" s="209" t="s">
        <v>511</v>
      </c>
      <c r="C739" s="226">
        <v>300009235971</v>
      </c>
      <c r="D739" s="272" t="s">
        <v>241</v>
      </c>
      <c r="E739" s="209">
        <v>0</v>
      </c>
      <c r="F739" s="209">
        <v>0</v>
      </c>
      <c r="G739" s="209">
        <v>0</v>
      </c>
      <c r="H739" s="209">
        <v>0</v>
      </c>
      <c r="I739" s="209">
        <v>0</v>
      </c>
      <c r="J739" s="209">
        <v>0</v>
      </c>
      <c r="K739" s="209">
        <v>0</v>
      </c>
    </row>
    <row r="740" spans="1:11" ht="24.75" customHeight="1">
      <c r="A740" s="208">
        <v>42653</v>
      </c>
      <c r="B740" s="209" t="s">
        <v>511</v>
      </c>
      <c r="C740" s="226">
        <v>300009358277</v>
      </c>
      <c r="D740" s="272" t="s">
        <v>500</v>
      </c>
      <c r="E740" s="209">
        <v>4</v>
      </c>
      <c r="F740" s="209">
        <v>15</v>
      </c>
      <c r="G740" s="209">
        <v>15</v>
      </c>
      <c r="H740" s="209">
        <v>0</v>
      </c>
      <c r="I740" s="209">
        <v>1</v>
      </c>
      <c r="J740" s="209">
        <v>1</v>
      </c>
      <c r="K740" s="209">
        <v>4529</v>
      </c>
    </row>
    <row r="741" spans="1:11" ht="24.75" customHeight="1">
      <c r="A741" s="208">
        <v>42653</v>
      </c>
      <c r="B741" s="209" t="s">
        <v>511</v>
      </c>
      <c r="C741" s="226">
        <v>300009374212</v>
      </c>
      <c r="D741" s="272" t="s">
        <v>235</v>
      </c>
      <c r="E741" s="209">
        <v>0</v>
      </c>
      <c r="F741" s="209">
        <v>3</v>
      </c>
      <c r="G741" s="209">
        <v>3</v>
      </c>
      <c r="H741" s="209">
        <v>0</v>
      </c>
      <c r="I741" s="209">
        <v>0</v>
      </c>
      <c r="J741" s="209">
        <v>0</v>
      </c>
      <c r="K741" s="209">
        <v>683</v>
      </c>
    </row>
    <row r="742" spans="1:11" ht="24.75" customHeight="1">
      <c r="A742" s="208">
        <v>42653</v>
      </c>
      <c r="B742" s="209" t="s">
        <v>511</v>
      </c>
      <c r="C742" s="226">
        <v>300009406202</v>
      </c>
      <c r="D742" s="272" t="s">
        <v>232</v>
      </c>
      <c r="E742" s="209">
        <v>0</v>
      </c>
      <c r="F742" s="209">
        <v>0</v>
      </c>
      <c r="G742" s="209">
        <v>0</v>
      </c>
      <c r="H742" s="209">
        <v>0</v>
      </c>
      <c r="I742" s="209">
        <v>0</v>
      </c>
      <c r="J742" s="209">
        <v>0</v>
      </c>
      <c r="K742" s="209">
        <v>0</v>
      </c>
    </row>
    <row r="743" spans="1:11" ht="24.75" customHeight="1">
      <c r="A743" s="208">
        <v>42653</v>
      </c>
      <c r="B743" s="209" t="s">
        <v>511</v>
      </c>
      <c r="C743" s="226">
        <v>300009410229</v>
      </c>
      <c r="D743" s="272" t="s">
        <v>279</v>
      </c>
      <c r="E743" s="209">
        <v>0</v>
      </c>
      <c r="F743" s="209">
        <v>0</v>
      </c>
      <c r="G743" s="209">
        <v>0</v>
      </c>
      <c r="H743" s="209">
        <v>0</v>
      </c>
      <c r="I743" s="209">
        <v>0</v>
      </c>
      <c r="J743" s="209">
        <v>0</v>
      </c>
      <c r="K743" s="209">
        <v>44</v>
      </c>
    </row>
    <row r="744" spans="1:11" ht="24.75" customHeight="1">
      <c r="A744" s="208">
        <v>42653</v>
      </c>
      <c r="B744" s="209" t="s">
        <v>511</v>
      </c>
      <c r="C744" s="226">
        <v>300009480238</v>
      </c>
      <c r="D744" s="272" t="s">
        <v>263</v>
      </c>
      <c r="E744" s="209">
        <v>1</v>
      </c>
      <c r="F744" s="209">
        <v>17</v>
      </c>
      <c r="G744" s="209">
        <v>17</v>
      </c>
      <c r="H744" s="209">
        <v>0</v>
      </c>
      <c r="I744" s="209">
        <v>3</v>
      </c>
      <c r="J744" s="209">
        <v>3</v>
      </c>
      <c r="K744" s="209">
        <v>1161</v>
      </c>
    </row>
    <row r="745" spans="1:11" ht="24.75" customHeight="1">
      <c r="A745" s="208">
        <v>42653</v>
      </c>
      <c r="B745" s="209" t="s">
        <v>519</v>
      </c>
      <c r="C745" s="226">
        <v>300008508327</v>
      </c>
      <c r="D745" s="209" t="s">
        <v>501</v>
      </c>
      <c r="E745" s="209">
        <v>1</v>
      </c>
      <c r="F745" s="209">
        <v>3</v>
      </c>
      <c r="G745" s="209">
        <v>3</v>
      </c>
      <c r="H745" s="209">
        <v>1</v>
      </c>
      <c r="I745" s="209">
        <v>3</v>
      </c>
      <c r="J745" s="209">
        <v>3</v>
      </c>
      <c r="K745" s="209">
        <v>1531</v>
      </c>
    </row>
    <row r="746" spans="1:11" ht="24.75" customHeight="1">
      <c r="A746" s="208">
        <v>42653</v>
      </c>
      <c r="B746" s="209" t="s">
        <v>519</v>
      </c>
      <c r="C746" s="226">
        <v>300009185572</v>
      </c>
      <c r="D746" s="272" t="s">
        <v>237</v>
      </c>
      <c r="E746" s="209">
        <v>1</v>
      </c>
      <c r="F746" s="209">
        <v>14</v>
      </c>
      <c r="G746" s="209">
        <v>14</v>
      </c>
      <c r="H746" s="209">
        <v>1</v>
      </c>
      <c r="I746" s="209">
        <v>2</v>
      </c>
      <c r="J746" s="209">
        <v>2</v>
      </c>
      <c r="K746" s="209">
        <v>1723</v>
      </c>
    </row>
    <row r="747" spans="1:11" ht="24.75" customHeight="1">
      <c r="A747" s="208">
        <v>42653</v>
      </c>
      <c r="B747" s="209" t="s">
        <v>519</v>
      </c>
      <c r="C747" s="226">
        <v>300002932641</v>
      </c>
      <c r="D747" s="272" t="s">
        <v>503</v>
      </c>
      <c r="E747" s="209">
        <v>0</v>
      </c>
      <c r="F747" s="209">
        <v>0</v>
      </c>
      <c r="G747" s="209">
        <v>0</v>
      </c>
      <c r="H747" s="209">
        <v>0</v>
      </c>
      <c r="I747" s="209">
        <v>0</v>
      </c>
      <c r="J747" s="209">
        <v>0</v>
      </c>
      <c r="K747" s="209">
        <v>2</v>
      </c>
    </row>
    <row r="748" spans="1:11" ht="24.75" customHeight="1">
      <c r="A748" s="208">
        <v>42653</v>
      </c>
      <c r="B748" s="209" t="s">
        <v>519</v>
      </c>
      <c r="C748" s="226">
        <v>300008656423</v>
      </c>
      <c r="D748" s="272" t="s">
        <v>522</v>
      </c>
      <c r="E748" s="209">
        <v>0</v>
      </c>
      <c r="F748" s="209">
        <v>0</v>
      </c>
      <c r="G748" s="209">
        <v>0</v>
      </c>
      <c r="H748" s="209">
        <v>0</v>
      </c>
      <c r="I748" s="209">
        <v>0</v>
      </c>
      <c r="J748" s="209">
        <v>0</v>
      </c>
      <c r="K748" s="209">
        <v>5</v>
      </c>
    </row>
    <row r="749" spans="1:11" ht="24.75" customHeight="1">
      <c r="A749" s="208">
        <v>42653</v>
      </c>
      <c r="B749" s="209" t="s">
        <v>519</v>
      </c>
      <c r="C749" s="226">
        <v>300008841062</v>
      </c>
      <c r="D749" s="272" t="s">
        <v>277</v>
      </c>
      <c r="E749" s="209">
        <v>0</v>
      </c>
      <c r="F749" s="209">
        <v>7</v>
      </c>
      <c r="G749" s="209">
        <v>7</v>
      </c>
      <c r="H749" s="209">
        <v>0</v>
      </c>
      <c r="I749" s="209">
        <v>5</v>
      </c>
      <c r="J749" s="209">
        <v>5</v>
      </c>
      <c r="K749" s="209">
        <v>2257</v>
      </c>
    </row>
    <row r="750" spans="1:11" ht="24.75" customHeight="1">
      <c r="A750" s="208">
        <v>42653</v>
      </c>
      <c r="B750" s="209" t="s">
        <v>519</v>
      </c>
      <c r="C750" s="226">
        <v>300008993578</v>
      </c>
      <c r="D750" s="272" t="s">
        <v>497</v>
      </c>
      <c r="E750" s="209">
        <v>0</v>
      </c>
      <c r="F750" s="209">
        <v>4</v>
      </c>
      <c r="G750" s="209">
        <v>4</v>
      </c>
      <c r="H750" s="209">
        <v>0</v>
      </c>
      <c r="I750" s="209">
        <v>3</v>
      </c>
      <c r="J750" s="209">
        <v>3</v>
      </c>
      <c r="K750" s="209">
        <v>1448</v>
      </c>
    </row>
    <row r="751" spans="1:11" ht="24.75" customHeight="1">
      <c r="A751" s="208">
        <v>42653</v>
      </c>
      <c r="B751" s="209" t="s">
        <v>519</v>
      </c>
      <c r="C751" s="226">
        <v>300009000071</v>
      </c>
      <c r="D751" s="209" t="s">
        <v>527</v>
      </c>
      <c r="E751" s="209">
        <v>0</v>
      </c>
      <c r="F751" s="209">
        <v>1</v>
      </c>
      <c r="G751" s="209">
        <v>1</v>
      </c>
      <c r="H751" s="209">
        <v>0</v>
      </c>
      <c r="I751" s="209">
        <v>0</v>
      </c>
      <c r="J751" s="209">
        <v>0</v>
      </c>
      <c r="K751" s="209">
        <v>0</v>
      </c>
    </row>
    <row r="752" spans="1:11" ht="24.75" customHeight="1">
      <c r="A752" s="208">
        <v>42653</v>
      </c>
      <c r="B752" s="209" t="s">
        <v>519</v>
      </c>
      <c r="C752" s="226">
        <v>300009016017</v>
      </c>
      <c r="D752" s="272" t="s">
        <v>498</v>
      </c>
      <c r="E752" s="209">
        <v>0</v>
      </c>
      <c r="F752" s="209">
        <v>0</v>
      </c>
      <c r="G752" s="209">
        <v>0</v>
      </c>
      <c r="H752" s="209">
        <v>0</v>
      </c>
      <c r="I752" s="209">
        <v>0</v>
      </c>
      <c r="J752" s="209">
        <v>0</v>
      </c>
      <c r="K752" s="209">
        <v>345</v>
      </c>
    </row>
    <row r="753" spans="1:11" ht="24.75" customHeight="1">
      <c r="A753" s="208">
        <v>42653</v>
      </c>
      <c r="B753" s="209" t="s">
        <v>519</v>
      </c>
      <c r="C753" s="226">
        <v>300009190335</v>
      </c>
      <c r="D753" s="272" t="s">
        <v>526</v>
      </c>
      <c r="E753" s="209">
        <v>0</v>
      </c>
      <c r="F753" s="209">
        <v>4</v>
      </c>
      <c r="G753" s="209">
        <v>4</v>
      </c>
      <c r="H753" s="209">
        <v>0</v>
      </c>
      <c r="I753" s="209">
        <v>1</v>
      </c>
      <c r="J753" s="209">
        <v>1</v>
      </c>
      <c r="K753" s="209">
        <v>1</v>
      </c>
    </row>
    <row r="754" spans="1:11" ht="24.75" customHeight="1">
      <c r="A754" s="208">
        <v>42653</v>
      </c>
      <c r="B754" s="209" t="s">
        <v>519</v>
      </c>
      <c r="C754" s="226">
        <v>300009190346</v>
      </c>
      <c r="D754" s="272" t="s">
        <v>528</v>
      </c>
      <c r="E754" s="209">
        <v>0</v>
      </c>
      <c r="F754" s="209">
        <v>1</v>
      </c>
      <c r="G754" s="209">
        <v>1</v>
      </c>
      <c r="H754" s="209">
        <v>0</v>
      </c>
      <c r="I754" s="209">
        <v>0</v>
      </c>
      <c r="J754" s="209">
        <v>0</v>
      </c>
      <c r="K754" s="209">
        <v>0</v>
      </c>
    </row>
    <row r="755" spans="1:11" ht="24.75" customHeight="1">
      <c r="A755" s="208">
        <v>42653</v>
      </c>
      <c r="B755" s="209" t="s">
        <v>519</v>
      </c>
      <c r="C755" s="226">
        <v>300009193471</v>
      </c>
      <c r="D755" s="272" t="s">
        <v>502</v>
      </c>
      <c r="E755" s="209">
        <v>0</v>
      </c>
      <c r="F755" s="209">
        <v>1</v>
      </c>
      <c r="G755" s="209">
        <v>1</v>
      </c>
      <c r="H755" s="209">
        <v>0</v>
      </c>
      <c r="I755" s="209">
        <v>1</v>
      </c>
      <c r="J755" s="209">
        <v>1</v>
      </c>
      <c r="K755" s="209">
        <v>703</v>
      </c>
    </row>
    <row r="756" spans="1:11" ht="24.75" customHeight="1">
      <c r="A756" s="208">
        <v>42653</v>
      </c>
      <c r="B756" s="209" t="s">
        <v>519</v>
      </c>
      <c r="C756" s="226">
        <v>300009197635</v>
      </c>
      <c r="D756" s="272" t="s">
        <v>282</v>
      </c>
      <c r="E756" s="209">
        <v>1</v>
      </c>
      <c r="F756" s="209">
        <v>5</v>
      </c>
      <c r="G756" s="209">
        <v>5</v>
      </c>
      <c r="H756" s="209">
        <v>0</v>
      </c>
      <c r="I756" s="209">
        <v>1</v>
      </c>
      <c r="J756" s="209">
        <v>1</v>
      </c>
      <c r="K756" s="209">
        <v>2789</v>
      </c>
    </row>
    <row r="757" spans="1:11" ht="24.75" customHeight="1">
      <c r="A757" s="208">
        <v>42653</v>
      </c>
      <c r="B757" s="209" t="s">
        <v>519</v>
      </c>
      <c r="C757" s="226">
        <v>300009207968</v>
      </c>
      <c r="D757" s="272" t="s">
        <v>525</v>
      </c>
      <c r="E757" s="209">
        <v>1</v>
      </c>
      <c r="F757" s="209">
        <v>12</v>
      </c>
      <c r="G757" s="209">
        <v>12</v>
      </c>
      <c r="H757" s="209">
        <v>0</v>
      </c>
      <c r="I757" s="209">
        <v>4</v>
      </c>
      <c r="J757" s="209">
        <v>4</v>
      </c>
      <c r="K757" s="209">
        <v>1184</v>
      </c>
    </row>
    <row r="758" spans="1:11" ht="24.75" customHeight="1">
      <c r="A758" s="208">
        <v>42653</v>
      </c>
      <c r="B758" s="209" t="s">
        <v>519</v>
      </c>
      <c r="C758" s="226">
        <v>300009211922</v>
      </c>
      <c r="D758" s="209" t="s">
        <v>523</v>
      </c>
      <c r="E758" s="209">
        <v>0</v>
      </c>
      <c r="F758" s="209">
        <v>2</v>
      </c>
      <c r="G758" s="209">
        <v>2</v>
      </c>
      <c r="H758" s="209">
        <v>0</v>
      </c>
      <c r="I758" s="209">
        <v>0</v>
      </c>
      <c r="J758" s="209">
        <v>0</v>
      </c>
      <c r="K758" s="209">
        <v>0</v>
      </c>
    </row>
    <row r="759" spans="1:11" ht="24.75" customHeight="1">
      <c r="A759" s="208">
        <v>42653</v>
      </c>
      <c r="B759" s="209" t="s">
        <v>519</v>
      </c>
      <c r="C759" s="226">
        <v>300009232016</v>
      </c>
      <c r="D759" s="272" t="s">
        <v>499</v>
      </c>
      <c r="E759" s="209">
        <v>0</v>
      </c>
      <c r="F759" s="209">
        <v>2</v>
      </c>
      <c r="G759" s="209">
        <v>2</v>
      </c>
      <c r="H759" s="209">
        <v>0</v>
      </c>
      <c r="I759" s="209">
        <v>2</v>
      </c>
      <c r="J759" s="209">
        <v>2</v>
      </c>
      <c r="K759" s="209">
        <v>2160</v>
      </c>
    </row>
    <row r="760" spans="1:11" ht="24.75" customHeight="1">
      <c r="A760" s="208">
        <v>42653</v>
      </c>
      <c r="B760" s="209" t="s">
        <v>519</v>
      </c>
      <c r="C760" s="226">
        <v>300009358277</v>
      </c>
      <c r="D760" s="272" t="s">
        <v>500</v>
      </c>
      <c r="E760" s="209">
        <v>1</v>
      </c>
      <c r="F760" s="209">
        <v>11</v>
      </c>
      <c r="G760" s="209">
        <v>11</v>
      </c>
      <c r="H760" s="209">
        <v>0</v>
      </c>
      <c r="I760" s="209">
        <v>2</v>
      </c>
      <c r="J760" s="209">
        <v>2</v>
      </c>
      <c r="K760" s="209">
        <v>772</v>
      </c>
    </row>
    <row r="761" spans="1:11" ht="24.75" customHeight="1">
      <c r="A761" s="208">
        <v>42653</v>
      </c>
      <c r="B761" s="209" t="s">
        <v>519</v>
      </c>
      <c r="C761" s="226">
        <v>300009358299</v>
      </c>
      <c r="D761" s="272" t="s">
        <v>520</v>
      </c>
      <c r="E761" s="209">
        <v>0</v>
      </c>
      <c r="F761" s="209">
        <v>2</v>
      </c>
      <c r="G761" s="209">
        <v>2</v>
      </c>
      <c r="H761" s="209">
        <v>0</v>
      </c>
      <c r="I761" s="209">
        <v>1</v>
      </c>
      <c r="J761" s="209">
        <v>1</v>
      </c>
      <c r="K761" s="209">
        <v>1234</v>
      </c>
    </row>
    <row r="762" spans="1:11" ht="24.75" customHeight="1">
      <c r="A762" s="208">
        <v>42653</v>
      </c>
      <c r="B762" s="209" t="s">
        <v>519</v>
      </c>
      <c r="C762" s="226">
        <v>300009358300</v>
      </c>
      <c r="D762" s="272" t="s">
        <v>521</v>
      </c>
      <c r="E762" s="209">
        <v>1</v>
      </c>
      <c r="F762" s="209">
        <v>3</v>
      </c>
      <c r="G762" s="209">
        <v>3</v>
      </c>
      <c r="H762" s="209">
        <v>0</v>
      </c>
      <c r="I762" s="209">
        <v>0</v>
      </c>
      <c r="J762" s="209">
        <v>0</v>
      </c>
      <c r="K762" s="209">
        <v>1141</v>
      </c>
    </row>
    <row r="763" spans="1:11" ht="24.75" customHeight="1">
      <c r="A763" s="208">
        <v>42653</v>
      </c>
      <c r="B763" s="209" t="s">
        <v>519</v>
      </c>
      <c r="C763" s="226">
        <v>300009410229</v>
      </c>
      <c r="D763" s="272" t="s">
        <v>279</v>
      </c>
      <c r="E763" s="209">
        <v>0</v>
      </c>
      <c r="F763" s="209">
        <v>0</v>
      </c>
      <c r="G763" s="209">
        <v>0</v>
      </c>
      <c r="H763" s="209">
        <v>0</v>
      </c>
      <c r="I763" s="209">
        <v>0</v>
      </c>
      <c r="J763" s="209">
        <v>0</v>
      </c>
      <c r="K763" s="209">
        <v>99</v>
      </c>
    </row>
    <row r="764" spans="1:11" ht="24.75" customHeight="1">
      <c r="A764" s="208">
        <v>42653</v>
      </c>
      <c r="B764" s="209" t="s">
        <v>519</v>
      </c>
      <c r="C764" s="226">
        <v>300009842225</v>
      </c>
      <c r="D764" s="272" t="s">
        <v>524</v>
      </c>
      <c r="E764" s="209">
        <v>0</v>
      </c>
      <c r="F764" s="209">
        <v>20</v>
      </c>
      <c r="G764" s="209">
        <v>20</v>
      </c>
      <c r="H764" s="209">
        <v>0</v>
      </c>
      <c r="I764" s="209">
        <v>20</v>
      </c>
      <c r="J764" s="209">
        <v>20</v>
      </c>
      <c r="K764" s="209">
        <v>3874</v>
      </c>
    </row>
    <row r="765" spans="1:11" ht="24.75" customHeight="1">
      <c r="A765" s="208">
        <v>42653</v>
      </c>
      <c r="B765" s="209" t="s">
        <v>491</v>
      </c>
      <c r="C765" s="226">
        <v>300007875924</v>
      </c>
      <c r="D765" s="209" t="s">
        <v>492</v>
      </c>
      <c r="E765" s="209">
        <v>0</v>
      </c>
      <c r="F765" s="209">
        <v>0</v>
      </c>
      <c r="G765" s="209">
        <v>0</v>
      </c>
      <c r="H765" s="209">
        <v>0</v>
      </c>
      <c r="I765" s="209">
        <v>0</v>
      </c>
      <c r="J765" s="209">
        <v>0</v>
      </c>
      <c r="K765" s="209">
        <v>10</v>
      </c>
    </row>
    <row r="766" spans="1:11" ht="24.75" customHeight="1">
      <c r="A766" s="208">
        <v>42653</v>
      </c>
      <c r="B766" s="209" t="s">
        <v>491</v>
      </c>
      <c r="C766" s="226">
        <v>300008074001</v>
      </c>
      <c r="D766" s="272" t="s">
        <v>493</v>
      </c>
      <c r="E766" s="209">
        <v>0</v>
      </c>
      <c r="F766" s="209">
        <v>0</v>
      </c>
      <c r="G766" s="209">
        <v>0</v>
      </c>
      <c r="H766" s="209">
        <v>0</v>
      </c>
      <c r="I766" s="209">
        <v>0</v>
      </c>
      <c r="J766" s="209">
        <v>0</v>
      </c>
      <c r="K766" s="209">
        <v>51</v>
      </c>
    </row>
    <row r="767" spans="1:11" ht="24.75" customHeight="1">
      <c r="A767" s="208">
        <v>42653</v>
      </c>
      <c r="B767" s="209" t="s">
        <v>491</v>
      </c>
      <c r="C767" s="226">
        <v>300008183804</v>
      </c>
      <c r="D767" s="272" t="s">
        <v>494</v>
      </c>
      <c r="E767" s="209">
        <v>0</v>
      </c>
      <c r="F767" s="209">
        <v>0</v>
      </c>
      <c r="G767" s="209">
        <v>0</v>
      </c>
      <c r="H767" s="209">
        <v>0</v>
      </c>
      <c r="I767" s="209">
        <v>0</v>
      </c>
      <c r="J767" s="209">
        <v>0</v>
      </c>
      <c r="K767" s="209">
        <v>10</v>
      </c>
    </row>
    <row r="768" spans="1:11" ht="24.75" customHeight="1">
      <c r="A768" s="208">
        <v>42653</v>
      </c>
      <c r="B768" s="209" t="s">
        <v>491</v>
      </c>
      <c r="C768" s="226">
        <v>300008508327</v>
      </c>
      <c r="D768" s="209" t="s">
        <v>501</v>
      </c>
      <c r="E768" s="209">
        <v>0</v>
      </c>
      <c r="F768" s="209">
        <v>1</v>
      </c>
      <c r="G768" s="209">
        <v>1</v>
      </c>
      <c r="H768" s="209">
        <v>0</v>
      </c>
      <c r="I768" s="209">
        <v>1</v>
      </c>
      <c r="J768" s="209">
        <v>1</v>
      </c>
      <c r="K768" s="209">
        <v>995</v>
      </c>
    </row>
    <row r="769" spans="1:11" ht="24.75" customHeight="1">
      <c r="A769" s="208">
        <v>42653</v>
      </c>
      <c r="B769" s="209" t="s">
        <v>491</v>
      </c>
      <c r="C769" s="226">
        <v>300008841062</v>
      </c>
      <c r="D769" s="272" t="s">
        <v>277</v>
      </c>
      <c r="E769" s="209">
        <v>0</v>
      </c>
      <c r="F769" s="209">
        <v>5</v>
      </c>
      <c r="G769" s="209">
        <v>5</v>
      </c>
      <c r="H769" s="209">
        <v>0</v>
      </c>
      <c r="I769" s="209">
        <v>3</v>
      </c>
      <c r="J769" s="209">
        <v>3</v>
      </c>
      <c r="K769" s="209">
        <v>2597</v>
      </c>
    </row>
    <row r="770" spans="1:11" ht="24.75" customHeight="1">
      <c r="A770" s="208">
        <v>42653</v>
      </c>
      <c r="B770" s="209" t="s">
        <v>491</v>
      </c>
      <c r="C770" s="226">
        <v>300008868585</v>
      </c>
      <c r="D770" s="272" t="s">
        <v>495</v>
      </c>
      <c r="E770" s="209">
        <v>1</v>
      </c>
      <c r="F770" s="209">
        <v>5</v>
      </c>
      <c r="G770" s="209">
        <v>5</v>
      </c>
      <c r="H770" s="209">
        <v>0</v>
      </c>
      <c r="I770" s="209">
        <v>1</v>
      </c>
      <c r="J770" s="209">
        <v>1</v>
      </c>
      <c r="K770" s="209">
        <v>905</v>
      </c>
    </row>
    <row r="771" spans="1:11" ht="24.75" customHeight="1">
      <c r="A771" s="208">
        <v>42653</v>
      </c>
      <c r="B771" s="209" t="s">
        <v>491</v>
      </c>
      <c r="C771" s="226">
        <v>300008975991</v>
      </c>
      <c r="D771" s="209" t="s">
        <v>496</v>
      </c>
      <c r="E771" s="209">
        <v>0</v>
      </c>
      <c r="F771" s="209">
        <v>0</v>
      </c>
      <c r="G771" s="209">
        <v>0</v>
      </c>
      <c r="H771" s="209">
        <v>0</v>
      </c>
      <c r="I771" s="209">
        <v>0</v>
      </c>
      <c r="J771" s="209">
        <v>0</v>
      </c>
      <c r="K771" s="209">
        <v>5</v>
      </c>
    </row>
    <row r="772" spans="1:11" ht="24.75" customHeight="1">
      <c r="A772" s="208">
        <v>42653</v>
      </c>
      <c r="B772" s="209" t="s">
        <v>491</v>
      </c>
      <c r="C772" s="226">
        <v>300008993578</v>
      </c>
      <c r="D772" s="272" t="s">
        <v>497</v>
      </c>
      <c r="E772" s="209">
        <v>0</v>
      </c>
      <c r="F772" s="209">
        <v>3</v>
      </c>
      <c r="G772" s="209">
        <v>3</v>
      </c>
      <c r="H772" s="209">
        <v>0</v>
      </c>
      <c r="I772" s="209">
        <v>2</v>
      </c>
      <c r="J772" s="209">
        <v>2</v>
      </c>
      <c r="K772" s="209">
        <v>1296</v>
      </c>
    </row>
    <row r="773" spans="1:11" ht="24.75" customHeight="1">
      <c r="A773" s="208">
        <v>42653</v>
      </c>
      <c r="B773" s="209" t="s">
        <v>491</v>
      </c>
      <c r="C773" s="226">
        <v>300009016017</v>
      </c>
      <c r="D773" s="272" t="s">
        <v>498</v>
      </c>
      <c r="E773" s="209">
        <v>0</v>
      </c>
      <c r="F773" s="209">
        <v>1</v>
      </c>
      <c r="G773" s="209">
        <v>1</v>
      </c>
      <c r="H773" s="209">
        <v>0</v>
      </c>
      <c r="I773" s="209">
        <v>0</v>
      </c>
      <c r="J773" s="209">
        <v>0</v>
      </c>
      <c r="K773" s="209">
        <v>353</v>
      </c>
    </row>
    <row r="774" spans="1:11" ht="24.75" customHeight="1">
      <c r="A774" s="208">
        <v>42653</v>
      </c>
      <c r="B774" s="209" t="s">
        <v>491</v>
      </c>
      <c r="C774" s="226">
        <v>300009193471</v>
      </c>
      <c r="D774" s="272" t="s">
        <v>502</v>
      </c>
      <c r="E774" s="209">
        <v>0</v>
      </c>
      <c r="F774" s="209">
        <v>2</v>
      </c>
      <c r="G774" s="209">
        <v>2</v>
      </c>
      <c r="H774" s="209">
        <v>0</v>
      </c>
      <c r="I774" s="209">
        <v>1</v>
      </c>
      <c r="J774" s="209">
        <v>1</v>
      </c>
      <c r="K774" s="209">
        <v>691</v>
      </c>
    </row>
    <row r="775" spans="1:11" ht="24.75" customHeight="1">
      <c r="A775" s="208">
        <v>42653</v>
      </c>
      <c r="B775" s="209" t="s">
        <v>491</v>
      </c>
      <c r="C775" s="226">
        <v>300009197635</v>
      </c>
      <c r="D775" s="272" t="s">
        <v>282</v>
      </c>
      <c r="E775" s="209">
        <v>0</v>
      </c>
      <c r="F775" s="209">
        <v>12</v>
      </c>
      <c r="G775" s="209">
        <v>12</v>
      </c>
      <c r="H775" s="209">
        <v>0</v>
      </c>
      <c r="I775" s="209">
        <v>2</v>
      </c>
      <c r="J775" s="209">
        <v>2</v>
      </c>
      <c r="K775" s="209">
        <v>2855</v>
      </c>
    </row>
    <row r="776" spans="1:11" ht="24.75" customHeight="1">
      <c r="A776" s="208">
        <v>42653</v>
      </c>
      <c r="B776" s="209" t="s">
        <v>491</v>
      </c>
      <c r="C776" s="226">
        <v>300009228510</v>
      </c>
      <c r="D776" s="272" t="s">
        <v>503</v>
      </c>
      <c r="E776" s="209">
        <v>0</v>
      </c>
      <c r="F776" s="209">
        <v>0</v>
      </c>
      <c r="G776" s="209">
        <v>0</v>
      </c>
      <c r="H776" s="209">
        <v>0</v>
      </c>
      <c r="I776" s="209">
        <v>0</v>
      </c>
      <c r="J776" s="209">
        <v>0</v>
      </c>
      <c r="K776" s="209">
        <v>1</v>
      </c>
    </row>
    <row r="777" spans="1:11" ht="24.75" customHeight="1">
      <c r="A777" s="208">
        <v>42653</v>
      </c>
      <c r="B777" s="209" t="s">
        <v>491</v>
      </c>
      <c r="C777" s="226">
        <v>300009232016</v>
      </c>
      <c r="D777" s="272" t="s">
        <v>499</v>
      </c>
      <c r="E777" s="209">
        <v>0</v>
      </c>
      <c r="F777" s="209">
        <v>4</v>
      </c>
      <c r="G777" s="209">
        <v>4</v>
      </c>
      <c r="H777" s="209">
        <v>0</v>
      </c>
      <c r="I777" s="209">
        <v>4</v>
      </c>
      <c r="J777" s="209">
        <v>4</v>
      </c>
      <c r="K777" s="209">
        <v>2144</v>
      </c>
    </row>
    <row r="778" spans="1:11" ht="24.75" customHeight="1">
      <c r="A778" s="208">
        <v>42653</v>
      </c>
      <c r="B778" s="209" t="s">
        <v>491</v>
      </c>
      <c r="C778" s="226">
        <v>300009235974</v>
      </c>
      <c r="D778" s="272" t="s">
        <v>187</v>
      </c>
      <c r="E778" s="209">
        <v>0</v>
      </c>
      <c r="F778" s="209">
        <v>0</v>
      </c>
      <c r="G778" s="209">
        <v>0</v>
      </c>
      <c r="H778" s="209">
        <v>0</v>
      </c>
      <c r="I778" s="209">
        <v>0</v>
      </c>
      <c r="J778" s="209">
        <v>0</v>
      </c>
      <c r="K778" s="209">
        <v>0</v>
      </c>
    </row>
    <row r="779" spans="1:11" ht="24.75" customHeight="1">
      <c r="A779" s="208">
        <v>42653</v>
      </c>
      <c r="B779" s="209" t="s">
        <v>491</v>
      </c>
      <c r="C779" s="226">
        <v>300009358277</v>
      </c>
      <c r="D779" s="272" t="s">
        <v>500</v>
      </c>
      <c r="E779" s="209">
        <v>0</v>
      </c>
      <c r="F779" s="209">
        <v>14</v>
      </c>
      <c r="G779" s="209">
        <v>14</v>
      </c>
      <c r="H779" s="209">
        <v>0</v>
      </c>
      <c r="I779" s="209">
        <v>1</v>
      </c>
      <c r="J779" s="209">
        <v>1</v>
      </c>
      <c r="K779" s="209">
        <v>3308</v>
      </c>
    </row>
    <row r="780" spans="1:11" ht="24.75" customHeight="1">
      <c r="A780" s="208">
        <v>42653</v>
      </c>
      <c r="B780" s="209" t="s">
        <v>491</v>
      </c>
      <c r="C780" s="226">
        <v>300009374212</v>
      </c>
      <c r="D780" s="272" t="s">
        <v>235</v>
      </c>
      <c r="E780" s="209">
        <v>0</v>
      </c>
      <c r="F780" s="209">
        <v>0</v>
      </c>
      <c r="G780" s="209">
        <v>0</v>
      </c>
      <c r="H780" s="209">
        <v>0</v>
      </c>
      <c r="I780" s="209">
        <v>0</v>
      </c>
      <c r="J780" s="209">
        <v>0</v>
      </c>
      <c r="K780" s="209">
        <v>0</v>
      </c>
    </row>
    <row r="781" spans="1:11" ht="24.75" customHeight="1">
      <c r="A781" s="208">
        <v>42653</v>
      </c>
      <c r="B781" s="209" t="s">
        <v>491</v>
      </c>
      <c r="C781" s="226">
        <v>300009374215</v>
      </c>
      <c r="D781" s="272" t="s">
        <v>236</v>
      </c>
      <c r="E781" s="209">
        <v>0</v>
      </c>
      <c r="F781" s="209">
        <v>1</v>
      </c>
      <c r="G781" s="209">
        <v>1</v>
      </c>
      <c r="H781" s="209">
        <v>0</v>
      </c>
      <c r="I781" s="209">
        <v>0</v>
      </c>
      <c r="J781" s="209">
        <v>0</v>
      </c>
      <c r="K781" s="209">
        <v>0</v>
      </c>
    </row>
    <row r="782" spans="1:11" ht="24.75" customHeight="1">
      <c r="A782" s="208">
        <v>42653</v>
      </c>
      <c r="B782" s="209" t="s">
        <v>491</v>
      </c>
      <c r="C782" s="226">
        <v>300009410229</v>
      </c>
      <c r="D782" s="272" t="s">
        <v>279</v>
      </c>
      <c r="E782" s="209">
        <v>0</v>
      </c>
      <c r="F782" s="209">
        <v>0</v>
      </c>
      <c r="G782" s="209">
        <v>0</v>
      </c>
      <c r="H782" s="209">
        <v>0</v>
      </c>
      <c r="I782" s="209">
        <v>0</v>
      </c>
      <c r="J782" s="209">
        <v>0</v>
      </c>
      <c r="K782" s="209">
        <v>60</v>
      </c>
    </row>
    <row r="783" spans="1:11" ht="24.75" customHeight="1">
      <c r="A783" s="208">
        <v>42653</v>
      </c>
      <c r="B783" s="209" t="s">
        <v>529</v>
      </c>
      <c r="C783" s="226">
        <v>300009003496</v>
      </c>
      <c r="D783" s="272" t="s">
        <v>546</v>
      </c>
      <c r="E783" s="209">
        <v>0</v>
      </c>
      <c r="F783" s="209">
        <v>0</v>
      </c>
      <c r="G783" s="209">
        <v>0</v>
      </c>
      <c r="H783" s="209" t="s">
        <v>242</v>
      </c>
      <c r="I783" s="209" t="s">
        <v>242</v>
      </c>
      <c r="J783" s="209" t="s">
        <v>242</v>
      </c>
      <c r="K783" s="209">
        <v>0</v>
      </c>
    </row>
    <row r="784" spans="1:11" ht="24.75" customHeight="1">
      <c r="A784" s="208">
        <v>42653</v>
      </c>
      <c r="B784" s="209" t="s">
        <v>529</v>
      </c>
      <c r="C784" s="226">
        <v>300009822212</v>
      </c>
      <c r="D784" s="272" t="s">
        <v>530</v>
      </c>
      <c r="E784" s="209">
        <v>12</v>
      </c>
      <c r="F784" s="209">
        <v>71</v>
      </c>
      <c r="G784" s="209">
        <v>65.19</v>
      </c>
      <c r="H784" s="209">
        <v>3</v>
      </c>
      <c r="I784" s="209">
        <v>23</v>
      </c>
      <c r="J784" s="209">
        <v>21.12</v>
      </c>
      <c r="K784" s="209">
        <v>10891</v>
      </c>
    </row>
    <row r="785" spans="1:11" ht="24.75" customHeight="1">
      <c r="A785" s="208">
        <v>42653</v>
      </c>
      <c r="B785" s="209" t="s">
        <v>529</v>
      </c>
      <c r="C785" s="226">
        <v>300009249957</v>
      </c>
      <c r="D785" s="272" t="s">
        <v>537</v>
      </c>
      <c r="E785" s="209">
        <v>1</v>
      </c>
      <c r="F785" s="209">
        <v>2</v>
      </c>
      <c r="G785" s="209">
        <v>2</v>
      </c>
      <c r="H785" s="209">
        <v>1</v>
      </c>
      <c r="I785" s="209">
        <v>2</v>
      </c>
      <c r="J785" s="209">
        <v>2</v>
      </c>
      <c r="K785" s="209">
        <v>1260</v>
      </c>
    </row>
    <row r="786" spans="1:11" ht="24.75" customHeight="1">
      <c r="A786" s="208">
        <v>42653</v>
      </c>
      <c r="B786" s="209" t="s">
        <v>529</v>
      </c>
      <c r="C786" s="226">
        <v>300008467005</v>
      </c>
      <c r="D786" s="272" t="s">
        <v>540</v>
      </c>
      <c r="E786" s="209">
        <v>0</v>
      </c>
      <c r="F786" s="209">
        <v>13</v>
      </c>
      <c r="G786" s="209">
        <v>13</v>
      </c>
      <c r="H786" s="209">
        <v>0</v>
      </c>
      <c r="I786" s="209">
        <v>6</v>
      </c>
      <c r="J786" s="209">
        <v>6</v>
      </c>
      <c r="K786" s="209">
        <v>297</v>
      </c>
    </row>
    <row r="787" spans="1:11" ht="24.75" customHeight="1">
      <c r="A787" s="208">
        <v>42653</v>
      </c>
      <c r="B787" s="209" t="s">
        <v>529</v>
      </c>
      <c r="C787" s="226">
        <v>300009190385</v>
      </c>
      <c r="D787" s="272" t="s">
        <v>538</v>
      </c>
      <c r="E787" s="209">
        <v>0</v>
      </c>
      <c r="F787" s="209">
        <v>0</v>
      </c>
      <c r="G787" s="209">
        <v>0</v>
      </c>
      <c r="H787" s="209">
        <v>0</v>
      </c>
      <c r="I787" s="209">
        <v>0</v>
      </c>
      <c r="J787" s="209">
        <v>0</v>
      </c>
      <c r="K787" s="209">
        <v>499</v>
      </c>
    </row>
    <row r="788" spans="1:11" ht="24.75" customHeight="1">
      <c r="A788" s="208">
        <v>42653</v>
      </c>
      <c r="B788" s="209" t="s">
        <v>529</v>
      </c>
      <c r="C788" s="226">
        <v>300009191923</v>
      </c>
      <c r="D788" s="272" t="s">
        <v>545</v>
      </c>
      <c r="E788" s="209">
        <v>0</v>
      </c>
      <c r="F788" s="209">
        <v>0</v>
      </c>
      <c r="G788" s="209">
        <v>0</v>
      </c>
      <c r="H788" s="209">
        <v>0</v>
      </c>
      <c r="I788" s="209">
        <v>0</v>
      </c>
      <c r="J788" s="209">
        <v>0</v>
      </c>
      <c r="K788" s="209">
        <v>0</v>
      </c>
    </row>
    <row r="789" spans="1:11" ht="24.75" customHeight="1">
      <c r="A789" s="208">
        <v>42653</v>
      </c>
      <c r="B789" s="209" t="s">
        <v>529</v>
      </c>
      <c r="C789" s="226">
        <v>300009197635</v>
      </c>
      <c r="D789" s="272" t="s">
        <v>282</v>
      </c>
      <c r="E789" s="209">
        <v>0</v>
      </c>
      <c r="F789" s="209">
        <v>3</v>
      </c>
      <c r="G789" s="209">
        <v>3</v>
      </c>
      <c r="H789" s="209">
        <v>0</v>
      </c>
      <c r="I789" s="209">
        <v>1</v>
      </c>
      <c r="J789" s="209">
        <v>1</v>
      </c>
      <c r="K789" s="209">
        <v>1867</v>
      </c>
    </row>
    <row r="790" spans="1:11" ht="24.75" customHeight="1">
      <c r="A790" s="208">
        <v>42653</v>
      </c>
      <c r="B790" s="209" t="s">
        <v>529</v>
      </c>
      <c r="C790" s="226">
        <v>300009197814</v>
      </c>
      <c r="D790" s="272" t="s">
        <v>533</v>
      </c>
      <c r="E790" s="209">
        <v>0</v>
      </c>
      <c r="F790" s="209">
        <v>4</v>
      </c>
      <c r="G790" s="209">
        <v>4</v>
      </c>
      <c r="H790" s="209">
        <v>0</v>
      </c>
      <c r="I790" s="209">
        <v>3</v>
      </c>
      <c r="J790" s="209">
        <v>3</v>
      </c>
      <c r="K790" s="209">
        <v>1234</v>
      </c>
    </row>
    <row r="791" spans="1:11" ht="24.75" customHeight="1">
      <c r="A791" s="208">
        <v>42653</v>
      </c>
      <c r="B791" s="209" t="s">
        <v>529</v>
      </c>
      <c r="C791" s="226">
        <v>300009208033</v>
      </c>
      <c r="D791" s="272" t="s">
        <v>548</v>
      </c>
      <c r="E791" s="209">
        <v>0</v>
      </c>
      <c r="F791" s="209">
        <v>0</v>
      </c>
      <c r="G791" s="209">
        <v>0</v>
      </c>
      <c r="H791" s="209">
        <v>0</v>
      </c>
      <c r="I791" s="209">
        <v>0</v>
      </c>
      <c r="J791" s="209">
        <v>0</v>
      </c>
      <c r="K791" s="209">
        <v>748</v>
      </c>
    </row>
    <row r="792" spans="1:11" ht="24.75" customHeight="1">
      <c r="A792" s="208">
        <v>42653</v>
      </c>
      <c r="B792" s="209" t="s">
        <v>529</v>
      </c>
      <c r="C792" s="226">
        <v>300009208675</v>
      </c>
      <c r="D792" s="272" t="s">
        <v>535</v>
      </c>
      <c r="E792" s="209">
        <v>0</v>
      </c>
      <c r="F792" s="209">
        <v>0</v>
      </c>
      <c r="G792" s="209">
        <v>0</v>
      </c>
      <c r="H792" s="209">
        <v>0</v>
      </c>
      <c r="I792" s="209">
        <v>0</v>
      </c>
      <c r="J792" s="209">
        <v>0</v>
      </c>
      <c r="K792" s="209">
        <v>1332</v>
      </c>
    </row>
    <row r="793" spans="1:11" ht="24.75" customHeight="1">
      <c r="A793" s="208">
        <v>42653</v>
      </c>
      <c r="B793" s="209" t="s">
        <v>529</v>
      </c>
      <c r="C793" s="226">
        <v>300009208675</v>
      </c>
      <c r="D793" s="272" t="s">
        <v>535</v>
      </c>
      <c r="E793" s="209">
        <v>0</v>
      </c>
      <c r="F793" s="209">
        <v>0</v>
      </c>
      <c r="G793" s="209">
        <v>0</v>
      </c>
      <c r="H793" s="209">
        <v>0</v>
      </c>
      <c r="I793" s="209">
        <v>0</v>
      </c>
      <c r="J793" s="209">
        <v>0</v>
      </c>
      <c r="K793" s="209">
        <v>1332</v>
      </c>
    </row>
    <row r="794" spans="1:11" ht="24.75" customHeight="1">
      <c r="A794" s="208">
        <v>42653</v>
      </c>
      <c r="B794" s="209" t="s">
        <v>529</v>
      </c>
      <c r="C794" s="226">
        <v>300009208680</v>
      </c>
      <c r="D794" s="272" t="s">
        <v>532</v>
      </c>
      <c r="E794" s="209">
        <v>1</v>
      </c>
      <c r="F794" s="209">
        <v>2</v>
      </c>
      <c r="G794" s="209">
        <v>2</v>
      </c>
      <c r="H794" s="209">
        <v>0</v>
      </c>
      <c r="I794" s="209">
        <v>1</v>
      </c>
      <c r="J794" s="209">
        <v>1</v>
      </c>
      <c r="K794" s="209">
        <v>1223</v>
      </c>
    </row>
    <row r="795" spans="1:11" ht="24.75" customHeight="1">
      <c r="A795" s="208">
        <v>42653</v>
      </c>
      <c r="B795" s="209" t="s">
        <v>529</v>
      </c>
      <c r="C795" s="226">
        <v>300009211922</v>
      </c>
      <c r="D795" s="209" t="s">
        <v>523</v>
      </c>
      <c r="E795" s="209">
        <v>0</v>
      </c>
      <c r="F795" s="209">
        <v>0</v>
      </c>
      <c r="G795" s="209">
        <v>0</v>
      </c>
      <c r="H795" s="209">
        <v>0</v>
      </c>
      <c r="I795" s="209">
        <v>0</v>
      </c>
      <c r="J795" s="209">
        <v>0</v>
      </c>
      <c r="K795" s="209">
        <v>58</v>
      </c>
    </row>
    <row r="796" spans="1:11" ht="24.75" customHeight="1">
      <c r="A796" s="208">
        <v>42653</v>
      </c>
      <c r="B796" s="209" t="s">
        <v>529</v>
      </c>
      <c r="C796" s="226">
        <v>300009212855</v>
      </c>
      <c r="D796" s="272" t="s">
        <v>536</v>
      </c>
      <c r="E796" s="209">
        <v>3</v>
      </c>
      <c r="F796" s="209">
        <v>9</v>
      </c>
      <c r="G796" s="209">
        <v>9</v>
      </c>
      <c r="H796" s="209">
        <v>0</v>
      </c>
      <c r="I796" s="209">
        <v>0</v>
      </c>
      <c r="J796" s="209">
        <v>0</v>
      </c>
      <c r="K796" s="209">
        <v>906</v>
      </c>
    </row>
    <row r="797" spans="1:11" ht="24.75" customHeight="1">
      <c r="A797" s="208">
        <v>42653</v>
      </c>
      <c r="B797" s="209" t="s">
        <v>529</v>
      </c>
      <c r="C797" s="226">
        <v>300009232016</v>
      </c>
      <c r="D797" s="272" t="s">
        <v>499</v>
      </c>
      <c r="E797" s="209">
        <v>0</v>
      </c>
      <c r="F797" s="209">
        <v>1</v>
      </c>
      <c r="G797" s="209">
        <v>1</v>
      </c>
      <c r="H797" s="209">
        <v>0</v>
      </c>
      <c r="I797" s="209">
        <v>1</v>
      </c>
      <c r="J797" s="209">
        <v>1</v>
      </c>
      <c r="K797" s="209">
        <v>1431</v>
      </c>
    </row>
    <row r="798" spans="1:11" ht="24.75" customHeight="1">
      <c r="A798" s="208">
        <v>42653</v>
      </c>
      <c r="B798" s="209" t="s">
        <v>529</v>
      </c>
      <c r="C798" s="226">
        <v>300009240032</v>
      </c>
      <c r="D798" s="272" t="s">
        <v>542</v>
      </c>
      <c r="E798" s="209">
        <v>0</v>
      </c>
      <c r="F798" s="209">
        <v>0</v>
      </c>
      <c r="G798" s="209">
        <v>0</v>
      </c>
      <c r="H798" s="209">
        <v>0</v>
      </c>
      <c r="I798" s="209">
        <v>0</v>
      </c>
      <c r="J798" s="209">
        <v>0</v>
      </c>
      <c r="K798" s="209">
        <v>8</v>
      </c>
    </row>
    <row r="799" spans="1:11" ht="24.75" customHeight="1">
      <c r="A799" s="208">
        <v>42653</v>
      </c>
      <c r="B799" s="209" t="s">
        <v>529</v>
      </c>
      <c r="C799" s="226">
        <v>300009288214</v>
      </c>
      <c r="D799" s="272" t="s">
        <v>547</v>
      </c>
      <c r="E799" s="209">
        <v>0</v>
      </c>
      <c r="F799" s="209">
        <v>0</v>
      </c>
      <c r="G799" s="209">
        <v>0</v>
      </c>
      <c r="H799" s="209">
        <v>0</v>
      </c>
      <c r="I799" s="209">
        <v>0</v>
      </c>
      <c r="J799" s="209">
        <v>0</v>
      </c>
      <c r="K799" s="209">
        <v>0</v>
      </c>
    </row>
    <row r="800" spans="1:11" ht="24.75" customHeight="1">
      <c r="A800" s="208">
        <v>42653</v>
      </c>
      <c r="B800" s="209" t="s">
        <v>529</v>
      </c>
      <c r="C800" s="226">
        <v>300009288265</v>
      </c>
      <c r="D800" s="272" t="s">
        <v>531</v>
      </c>
      <c r="E800" s="209">
        <v>0</v>
      </c>
      <c r="F800" s="209">
        <v>7</v>
      </c>
      <c r="G800" s="209">
        <v>7</v>
      </c>
      <c r="H800" s="209">
        <v>0</v>
      </c>
      <c r="I800" s="209">
        <v>1</v>
      </c>
      <c r="J800" s="209">
        <v>1</v>
      </c>
      <c r="K800" s="209">
        <v>2002</v>
      </c>
    </row>
    <row r="801" spans="1:11" ht="24.75" customHeight="1">
      <c r="A801" s="208">
        <v>42653</v>
      </c>
      <c r="B801" s="209" t="s">
        <v>529</v>
      </c>
      <c r="C801" s="226">
        <v>300009290227</v>
      </c>
      <c r="D801" s="272" t="s">
        <v>534</v>
      </c>
      <c r="E801" s="209">
        <v>0</v>
      </c>
      <c r="F801" s="209">
        <v>1</v>
      </c>
      <c r="G801" s="209">
        <v>1</v>
      </c>
      <c r="H801" s="209">
        <v>0</v>
      </c>
      <c r="I801" s="209">
        <v>1</v>
      </c>
      <c r="J801" s="209">
        <v>1</v>
      </c>
      <c r="K801" s="209">
        <v>676</v>
      </c>
    </row>
    <row r="802" spans="1:11" ht="24.75" customHeight="1">
      <c r="A802" s="208">
        <v>42653</v>
      </c>
      <c r="B802" s="209" t="s">
        <v>529</v>
      </c>
      <c r="C802" s="226">
        <v>300009294244</v>
      </c>
      <c r="D802" s="272" t="s">
        <v>539</v>
      </c>
      <c r="E802" s="209">
        <v>0</v>
      </c>
      <c r="F802" s="209">
        <v>7</v>
      </c>
      <c r="G802" s="209">
        <v>7</v>
      </c>
      <c r="H802" s="209">
        <v>0</v>
      </c>
      <c r="I802" s="209">
        <v>1</v>
      </c>
      <c r="J802" s="209">
        <v>1</v>
      </c>
      <c r="K802" s="209">
        <v>1526</v>
      </c>
    </row>
    <row r="803" spans="1:11" ht="24.75" customHeight="1">
      <c r="A803" s="208">
        <v>42653</v>
      </c>
      <c r="B803" s="209" t="s">
        <v>529</v>
      </c>
      <c r="C803" s="226">
        <v>300009294244</v>
      </c>
      <c r="D803" s="272" t="s">
        <v>539</v>
      </c>
      <c r="E803" s="209">
        <v>0</v>
      </c>
      <c r="F803" s="209">
        <v>7</v>
      </c>
      <c r="G803" s="209">
        <v>7</v>
      </c>
      <c r="H803" s="209">
        <v>0</v>
      </c>
      <c r="I803" s="209">
        <v>1</v>
      </c>
      <c r="J803" s="209">
        <v>1</v>
      </c>
      <c r="K803" s="209">
        <v>1526</v>
      </c>
    </row>
    <row r="804" spans="1:11" ht="24.75" customHeight="1">
      <c r="A804" s="208">
        <v>42653</v>
      </c>
      <c r="B804" s="209" t="s">
        <v>529</v>
      </c>
      <c r="C804" s="226">
        <v>300009328320</v>
      </c>
      <c r="D804" s="272" t="s">
        <v>543</v>
      </c>
      <c r="E804" s="209">
        <v>0</v>
      </c>
      <c r="F804" s="209">
        <v>0</v>
      </c>
      <c r="G804" s="209">
        <v>0</v>
      </c>
      <c r="H804" s="209">
        <v>0</v>
      </c>
      <c r="I804" s="209">
        <v>0</v>
      </c>
      <c r="J804" s="209">
        <v>0</v>
      </c>
      <c r="K804" s="209">
        <v>32</v>
      </c>
    </row>
    <row r="805" spans="1:11" ht="24.75" customHeight="1">
      <c r="A805" s="208">
        <v>42653</v>
      </c>
      <c r="B805" s="209" t="s">
        <v>529</v>
      </c>
      <c r="C805" s="226">
        <v>300009406202</v>
      </c>
      <c r="D805" s="272" t="s">
        <v>232</v>
      </c>
      <c r="E805" s="209">
        <v>1</v>
      </c>
      <c r="F805" s="209">
        <v>3</v>
      </c>
      <c r="G805" s="209">
        <v>3</v>
      </c>
      <c r="H805" s="209">
        <v>0</v>
      </c>
      <c r="I805" s="209">
        <v>0</v>
      </c>
      <c r="J805" s="209">
        <v>0</v>
      </c>
      <c r="K805" s="209">
        <v>684</v>
      </c>
    </row>
    <row r="806" spans="1:11" ht="24.75" customHeight="1">
      <c r="A806" s="208">
        <v>42653</v>
      </c>
      <c r="B806" s="209" t="s">
        <v>529</v>
      </c>
      <c r="C806" s="226">
        <v>300009972231</v>
      </c>
      <c r="D806" s="272" t="s">
        <v>566</v>
      </c>
      <c r="E806" s="209">
        <v>0</v>
      </c>
      <c r="F806" s="209">
        <v>0</v>
      </c>
      <c r="G806" s="209">
        <v>0</v>
      </c>
      <c r="H806" s="209">
        <v>0</v>
      </c>
      <c r="I806" s="209">
        <v>0</v>
      </c>
      <c r="J806" s="209">
        <v>0</v>
      </c>
      <c r="K806" s="209">
        <v>13</v>
      </c>
    </row>
    <row r="807" spans="1:11" ht="24.75" customHeight="1">
      <c r="A807" s="208">
        <v>42653</v>
      </c>
      <c r="B807" s="209" t="s">
        <v>529</v>
      </c>
      <c r="C807" s="226">
        <v>300009972233</v>
      </c>
      <c r="D807" s="272" t="s">
        <v>544</v>
      </c>
      <c r="E807" s="209">
        <v>0</v>
      </c>
      <c r="F807" s="209">
        <v>2</v>
      </c>
      <c r="G807" s="209">
        <v>2</v>
      </c>
      <c r="H807" s="209">
        <v>0</v>
      </c>
      <c r="I807" s="209">
        <v>2</v>
      </c>
      <c r="J807" s="209">
        <v>2</v>
      </c>
      <c r="K807" s="209">
        <v>2</v>
      </c>
    </row>
    <row r="808" spans="1:11" ht="24.75" customHeight="1">
      <c r="A808" s="208">
        <v>42654</v>
      </c>
      <c r="B808" s="209" t="s">
        <v>511</v>
      </c>
      <c r="C808" s="226">
        <v>300007704986</v>
      </c>
      <c r="D808" s="272" t="s">
        <v>283</v>
      </c>
      <c r="E808" s="209">
        <v>0</v>
      </c>
      <c r="F808" s="209">
        <v>0</v>
      </c>
      <c r="G808" s="209">
        <v>0</v>
      </c>
      <c r="H808" s="209">
        <v>0</v>
      </c>
      <c r="I808" s="209">
        <v>0</v>
      </c>
      <c r="J808" s="209">
        <v>0</v>
      </c>
      <c r="K808" s="209">
        <v>1</v>
      </c>
    </row>
    <row r="809" spans="1:11" ht="24.75" customHeight="1">
      <c r="A809" s="208">
        <v>42654</v>
      </c>
      <c r="B809" s="209" t="s">
        <v>511</v>
      </c>
      <c r="C809" s="226">
        <v>300007875924</v>
      </c>
      <c r="D809" s="209" t="s">
        <v>492</v>
      </c>
      <c r="E809" s="209">
        <v>0</v>
      </c>
      <c r="F809" s="209">
        <v>0</v>
      </c>
      <c r="G809" s="209">
        <v>0</v>
      </c>
      <c r="H809" s="209">
        <v>0</v>
      </c>
      <c r="I809" s="209">
        <v>0</v>
      </c>
      <c r="J809" s="209">
        <v>0</v>
      </c>
      <c r="K809" s="209">
        <v>1</v>
      </c>
    </row>
    <row r="810" spans="1:11" ht="24.75" customHeight="1">
      <c r="A810" s="208">
        <v>42654</v>
      </c>
      <c r="B810" s="209" t="s">
        <v>511</v>
      </c>
      <c r="C810" s="226">
        <v>300008193965</v>
      </c>
      <c r="D810" s="272" t="s">
        <v>512</v>
      </c>
      <c r="E810" s="209">
        <v>0</v>
      </c>
      <c r="F810" s="209">
        <v>0</v>
      </c>
      <c r="G810" s="209">
        <v>0</v>
      </c>
      <c r="H810" s="209">
        <v>0</v>
      </c>
      <c r="I810" s="209">
        <v>0</v>
      </c>
      <c r="J810" s="209">
        <v>0</v>
      </c>
      <c r="K810" s="209">
        <v>5</v>
      </c>
    </row>
    <row r="811" spans="1:11" ht="24.75" customHeight="1">
      <c r="A811" s="208">
        <v>42654</v>
      </c>
      <c r="B811" s="209" t="s">
        <v>511</v>
      </c>
      <c r="C811" s="226">
        <v>300008219979</v>
      </c>
      <c r="D811" s="272" t="s">
        <v>517</v>
      </c>
      <c r="E811" s="209">
        <v>0</v>
      </c>
      <c r="F811" s="209">
        <v>0</v>
      </c>
      <c r="G811" s="209">
        <v>0</v>
      </c>
      <c r="H811" s="209">
        <v>0</v>
      </c>
      <c r="I811" s="209">
        <v>0</v>
      </c>
      <c r="J811" s="209">
        <v>0</v>
      </c>
      <c r="K811" s="209">
        <v>1</v>
      </c>
    </row>
    <row r="812" spans="1:11" ht="24.75" customHeight="1">
      <c r="A812" s="208">
        <v>42654</v>
      </c>
      <c r="B812" s="209" t="s">
        <v>511</v>
      </c>
      <c r="C812" s="226">
        <v>300008244937</v>
      </c>
      <c r="D812" s="272" t="s">
        <v>272</v>
      </c>
      <c r="E812" s="209">
        <v>0</v>
      </c>
      <c r="F812" s="209">
        <v>0</v>
      </c>
      <c r="G812" s="209">
        <v>0</v>
      </c>
      <c r="H812" s="209">
        <v>0</v>
      </c>
      <c r="I812" s="209">
        <v>0</v>
      </c>
      <c r="J812" s="209">
        <v>0</v>
      </c>
      <c r="K812" s="209">
        <v>0</v>
      </c>
    </row>
    <row r="813" spans="1:11" ht="24.75" customHeight="1">
      <c r="A813" s="208">
        <v>42654</v>
      </c>
      <c r="B813" s="209" t="s">
        <v>511</v>
      </c>
      <c r="C813" s="226">
        <v>300008508327</v>
      </c>
      <c r="D813" s="209" t="s">
        <v>501</v>
      </c>
      <c r="E813" s="209">
        <v>0</v>
      </c>
      <c r="F813" s="209">
        <v>1</v>
      </c>
      <c r="G813" s="209">
        <v>1</v>
      </c>
      <c r="H813" s="209">
        <v>0</v>
      </c>
      <c r="I813" s="209">
        <v>1</v>
      </c>
      <c r="J813" s="209">
        <v>1</v>
      </c>
      <c r="K813" s="209">
        <v>1581</v>
      </c>
    </row>
    <row r="814" spans="1:11" ht="24.75" customHeight="1">
      <c r="A814" s="208">
        <v>42654</v>
      </c>
      <c r="B814" s="209" t="s">
        <v>511</v>
      </c>
      <c r="C814" s="226">
        <v>300008579657</v>
      </c>
      <c r="D814" s="272" t="s">
        <v>513</v>
      </c>
      <c r="E814" s="209">
        <v>0</v>
      </c>
      <c r="F814" s="209">
        <v>1</v>
      </c>
      <c r="G814" s="209">
        <v>1</v>
      </c>
      <c r="H814" s="209">
        <v>0</v>
      </c>
      <c r="I814" s="209">
        <v>1</v>
      </c>
      <c r="J814" s="209">
        <v>1</v>
      </c>
      <c r="K814" s="209">
        <v>0</v>
      </c>
    </row>
    <row r="815" spans="1:11" ht="24.75" customHeight="1">
      <c r="A815" s="208">
        <v>42654</v>
      </c>
      <c r="B815" s="209" t="s">
        <v>511</v>
      </c>
      <c r="C815" s="226">
        <v>300008841062</v>
      </c>
      <c r="D815" s="272" t="s">
        <v>277</v>
      </c>
      <c r="E815" s="209">
        <v>0</v>
      </c>
      <c r="F815" s="209">
        <v>11</v>
      </c>
      <c r="G815" s="209">
        <v>11</v>
      </c>
      <c r="H815" s="209">
        <v>0</v>
      </c>
      <c r="I815" s="209">
        <v>11</v>
      </c>
      <c r="J815" s="209">
        <v>11</v>
      </c>
      <c r="K815" s="209">
        <v>2627</v>
      </c>
    </row>
    <row r="816" spans="1:11" ht="24.75" customHeight="1">
      <c r="A816" s="208">
        <v>42654</v>
      </c>
      <c r="B816" s="209" t="s">
        <v>511</v>
      </c>
      <c r="C816" s="226">
        <v>300008853065</v>
      </c>
      <c r="D816" s="272" t="s">
        <v>515</v>
      </c>
      <c r="E816" s="209">
        <v>0</v>
      </c>
      <c r="F816" s="209">
        <v>0</v>
      </c>
      <c r="G816" s="209">
        <v>0</v>
      </c>
      <c r="H816" s="209">
        <v>0</v>
      </c>
      <c r="I816" s="209">
        <v>0</v>
      </c>
      <c r="J816" s="209">
        <v>0</v>
      </c>
      <c r="K816" s="209">
        <v>2</v>
      </c>
    </row>
    <row r="817" spans="1:11" ht="24.75" customHeight="1">
      <c r="A817" s="208">
        <v>42654</v>
      </c>
      <c r="B817" s="209" t="s">
        <v>511</v>
      </c>
      <c r="C817" s="226">
        <v>300008868585</v>
      </c>
      <c r="D817" s="272" t="s">
        <v>495</v>
      </c>
      <c r="E817" s="209">
        <v>0</v>
      </c>
      <c r="F817" s="209">
        <v>3</v>
      </c>
      <c r="G817" s="209">
        <v>3</v>
      </c>
      <c r="H817" s="209">
        <v>0</v>
      </c>
      <c r="I817" s="209">
        <v>1</v>
      </c>
      <c r="J817" s="209">
        <v>1</v>
      </c>
      <c r="K817" s="209">
        <v>739</v>
      </c>
    </row>
    <row r="818" spans="1:11" ht="24.75" customHeight="1">
      <c r="A818" s="208">
        <v>42654</v>
      </c>
      <c r="B818" s="209" t="s">
        <v>511</v>
      </c>
      <c r="C818" s="226">
        <v>300008993578</v>
      </c>
      <c r="D818" s="272" t="s">
        <v>497</v>
      </c>
      <c r="E818" s="209">
        <v>0</v>
      </c>
      <c r="F818" s="209">
        <v>9</v>
      </c>
      <c r="G818" s="209">
        <v>9</v>
      </c>
      <c r="H818" s="209">
        <v>0</v>
      </c>
      <c r="I818" s="209">
        <v>7</v>
      </c>
      <c r="J818" s="209">
        <v>7</v>
      </c>
      <c r="K818" s="209">
        <v>1559</v>
      </c>
    </row>
    <row r="819" spans="1:11" ht="24.75" customHeight="1">
      <c r="A819" s="208">
        <v>42654</v>
      </c>
      <c r="B819" s="209" t="s">
        <v>511</v>
      </c>
      <c r="C819" s="226">
        <v>300009003496</v>
      </c>
      <c r="D819" s="272" t="s">
        <v>546</v>
      </c>
      <c r="E819" s="209">
        <v>0</v>
      </c>
      <c r="F819" s="209">
        <v>0</v>
      </c>
      <c r="G819" s="209">
        <v>0</v>
      </c>
      <c r="H819" s="209">
        <v>0</v>
      </c>
      <c r="I819" s="209">
        <v>0</v>
      </c>
      <c r="J819" s="209">
        <v>0</v>
      </c>
      <c r="K819" s="209">
        <v>0</v>
      </c>
    </row>
    <row r="820" spans="1:11" ht="24.75" customHeight="1">
      <c r="A820" s="208">
        <v>42654</v>
      </c>
      <c r="B820" s="209" t="s">
        <v>511</v>
      </c>
      <c r="C820" s="226">
        <v>300009016017</v>
      </c>
      <c r="D820" s="272" t="s">
        <v>498</v>
      </c>
      <c r="E820" s="209">
        <v>0</v>
      </c>
      <c r="F820" s="209">
        <v>1</v>
      </c>
      <c r="G820" s="209">
        <v>1</v>
      </c>
      <c r="H820" s="209">
        <v>0</v>
      </c>
      <c r="I820" s="209">
        <v>0</v>
      </c>
      <c r="J820" s="209">
        <v>0</v>
      </c>
      <c r="K820" s="209">
        <v>334</v>
      </c>
    </row>
    <row r="821" spans="1:11" ht="24.75" customHeight="1">
      <c r="A821" s="208">
        <v>42654</v>
      </c>
      <c r="B821" s="209" t="s">
        <v>511</v>
      </c>
      <c r="C821" s="226">
        <v>300009151749</v>
      </c>
      <c r="D821" s="272" t="s">
        <v>518</v>
      </c>
      <c r="E821" s="209">
        <v>0</v>
      </c>
      <c r="F821" s="209">
        <v>0</v>
      </c>
      <c r="G821" s="209">
        <v>0</v>
      </c>
      <c r="H821" s="209">
        <v>0</v>
      </c>
      <c r="I821" s="209">
        <v>0</v>
      </c>
      <c r="J821" s="209">
        <v>0</v>
      </c>
      <c r="K821" s="209">
        <v>1</v>
      </c>
    </row>
    <row r="822" spans="1:11" ht="24.75" customHeight="1">
      <c r="A822" s="208">
        <v>42654</v>
      </c>
      <c r="B822" s="209" t="s">
        <v>511</v>
      </c>
      <c r="C822" s="226">
        <v>300009184067</v>
      </c>
      <c r="D822" s="272" t="s">
        <v>233</v>
      </c>
      <c r="E822" s="209">
        <v>0</v>
      </c>
      <c r="F822" s="209">
        <v>0</v>
      </c>
      <c r="G822" s="209">
        <v>0</v>
      </c>
      <c r="H822" s="209">
        <v>0</v>
      </c>
      <c r="I822" s="209">
        <v>0</v>
      </c>
      <c r="J822" s="209">
        <v>0</v>
      </c>
      <c r="K822" s="209">
        <v>0</v>
      </c>
    </row>
    <row r="823" spans="1:11" ht="24.75" customHeight="1">
      <c r="A823" s="208">
        <v>42654</v>
      </c>
      <c r="B823" s="209" t="s">
        <v>511</v>
      </c>
      <c r="C823" s="226">
        <v>300009185572</v>
      </c>
      <c r="D823" s="272" t="s">
        <v>237</v>
      </c>
      <c r="E823" s="209">
        <v>0</v>
      </c>
      <c r="F823" s="209">
        <v>0</v>
      </c>
      <c r="G823" s="209">
        <v>0</v>
      </c>
      <c r="H823" s="209">
        <v>0</v>
      </c>
      <c r="I823" s="209">
        <v>0</v>
      </c>
      <c r="J823" s="209">
        <v>0</v>
      </c>
      <c r="K823" s="209">
        <v>0</v>
      </c>
    </row>
    <row r="824" spans="1:11" ht="24.75" customHeight="1">
      <c r="A824" s="208">
        <v>42654</v>
      </c>
      <c r="B824" s="209" t="s">
        <v>511</v>
      </c>
      <c r="C824" s="226">
        <v>300009190374</v>
      </c>
      <c r="D824" s="272" t="s">
        <v>516</v>
      </c>
      <c r="E824" s="209">
        <v>0</v>
      </c>
      <c r="F824" s="209">
        <v>0</v>
      </c>
      <c r="G824" s="209">
        <v>0</v>
      </c>
      <c r="H824" s="209">
        <v>0</v>
      </c>
      <c r="I824" s="209">
        <v>0</v>
      </c>
      <c r="J824" s="209">
        <v>0</v>
      </c>
      <c r="K824" s="209">
        <v>1</v>
      </c>
    </row>
    <row r="825" spans="1:11" ht="24.75" customHeight="1">
      <c r="A825" s="208">
        <v>42654</v>
      </c>
      <c r="B825" s="209" t="s">
        <v>511</v>
      </c>
      <c r="C825" s="226">
        <v>300009192151</v>
      </c>
      <c r="D825" s="272" t="s">
        <v>514</v>
      </c>
      <c r="E825" s="209">
        <v>0</v>
      </c>
      <c r="F825" s="209">
        <v>2</v>
      </c>
      <c r="G825" s="209">
        <v>2</v>
      </c>
      <c r="H825" s="209">
        <v>0</v>
      </c>
      <c r="I825" s="209">
        <v>0</v>
      </c>
      <c r="J825" s="209">
        <v>0</v>
      </c>
      <c r="K825" s="209">
        <v>1603</v>
      </c>
    </row>
    <row r="826" spans="1:11" ht="24.75" customHeight="1">
      <c r="A826" s="208">
        <v>42654</v>
      </c>
      <c r="B826" s="209" t="s">
        <v>511</v>
      </c>
      <c r="C826" s="226">
        <v>300009193471</v>
      </c>
      <c r="D826" s="272" t="s">
        <v>502</v>
      </c>
      <c r="E826" s="209">
        <v>0</v>
      </c>
      <c r="F826" s="209">
        <v>1</v>
      </c>
      <c r="G826" s="209">
        <v>1</v>
      </c>
      <c r="H826" s="209">
        <v>0</v>
      </c>
      <c r="I826" s="209">
        <v>0</v>
      </c>
      <c r="J826" s="209">
        <v>0</v>
      </c>
      <c r="K826" s="209">
        <v>759</v>
      </c>
    </row>
    <row r="827" spans="1:11" ht="24.75" customHeight="1">
      <c r="A827" s="208">
        <v>42654</v>
      </c>
      <c r="B827" s="209" t="s">
        <v>511</v>
      </c>
      <c r="C827" s="226">
        <v>300009197635</v>
      </c>
      <c r="D827" s="272" t="s">
        <v>282</v>
      </c>
      <c r="E827" s="209">
        <v>0</v>
      </c>
      <c r="F827" s="209">
        <v>6</v>
      </c>
      <c r="G827" s="209">
        <v>6</v>
      </c>
      <c r="H827" s="209">
        <v>0</v>
      </c>
      <c r="I827" s="209">
        <v>0</v>
      </c>
      <c r="J827" s="209">
        <v>0</v>
      </c>
      <c r="K827" s="209">
        <v>2840</v>
      </c>
    </row>
    <row r="828" spans="1:11" ht="24.75" customHeight="1">
      <c r="A828" s="208">
        <v>42654</v>
      </c>
      <c r="B828" s="209" t="s">
        <v>511</v>
      </c>
      <c r="C828" s="226">
        <v>300009232016</v>
      </c>
      <c r="D828" s="272" t="s">
        <v>499</v>
      </c>
      <c r="E828" s="209">
        <v>0</v>
      </c>
      <c r="F828" s="209">
        <v>4</v>
      </c>
      <c r="G828" s="209">
        <v>4</v>
      </c>
      <c r="H828" s="209">
        <v>0</v>
      </c>
      <c r="I828" s="209">
        <v>4</v>
      </c>
      <c r="J828" s="209">
        <v>4</v>
      </c>
      <c r="K828" s="209">
        <v>2132</v>
      </c>
    </row>
    <row r="829" spans="1:11" ht="24.75" customHeight="1">
      <c r="A829" s="208">
        <v>42654</v>
      </c>
      <c r="B829" s="209" t="s">
        <v>511</v>
      </c>
      <c r="C829" s="226">
        <v>300009235971</v>
      </c>
      <c r="D829" s="272" t="s">
        <v>241</v>
      </c>
      <c r="E829" s="209">
        <v>0</v>
      </c>
      <c r="F829" s="209">
        <v>0</v>
      </c>
      <c r="G829" s="209">
        <v>0</v>
      </c>
      <c r="H829" s="209">
        <v>0</v>
      </c>
      <c r="I829" s="209">
        <v>0</v>
      </c>
      <c r="J829" s="209">
        <v>0</v>
      </c>
      <c r="K829" s="209">
        <v>0</v>
      </c>
    </row>
    <row r="830" spans="1:11" ht="24.75" customHeight="1">
      <c r="A830" s="208">
        <v>42654</v>
      </c>
      <c r="B830" s="209" t="s">
        <v>511</v>
      </c>
      <c r="C830" s="226">
        <v>300009358277</v>
      </c>
      <c r="D830" s="272" t="s">
        <v>500</v>
      </c>
      <c r="E830" s="209">
        <v>3</v>
      </c>
      <c r="F830" s="209">
        <v>18</v>
      </c>
      <c r="G830" s="209">
        <v>18</v>
      </c>
      <c r="H830" s="209">
        <v>0</v>
      </c>
      <c r="I830" s="209">
        <v>1</v>
      </c>
      <c r="J830" s="209">
        <v>1</v>
      </c>
      <c r="K830" s="209">
        <v>4709</v>
      </c>
    </row>
    <row r="831" spans="1:11" ht="24.75" customHeight="1">
      <c r="A831" s="208">
        <v>42654</v>
      </c>
      <c r="B831" s="209" t="s">
        <v>511</v>
      </c>
      <c r="C831" s="226">
        <v>300009374212</v>
      </c>
      <c r="D831" s="272" t="s">
        <v>235</v>
      </c>
      <c r="E831" s="209">
        <v>0</v>
      </c>
      <c r="F831" s="209">
        <v>3</v>
      </c>
      <c r="G831" s="209">
        <v>3</v>
      </c>
      <c r="H831" s="209">
        <v>0</v>
      </c>
      <c r="I831" s="209">
        <v>0</v>
      </c>
      <c r="J831" s="209">
        <v>0</v>
      </c>
      <c r="K831" s="209">
        <v>683</v>
      </c>
    </row>
    <row r="832" spans="1:11" ht="24.75" customHeight="1">
      <c r="A832" s="208">
        <v>42654</v>
      </c>
      <c r="B832" s="209" t="s">
        <v>511</v>
      </c>
      <c r="C832" s="226">
        <v>300009406201</v>
      </c>
      <c r="D832" s="272" t="s">
        <v>234</v>
      </c>
      <c r="E832" s="209">
        <v>0</v>
      </c>
      <c r="F832" s="209">
        <v>8</v>
      </c>
      <c r="G832" s="209">
        <v>8</v>
      </c>
      <c r="H832" s="209">
        <v>0</v>
      </c>
      <c r="I832" s="209">
        <v>2</v>
      </c>
      <c r="J832" s="209">
        <v>2</v>
      </c>
      <c r="K832" s="209">
        <v>1603</v>
      </c>
    </row>
    <row r="833" spans="1:11" ht="24.75" customHeight="1">
      <c r="A833" s="208">
        <v>42654</v>
      </c>
      <c r="B833" s="209" t="s">
        <v>511</v>
      </c>
      <c r="C833" s="226">
        <v>300009406202</v>
      </c>
      <c r="D833" s="272" t="s">
        <v>232</v>
      </c>
      <c r="E833" s="209">
        <v>0</v>
      </c>
      <c r="F833" s="209">
        <v>0</v>
      </c>
      <c r="G833" s="209">
        <v>0</v>
      </c>
      <c r="H833" s="209">
        <v>0</v>
      </c>
      <c r="I833" s="209">
        <v>0</v>
      </c>
      <c r="J833" s="209">
        <v>0</v>
      </c>
      <c r="K833" s="209">
        <v>0</v>
      </c>
    </row>
    <row r="834" spans="1:11" ht="24.75" customHeight="1">
      <c r="A834" s="208">
        <v>42654</v>
      </c>
      <c r="B834" s="209" t="s">
        <v>511</v>
      </c>
      <c r="C834" s="226">
        <v>300009410229</v>
      </c>
      <c r="D834" s="272" t="s">
        <v>279</v>
      </c>
      <c r="E834" s="209">
        <v>0</v>
      </c>
      <c r="F834" s="209">
        <v>0</v>
      </c>
      <c r="G834" s="209">
        <v>0</v>
      </c>
      <c r="H834" s="209">
        <v>0</v>
      </c>
      <c r="I834" s="209">
        <v>0</v>
      </c>
      <c r="J834" s="209">
        <v>0</v>
      </c>
      <c r="K834" s="209">
        <v>44</v>
      </c>
    </row>
    <row r="835" spans="1:11" ht="24.75" customHeight="1">
      <c r="A835" s="208">
        <v>42654</v>
      </c>
      <c r="B835" s="209" t="s">
        <v>511</v>
      </c>
      <c r="C835" s="226">
        <v>300009480238</v>
      </c>
      <c r="D835" s="272" t="s">
        <v>263</v>
      </c>
      <c r="E835" s="209">
        <v>2</v>
      </c>
      <c r="F835" s="209">
        <v>19</v>
      </c>
      <c r="G835" s="209">
        <v>19</v>
      </c>
      <c r="H835" s="209">
        <v>0</v>
      </c>
      <c r="I835" s="209">
        <v>3</v>
      </c>
      <c r="J835" s="209">
        <v>3</v>
      </c>
      <c r="K835" s="209">
        <v>1161</v>
      </c>
    </row>
    <row r="836" spans="1:11" ht="24.75" customHeight="1">
      <c r="A836" s="208">
        <v>42654</v>
      </c>
      <c r="B836" s="209" t="s">
        <v>519</v>
      </c>
      <c r="C836" s="226">
        <v>300009842225</v>
      </c>
      <c r="D836" s="272" t="s">
        <v>524</v>
      </c>
      <c r="E836" s="209">
        <v>4</v>
      </c>
      <c r="F836" s="209">
        <v>24</v>
      </c>
      <c r="G836" s="209">
        <v>24</v>
      </c>
      <c r="H836" s="209">
        <v>4</v>
      </c>
      <c r="I836" s="209">
        <v>24</v>
      </c>
      <c r="J836" s="209">
        <v>24</v>
      </c>
      <c r="K836" s="209">
        <v>3990</v>
      </c>
    </row>
    <row r="837" spans="1:11" ht="24.75" customHeight="1">
      <c r="A837" s="208">
        <v>42654</v>
      </c>
      <c r="B837" s="209" t="s">
        <v>519</v>
      </c>
      <c r="C837" s="226">
        <v>300002932641</v>
      </c>
      <c r="D837" s="272" t="s">
        <v>503</v>
      </c>
      <c r="E837" s="209">
        <v>0</v>
      </c>
      <c r="F837" s="209">
        <v>0</v>
      </c>
      <c r="G837" s="209">
        <v>0</v>
      </c>
      <c r="H837" s="209">
        <v>0</v>
      </c>
      <c r="I837" s="209">
        <v>0</v>
      </c>
      <c r="J837" s="209">
        <v>0</v>
      </c>
      <c r="K837" s="209">
        <v>2</v>
      </c>
    </row>
    <row r="838" spans="1:11" ht="24.75" customHeight="1">
      <c r="A838" s="208">
        <v>42654</v>
      </c>
      <c r="B838" s="209" t="s">
        <v>519</v>
      </c>
      <c r="C838" s="226">
        <v>300008656423</v>
      </c>
      <c r="D838" s="272" t="s">
        <v>522</v>
      </c>
      <c r="E838" s="209">
        <v>0</v>
      </c>
      <c r="F838" s="209">
        <v>0</v>
      </c>
      <c r="G838" s="209">
        <v>0</v>
      </c>
      <c r="H838" s="209">
        <v>0</v>
      </c>
      <c r="I838" s="209">
        <v>0</v>
      </c>
      <c r="J838" s="209">
        <v>0</v>
      </c>
      <c r="K838" s="209">
        <v>5</v>
      </c>
    </row>
    <row r="839" spans="1:11" ht="24.75" customHeight="1">
      <c r="A839" s="208">
        <v>42654</v>
      </c>
      <c r="B839" s="209" t="s">
        <v>519</v>
      </c>
      <c r="C839" s="226">
        <v>300008841062</v>
      </c>
      <c r="D839" s="272" t="s">
        <v>277</v>
      </c>
      <c r="E839" s="209">
        <v>0</v>
      </c>
      <c r="F839" s="209">
        <v>8</v>
      </c>
      <c r="G839" s="209">
        <v>8</v>
      </c>
      <c r="H839" s="209">
        <v>0</v>
      </c>
      <c r="I839" s="209">
        <v>6</v>
      </c>
      <c r="J839" s="209">
        <v>6</v>
      </c>
      <c r="K839" s="209">
        <v>2327</v>
      </c>
    </row>
    <row r="840" spans="1:11" ht="24.75" customHeight="1">
      <c r="A840" s="208">
        <v>42654</v>
      </c>
      <c r="B840" s="209" t="s">
        <v>519</v>
      </c>
      <c r="C840" s="226">
        <v>300008993578</v>
      </c>
      <c r="D840" s="272" t="s">
        <v>497</v>
      </c>
      <c r="E840" s="209">
        <v>0</v>
      </c>
      <c r="F840" s="209">
        <v>4</v>
      </c>
      <c r="G840" s="209">
        <v>4</v>
      </c>
      <c r="H840" s="209">
        <v>0</v>
      </c>
      <c r="I840" s="209">
        <v>3</v>
      </c>
      <c r="J840" s="209">
        <v>3</v>
      </c>
      <c r="K840" s="209">
        <v>1520</v>
      </c>
    </row>
    <row r="841" spans="1:11" ht="24.75" customHeight="1">
      <c r="A841" s="208">
        <v>42654</v>
      </c>
      <c r="B841" s="209" t="s">
        <v>519</v>
      </c>
      <c r="C841" s="226">
        <v>300009000071</v>
      </c>
      <c r="D841" s="209" t="s">
        <v>527</v>
      </c>
      <c r="E841" s="209">
        <v>0</v>
      </c>
      <c r="F841" s="209">
        <v>1</v>
      </c>
      <c r="G841" s="209">
        <v>1</v>
      </c>
      <c r="H841" s="209">
        <v>0</v>
      </c>
      <c r="I841" s="209">
        <v>0</v>
      </c>
      <c r="J841" s="209">
        <v>0</v>
      </c>
      <c r="K841" s="209">
        <v>0</v>
      </c>
    </row>
    <row r="842" spans="1:11" ht="24.75" customHeight="1">
      <c r="A842" s="208">
        <v>42654</v>
      </c>
      <c r="B842" s="209" t="s">
        <v>519</v>
      </c>
      <c r="C842" s="226">
        <v>300009016017</v>
      </c>
      <c r="D842" s="272" t="s">
        <v>498</v>
      </c>
      <c r="E842" s="209">
        <v>0</v>
      </c>
      <c r="F842" s="209">
        <v>0</v>
      </c>
      <c r="G842" s="209">
        <v>0</v>
      </c>
      <c r="H842" s="209">
        <v>0</v>
      </c>
      <c r="I842" s="209">
        <v>0</v>
      </c>
      <c r="J842" s="209">
        <v>0</v>
      </c>
      <c r="K842" s="209">
        <v>348</v>
      </c>
    </row>
    <row r="843" spans="1:11" ht="24.75" customHeight="1">
      <c r="A843" s="208">
        <v>42654</v>
      </c>
      <c r="B843" s="209" t="s">
        <v>519</v>
      </c>
      <c r="C843" s="226">
        <v>300009185572</v>
      </c>
      <c r="D843" s="272" t="s">
        <v>237</v>
      </c>
      <c r="E843" s="209">
        <v>1</v>
      </c>
      <c r="F843" s="209">
        <v>16</v>
      </c>
      <c r="G843" s="209">
        <v>16</v>
      </c>
      <c r="H843" s="209">
        <v>0</v>
      </c>
      <c r="I843" s="209">
        <v>2</v>
      </c>
      <c r="J843" s="209">
        <v>2</v>
      </c>
      <c r="K843" s="209">
        <v>1734</v>
      </c>
    </row>
    <row r="844" spans="1:11" ht="24.75" customHeight="1">
      <c r="A844" s="208">
        <v>42654</v>
      </c>
      <c r="B844" s="209" t="s">
        <v>519</v>
      </c>
      <c r="C844" s="226">
        <v>300009190335</v>
      </c>
      <c r="D844" s="272" t="s">
        <v>526</v>
      </c>
      <c r="E844" s="209">
        <v>0</v>
      </c>
      <c r="F844" s="209">
        <v>4</v>
      </c>
      <c r="G844" s="209">
        <v>4</v>
      </c>
      <c r="H844" s="209">
        <v>0</v>
      </c>
      <c r="I844" s="209">
        <v>1</v>
      </c>
      <c r="J844" s="209">
        <v>1</v>
      </c>
      <c r="K844" s="209">
        <v>1</v>
      </c>
    </row>
    <row r="845" spans="1:11" ht="24.75" customHeight="1">
      <c r="A845" s="208">
        <v>42654</v>
      </c>
      <c r="B845" s="209" t="s">
        <v>519</v>
      </c>
      <c r="C845" s="226">
        <v>300009190346</v>
      </c>
      <c r="D845" s="272" t="s">
        <v>528</v>
      </c>
      <c r="E845" s="209">
        <v>0</v>
      </c>
      <c r="F845" s="209">
        <v>1</v>
      </c>
      <c r="G845" s="209">
        <v>1</v>
      </c>
      <c r="H845" s="209">
        <v>0</v>
      </c>
      <c r="I845" s="209">
        <v>0</v>
      </c>
      <c r="J845" s="209">
        <v>0</v>
      </c>
      <c r="K845" s="209">
        <v>0</v>
      </c>
    </row>
    <row r="846" spans="1:11" ht="24.75" customHeight="1">
      <c r="A846" s="208">
        <v>42654</v>
      </c>
      <c r="B846" s="209" t="s">
        <v>519</v>
      </c>
      <c r="C846" s="226">
        <v>300009190346</v>
      </c>
      <c r="D846" s="272" t="s">
        <v>528</v>
      </c>
      <c r="E846" s="209">
        <v>0</v>
      </c>
      <c r="F846" s="209">
        <v>1</v>
      </c>
      <c r="G846" s="209">
        <v>1</v>
      </c>
      <c r="H846" s="209">
        <v>0</v>
      </c>
      <c r="I846" s="209">
        <v>0</v>
      </c>
      <c r="J846" s="209">
        <v>0</v>
      </c>
      <c r="K846" s="209">
        <v>0</v>
      </c>
    </row>
    <row r="847" spans="1:11" ht="24.75" customHeight="1">
      <c r="A847" s="208">
        <v>42654</v>
      </c>
      <c r="B847" s="209" t="s">
        <v>519</v>
      </c>
      <c r="C847" s="226">
        <v>300009193471</v>
      </c>
      <c r="D847" s="272" t="s">
        <v>502</v>
      </c>
      <c r="E847" s="209">
        <v>0</v>
      </c>
      <c r="F847" s="209">
        <v>1</v>
      </c>
      <c r="G847" s="209">
        <v>1</v>
      </c>
      <c r="H847" s="209">
        <v>0</v>
      </c>
      <c r="I847" s="209">
        <v>1</v>
      </c>
      <c r="J847" s="209">
        <v>1</v>
      </c>
      <c r="K847" s="209">
        <v>739</v>
      </c>
    </row>
    <row r="848" spans="1:11" ht="24.75" customHeight="1">
      <c r="A848" s="208">
        <v>42654</v>
      </c>
      <c r="B848" s="209" t="s">
        <v>519</v>
      </c>
      <c r="C848" s="226">
        <v>300009197635</v>
      </c>
      <c r="D848" s="272" t="s">
        <v>282</v>
      </c>
      <c r="E848" s="209">
        <v>0</v>
      </c>
      <c r="F848" s="209">
        <v>6</v>
      </c>
      <c r="G848" s="209">
        <v>6</v>
      </c>
      <c r="H848" s="209">
        <v>0</v>
      </c>
      <c r="I848" s="209">
        <v>1</v>
      </c>
      <c r="J848" s="209">
        <v>1</v>
      </c>
      <c r="K848" s="209">
        <v>2859</v>
      </c>
    </row>
    <row r="849" spans="1:11" ht="24.75" customHeight="1">
      <c r="A849" s="208">
        <v>42654</v>
      </c>
      <c r="B849" s="209" t="s">
        <v>519</v>
      </c>
      <c r="C849" s="226">
        <v>300009207968</v>
      </c>
      <c r="D849" s="272" t="s">
        <v>525</v>
      </c>
      <c r="E849" s="209">
        <v>3</v>
      </c>
      <c r="F849" s="209">
        <v>16</v>
      </c>
      <c r="G849" s="209">
        <v>16</v>
      </c>
      <c r="H849" s="209">
        <v>0</v>
      </c>
      <c r="I849" s="209">
        <v>4</v>
      </c>
      <c r="J849" s="209">
        <v>4</v>
      </c>
      <c r="K849" s="209">
        <v>1446</v>
      </c>
    </row>
    <row r="850" spans="1:11" ht="24.75" customHeight="1">
      <c r="A850" s="208">
        <v>42654</v>
      </c>
      <c r="B850" s="209" t="s">
        <v>519</v>
      </c>
      <c r="C850" s="226">
        <v>300009211922</v>
      </c>
      <c r="D850" s="209" t="s">
        <v>523</v>
      </c>
      <c r="E850" s="209">
        <v>0</v>
      </c>
      <c r="F850" s="209">
        <v>2</v>
      </c>
      <c r="G850" s="209">
        <v>2</v>
      </c>
      <c r="H850" s="209">
        <v>0</v>
      </c>
      <c r="I850" s="209">
        <v>0</v>
      </c>
      <c r="J850" s="209">
        <v>0</v>
      </c>
      <c r="K850" s="209">
        <v>0</v>
      </c>
    </row>
    <row r="851" spans="1:11" ht="24.75" customHeight="1">
      <c r="A851" s="208">
        <v>42654</v>
      </c>
      <c r="B851" s="209" t="s">
        <v>519</v>
      </c>
      <c r="C851" s="226">
        <v>300009232016</v>
      </c>
      <c r="D851" s="272" t="s">
        <v>499</v>
      </c>
      <c r="E851" s="209">
        <v>0</v>
      </c>
      <c r="F851" s="209">
        <v>2</v>
      </c>
      <c r="G851" s="209">
        <v>2</v>
      </c>
      <c r="H851" s="209">
        <v>0</v>
      </c>
      <c r="I851" s="209">
        <v>2</v>
      </c>
      <c r="J851" s="209">
        <v>2</v>
      </c>
      <c r="K851" s="209">
        <v>2207</v>
      </c>
    </row>
    <row r="852" spans="1:11" ht="24.75" customHeight="1">
      <c r="A852" s="208">
        <v>42654</v>
      </c>
      <c r="B852" s="209" t="s">
        <v>519</v>
      </c>
      <c r="C852" s="226">
        <v>300009358277</v>
      </c>
      <c r="D852" s="272" t="s">
        <v>500</v>
      </c>
      <c r="E852" s="209">
        <v>0</v>
      </c>
      <c r="F852" s="209">
        <v>11</v>
      </c>
      <c r="G852" s="209">
        <v>11</v>
      </c>
      <c r="H852" s="209">
        <v>0</v>
      </c>
      <c r="I852" s="209">
        <v>2</v>
      </c>
      <c r="J852" s="209">
        <v>2</v>
      </c>
      <c r="K852" s="209">
        <v>894</v>
      </c>
    </row>
    <row r="853" spans="1:11" ht="24.75" customHeight="1">
      <c r="A853" s="208">
        <v>42654</v>
      </c>
      <c r="B853" s="209" t="s">
        <v>519</v>
      </c>
      <c r="C853" s="226">
        <v>300009358299</v>
      </c>
      <c r="D853" s="272" t="s">
        <v>520</v>
      </c>
      <c r="E853" s="209">
        <v>0</v>
      </c>
      <c r="F853" s="209">
        <v>2</v>
      </c>
      <c r="G853" s="209">
        <v>2</v>
      </c>
      <c r="H853" s="209">
        <v>0</v>
      </c>
      <c r="I853" s="209">
        <v>1</v>
      </c>
      <c r="J853" s="209">
        <v>1</v>
      </c>
      <c r="K853" s="209">
        <v>1265</v>
      </c>
    </row>
    <row r="854" spans="1:11" ht="24.75" customHeight="1">
      <c r="A854" s="208">
        <v>42654</v>
      </c>
      <c r="B854" s="209" t="s">
        <v>519</v>
      </c>
      <c r="C854" s="226">
        <v>300009358300</v>
      </c>
      <c r="D854" s="272" t="s">
        <v>521</v>
      </c>
      <c r="E854" s="209">
        <v>0</v>
      </c>
      <c r="F854" s="209">
        <v>3</v>
      </c>
      <c r="G854" s="209">
        <v>3</v>
      </c>
      <c r="H854" s="209">
        <v>0</v>
      </c>
      <c r="I854" s="209">
        <v>0</v>
      </c>
      <c r="J854" s="209">
        <v>0</v>
      </c>
      <c r="K854" s="209">
        <v>1164</v>
      </c>
    </row>
    <row r="855" spans="1:11" ht="24.75" customHeight="1">
      <c r="A855" s="208">
        <v>42654</v>
      </c>
      <c r="B855" s="209" t="s">
        <v>519</v>
      </c>
      <c r="C855" s="226">
        <v>300009410229</v>
      </c>
      <c r="D855" s="272" t="s">
        <v>279</v>
      </c>
      <c r="E855" s="209">
        <v>1</v>
      </c>
      <c r="F855" s="209">
        <v>1</v>
      </c>
      <c r="G855" s="209">
        <v>1</v>
      </c>
      <c r="H855" s="209">
        <v>0</v>
      </c>
      <c r="I855" s="209">
        <v>0</v>
      </c>
      <c r="J855" s="209">
        <v>0</v>
      </c>
      <c r="K855" s="209">
        <v>99</v>
      </c>
    </row>
    <row r="856" spans="1:11" ht="24.75" customHeight="1">
      <c r="A856" s="208">
        <v>42654</v>
      </c>
      <c r="B856" s="209" t="s">
        <v>491</v>
      </c>
      <c r="C856" s="226">
        <v>300008993578</v>
      </c>
      <c r="D856" s="272" t="s">
        <v>497</v>
      </c>
      <c r="E856" s="209">
        <v>1</v>
      </c>
      <c r="F856" s="209">
        <v>5</v>
      </c>
      <c r="G856" s="209">
        <v>5</v>
      </c>
      <c r="H856" s="209">
        <v>1</v>
      </c>
      <c r="I856" s="209">
        <v>4</v>
      </c>
      <c r="J856" s="209">
        <v>4</v>
      </c>
      <c r="K856" s="209">
        <v>1367</v>
      </c>
    </row>
    <row r="857" spans="1:11" ht="24.75" customHeight="1">
      <c r="A857" s="208">
        <v>42654</v>
      </c>
      <c r="B857" s="209" t="s">
        <v>491</v>
      </c>
      <c r="C857" s="226">
        <v>300009197635</v>
      </c>
      <c r="D857" s="272" t="s">
        <v>282</v>
      </c>
      <c r="E857" s="209">
        <v>1</v>
      </c>
      <c r="F857" s="209">
        <v>13</v>
      </c>
      <c r="G857" s="209">
        <v>13</v>
      </c>
      <c r="H857" s="209">
        <v>1</v>
      </c>
      <c r="I857" s="209">
        <v>3</v>
      </c>
      <c r="J857" s="209">
        <v>3</v>
      </c>
      <c r="K857" s="209">
        <v>2914</v>
      </c>
    </row>
    <row r="858" spans="1:11" ht="24.75" customHeight="1">
      <c r="A858" s="208">
        <v>42654</v>
      </c>
      <c r="B858" s="209" t="s">
        <v>491</v>
      </c>
      <c r="C858" s="226">
        <v>300007875924</v>
      </c>
      <c r="D858" s="209" t="s">
        <v>492</v>
      </c>
      <c r="E858" s="209">
        <v>0</v>
      </c>
      <c r="F858" s="209">
        <v>0</v>
      </c>
      <c r="G858" s="209">
        <v>0</v>
      </c>
      <c r="H858" s="209">
        <v>0</v>
      </c>
      <c r="I858" s="209">
        <v>0</v>
      </c>
      <c r="J858" s="209">
        <v>0</v>
      </c>
      <c r="K858" s="209">
        <v>11</v>
      </c>
    </row>
    <row r="859" spans="1:11" ht="24.75" customHeight="1">
      <c r="A859" s="208">
        <v>42654</v>
      </c>
      <c r="B859" s="209" t="s">
        <v>491</v>
      </c>
      <c r="C859" s="226">
        <v>300008183804</v>
      </c>
      <c r="D859" s="272" t="s">
        <v>494</v>
      </c>
      <c r="E859" s="209">
        <v>0</v>
      </c>
      <c r="F859" s="209">
        <v>0</v>
      </c>
      <c r="G859" s="209">
        <v>0</v>
      </c>
      <c r="H859" s="209">
        <v>0</v>
      </c>
      <c r="I859" s="209">
        <v>0</v>
      </c>
      <c r="J859" s="209">
        <v>0</v>
      </c>
      <c r="K859" s="209">
        <v>10</v>
      </c>
    </row>
    <row r="860" spans="1:11" ht="24.75" customHeight="1">
      <c r="A860" s="208">
        <v>42654</v>
      </c>
      <c r="B860" s="209" t="s">
        <v>491</v>
      </c>
      <c r="C860" s="226">
        <v>300008508327</v>
      </c>
      <c r="D860" s="209" t="s">
        <v>501</v>
      </c>
      <c r="E860" s="209">
        <v>0</v>
      </c>
      <c r="F860" s="209">
        <v>1</v>
      </c>
      <c r="G860" s="209">
        <v>1</v>
      </c>
      <c r="H860" s="209">
        <v>0</v>
      </c>
      <c r="I860" s="209">
        <v>1</v>
      </c>
      <c r="J860" s="209">
        <v>1</v>
      </c>
      <c r="K860" s="209">
        <v>1037</v>
      </c>
    </row>
    <row r="861" spans="1:11" ht="24.75" customHeight="1">
      <c r="A861" s="208">
        <v>42654</v>
      </c>
      <c r="B861" s="209" t="s">
        <v>491</v>
      </c>
      <c r="C861" s="226">
        <v>300008841062</v>
      </c>
      <c r="D861" s="272" t="s">
        <v>277</v>
      </c>
      <c r="E861" s="209">
        <v>0</v>
      </c>
      <c r="F861" s="209">
        <v>5</v>
      </c>
      <c r="G861" s="209">
        <v>5</v>
      </c>
      <c r="H861" s="209">
        <v>0</v>
      </c>
      <c r="I861" s="209">
        <v>3</v>
      </c>
      <c r="J861" s="209">
        <v>3</v>
      </c>
      <c r="K861" s="209">
        <v>2667</v>
      </c>
    </row>
    <row r="862" spans="1:11" ht="24.75" customHeight="1">
      <c r="A862" s="208">
        <v>42654</v>
      </c>
      <c r="B862" s="209" t="s">
        <v>491</v>
      </c>
      <c r="C862" s="226">
        <v>300008868585</v>
      </c>
      <c r="D862" s="272" t="s">
        <v>495</v>
      </c>
      <c r="E862" s="209">
        <v>0</v>
      </c>
      <c r="F862" s="209">
        <v>5</v>
      </c>
      <c r="G862" s="209">
        <v>5</v>
      </c>
      <c r="H862" s="209">
        <v>0</v>
      </c>
      <c r="I862" s="209">
        <v>1</v>
      </c>
      <c r="J862" s="209">
        <v>1</v>
      </c>
      <c r="K862" s="209">
        <v>1008</v>
      </c>
    </row>
    <row r="863" spans="1:11" ht="24.75" customHeight="1">
      <c r="A863" s="208">
        <v>42654</v>
      </c>
      <c r="B863" s="209" t="s">
        <v>491</v>
      </c>
      <c r="C863" s="226">
        <v>300008975991</v>
      </c>
      <c r="D863" s="209" t="s">
        <v>496</v>
      </c>
      <c r="E863" s="209">
        <v>0</v>
      </c>
      <c r="F863" s="209">
        <v>0</v>
      </c>
      <c r="G863" s="209">
        <v>0</v>
      </c>
      <c r="H863" s="209">
        <v>0</v>
      </c>
      <c r="I863" s="209">
        <v>0</v>
      </c>
      <c r="J863" s="209">
        <v>0</v>
      </c>
      <c r="K863" s="209">
        <v>5</v>
      </c>
    </row>
    <row r="864" spans="1:11" ht="24.75" customHeight="1">
      <c r="A864" s="208">
        <v>42654</v>
      </c>
      <c r="B864" s="209" t="s">
        <v>491</v>
      </c>
      <c r="C864" s="226">
        <v>300009016017</v>
      </c>
      <c r="D864" s="272" t="s">
        <v>498</v>
      </c>
      <c r="E864" s="209">
        <v>0</v>
      </c>
      <c r="F864" s="209">
        <v>1</v>
      </c>
      <c r="G864" s="209">
        <v>1</v>
      </c>
      <c r="H864" s="209">
        <v>0</v>
      </c>
      <c r="I864" s="209">
        <v>0</v>
      </c>
      <c r="J864" s="209">
        <v>0</v>
      </c>
      <c r="K864" s="209">
        <v>356</v>
      </c>
    </row>
    <row r="865" spans="1:11" ht="24.75" customHeight="1">
      <c r="A865" s="208">
        <v>42654</v>
      </c>
      <c r="B865" s="209" t="s">
        <v>491</v>
      </c>
      <c r="C865" s="226">
        <v>300009193471</v>
      </c>
      <c r="D865" s="272" t="s">
        <v>502</v>
      </c>
      <c r="E865" s="209">
        <v>0</v>
      </c>
      <c r="F865" s="209">
        <v>2</v>
      </c>
      <c r="G865" s="209">
        <v>2</v>
      </c>
      <c r="H865" s="209">
        <v>0</v>
      </c>
      <c r="I865" s="209">
        <v>1</v>
      </c>
      <c r="J865" s="209">
        <v>1</v>
      </c>
      <c r="K865" s="209">
        <v>711</v>
      </c>
    </row>
    <row r="866" spans="1:11" ht="24.75" customHeight="1">
      <c r="A866" s="208">
        <v>42654</v>
      </c>
      <c r="B866" s="209" t="s">
        <v>491</v>
      </c>
      <c r="C866" s="226">
        <v>300009193471</v>
      </c>
      <c r="D866" s="272" t="s">
        <v>502</v>
      </c>
      <c r="E866" s="209">
        <v>0</v>
      </c>
      <c r="F866" s="209">
        <v>2</v>
      </c>
      <c r="G866" s="209">
        <v>2</v>
      </c>
      <c r="H866" s="209">
        <v>0</v>
      </c>
      <c r="I866" s="209">
        <v>1</v>
      </c>
      <c r="J866" s="209">
        <v>1</v>
      </c>
      <c r="K866" s="209">
        <v>711</v>
      </c>
    </row>
    <row r="867" spans="1:11" ht="24.75" customHeight="1">
      <c r="A867" s="208">
        <v>42654</v>
      </c>
      <c r="B867" s="209" t="s">
        <v>491</v>
      </c>
      <c r="C867" s="226">
        <v>300009228510</v>
      </c>
      <c r="D867" s="272" t="s">
        <v>503</v>
      </c>
      <c r="E867" s="209">
        <v>0</v>
      </c>
      <c r="F867" s="209">
        <v>0</v>
      </c>
      <c r="G867" s="209">
        <v>0</v>
      </c>
      <c r="H867" s="209">
        <v>0</v>
      </c>
      <c r="I867" s="209">
        <v>0</v>
      </c>
      <c r="J867" s="209">
        <v>0</v>
      </c>
      <c r="K867" s="209">
        <v>1</v>
      </c>
    </row>
    <row r="868" spans="1:11" ht="24.75" customHeight="1">
      <c r="A868" s="208">
        <v>42654</v>
      </c>
      <c r="B868" s="209" t="s">
        <v>491</v>
      </c>
      <c r="C868" s="226">
        <v>300009232016</v>
      </c>
      <c r="D868" s="272" t="s">
        <v>499</v>
      </c>
      <c r="E868" s="209">
        <v>0</v>
      </c>
      <c r="F868" s="209">
        <v>4</v>
      </c>
      <c r="G868" s="209">
        <v>4</v>
      </c>
      <c r="H868" s="209">
        <v>0</v>
      </c>
      <c r="I868" s="209">
        <v>4</v>
      </c>
      <c r="J868" s="209">
        <v>4</v>
      </c>
      <c r="K868" s="209">
        <v>2178</v>
      </c>
    </row>
    <row r="869" spans="1:11" ht="24.75" customHeight="1">
      <c r="A869" s="208">
        <v>42654</v>
      </c>
      <c r="B869" s="209" t="s">
        <v>491</v>
      </c>
      <c r="C869" s="226">
        <v>300009235974</v>
      </c>
      <c r="D869" s="272" t="s">
        <v>187</v>
      </c>
      <c r="E869" s="209">
        <v>0</v>
      </c>
      <c r="F869" s="209">
        <v>0</v>
      </c>
      <c r="G869" s="209">
        <v>0</v>
      </c>
      <c r="H869" s="209">
        <v>0</v>
      </c>
      <c r="I869" s="209">
        <v>0</v>
      </c>
      <c r="J869" s="209">
        <v>0</v>
      </c>
      <c r="K869" s="209">
        <v>0</v>
      </c>
    </row>
    <row r="870" spans="1:11" ht="24.75" customHeight="1">
      <c r="A870" s="208">
        <v>42654</v>
      </c>
      <c r="B870" s="209" t="s">
        <v>491</v>
      </c>
      <c r="C870" s="226">
        <v>300009358277</v>
      </c>
      <c r="D870" s="272" t="s">
        <v>500</v>
      </c>
      <c r="E870" s="209">
        <v>4</v>
      </c>
      <c r="F870" s="209">
        <v>18</v>
      </c>
      <c r="G870" s="209">
        <v>18</v>
      </c>
      <c r="H870" s="209">
        <v>0</v>
      </c>
      <c r="I870" s="209">
        <v>1</v>
      </c>
      <c r="J870" s="209">
        <v>1</v>
      </c>
      <c r="K870" s="209">
        <v>3350</v>
      </c>
    </row>
    <row r="871" spans="1:11" ht="24.75" customHeight="1">
      <c r="A871" s="208">
        <v>42654</v>
      </c>
      <c r="B871" s="209" t="s">
        <v>491</v>
      </c>
      <c r="C871" s="226">
        <v>300009374212</v>
      </c>
      <c r="D871" s="272" t="s">
        <v>235</v>
      </c>
      <c r="E871" s="209">
        <v>0</v>
      </c>
      <c r="F871" s="209">
        <v>0</v>
      </c>
      <c r="G871" s="209">
        <v>0</v>
      </c>
      <c r="H871" s="209">
        <v>0</v>
      </c>
      <c r="I871" s="209">
        <v>0</v>
      </c>
      <c r="J871" s="209">
        <v>0</v>
      </c>
      <c r="K871" s="209">
        <v>0</v>
      </c>
    </row>
    <row r="872" spans="1:11" ht="24.75" customHeight="1">
      <c r="A872" s="208">
        <v>42654</v>
      </c>
      <c r="B872" s="209" t="s">
        <v>491</v>
      </c>
      <c r="C872" s="226">
        <v>300009374215</v>
      </c>
      <c r="D872" s="272" t="s">
        <v>236</v>
      </c>
      <c r="E872" s="209">
        <v>0</v>
      </c>
      <c r="F872" s="209">
        <v>1</v>
      </c>
      <c r="G872" s="209">
        <v>1</v>
      </c>
      <c r="H872" s="209">
        <v>0</v>
      </c>
      <c r="I872" s="209">
        <v>0</v>
      </c>
      <c r="J872" s="209">
        <v>0</v>
      </c>
      <c r="K872" s="209">
        <v>0</v>
      </c>
    </row>
    <row r="873" spans="1:11" ht="24.75" customHeight="1">
      <c r="A873" s="208">
        <v>42654</v>
      </c>
      <c r="B873" s="209" t="s">
        <v>491</v>
      </c>
      <c r="C873" s="226">
        <v>300009410229</v>
      </c>
      <c r="D873" s="272" t="s">
        <v>279</v>
      </c>
      <c r="E873" s="209">
        <v>0</v>
      </c>
      <c r="F873" s="209">
        <v>0</v>
      </c>
      <c r="G873" s="209">
        <v>0</v>
      </c>
      <c r="H873" s="209">
        <v>0</v>
      </c>
      <c r="I873" s="209">
        <v>0</v>
      </c>
      <c r="J873" s="209">
        <v>0</v>
      </c>
      <c r="K873" s="209">
        <v>60</v>
      </c>
    </row>
    <row r="874" spans="1:11" ht="24.75" customHeight="1">
      <c r="A874" s="208">
        <v>42654</v>
      </c>
      <c r="B874" s="209" t="s">
        <v>529</v>
      </c>
      <c r="C874" s="226">
        <v>300009003496</v>
      </c>
      <c r="D874" s="272" t="s">
        <v>546</v>
      </c>
      <c r="E874" s="209">
        <v>0</v>
      </c>
      <c r="F874" s="209">
        <v>0</v>
      </c>
      <c r="G874" s="209">
        <v>0</v>
      </c>
      <c r="H874" s="209" t="s">
        <v>242</v>
      </c>
      <c r="I874" s="209" t="s">
        <v>242</v>
      </c>
      <c r="J874" s="209" t="s">
        <v>242</v>
      </c>
      <c r="K874" s="209">
        <v>0</v>
      </c>
    </row>
    <row r="875" spans="1:11" ht="24.75" customHeight="1">
      <c r="A875" s="208">
        <v>42654</v>
      </c>
      <c r="B875" s="209" t="s">
        <v>529</v>
      </c>
      <c r="C875" s="226">
        <v>300009822212</v>
      </c>
      <c r="D875" s="272" t="s">
        <v>530</v>
      </c>
      <c r="E875" s="209">
        <v>5</v>
      </c>
      <c r="F875" s="209">
        <v>77</v>
      </c>
      <c r="G875" s="209">
        <v>67.08</v>
      </c>
      <c r="H875" s="209">
        <v>1</v>
      </c>
      <c r="I875" s="209">
        <v>24</v>
      </c>
      <c r="J875" s="209">
        <v>20.91</v>
      </c>
      <c r="K875" s="209">
        <v>11479</v>
      </c>
    </row>
    <row r="876" spans="1:11" ht="24.75" customHeight="1">
      <c r="A876" s="208">
        <v>42654</v>
      </c>
      <c r="B876" s="209" t="s">
        <v>529</v>
      </c>
      <c r="C876" s="226">
        <v>300008467005</v>
      </c>
      <c r="D876" s="272" t="s">
        <v>540</v>
      </c>
      <c r="E876" s="209">
        <v>0</v>
      </c>
      <c r="F876" s="209">
        <v>13</v>
      </c>
      <c r="G876" s="209">
        <v>13</v>
      </c>
      <c r="H876" s="209">
        <v>0</v>
      </c>
      <c r="I876" s="209">
        <v>6</v>
      </c>
      <c r="J876" s="209">
        <v>6</v>
      </c>
      <c r="K876" s="209">
        <v>297</v>
      </c>
    </row>
    <row r="877" spans="1:11" ht="24.75" customHeight="1">
      <c r="A877" s="208">
        <v>42654</v>
      </c>
      <c r="B877" s="209" t="s">
        <v>529</v>
      </c>
      <c r="C877" s="226">
        <v>300009190343</v>
      </c>
      <c r="D877" s="272" t="s">
        <v>541</v>
      </c>
      <c r="E877" s="209">
        <v>0</v>
      </c>
      <c r="F877" s="209">
        <v>1</v>
      </c>
      <c r="G877" s="209">
        <v>1</v>
      </c>
      <c r="H877" s="209">
        <v>0</v>
      </c>
      <c r="I877" s="209">
        <v>0</v>
      </c>
      <c r="J877" s="209">
        <v>0</v>
      </c>
      <c r="K877" s="209">
        <v>1128</v>
      </c>
    </row>
    <row r="878" spans="1:11" ht="24.75" customHeight="1">
      <c r="A878" s="208">
        <v>42654</v>
      </c>
      <c r="B878" s="209" t="s">
        <v>529</v>
      </c>
      <c r="C878" s="226">
        <v>300009190346</v>
      </c>
      <c r="D878" s="272" t="s">
        <v>528</v>
      </c>
      <c r="E878" s="209">
        <v>0</v>
      </c>
      <c r="F878" s="209">
        <v>1</v>
      </c>
      <c r="G878" s="209">
        <v>1</v>
      </c>
      <c r="H878" s="209">
        <v>0</v>
      </c>
      <c r="I878" s="209">
        <v>0</v>
      </c>
      <c r="J878" s="209">
        <v>0</v>
      </c>
      <c r="K878" s="209">
        <v>0</v>
      </c>
    </row>
    <row r="879" spans="1:11" ht="24.75" customHeight="1">
      <c r="A879" s="208">
        <v>42654</v>
      </c>
      <c r="B879" s="209" t="s">
        <v>529</v>
      </c>
      <c r="C879" s="226">
        <v>300009190385</v>
      </c>
      <c r="D879" s="272" t="s">
        <v>538</v>
      </c>
      <c r="E879" s="209">
        <v>0</v>
      </c>
      <c r="F879" s="209">
        <v>0</v>
      </c>
      <c r="G879" s="209">
        <v>0</v>
      </c>
      <c r="H879" s="209">
        <v>0</v>
      </c>
      <c r="I879" s="209">
        <v>0</v>
      </c>
      <c r="J879" s="209">
        <v>0</v>
      </c>
      <c r="K879" s="209">
        <v>499</v>
      </c>
    </row>
    <row r="880" spans="1:11" ht="24.75" customHeight="1">
      <c r="A880" s="208">
        <v>42654</v>
      </c>
      <c r="B880" s="209" t="s">
        <v>529</v>
      </c>
      <c r="C880" s="226">
        <v>300009191923</v>
      </c>
      <c r="D880" s="272" t="s">
        <v>545</v>
      </c>
      <c r="E880" s="209">
        <v>0</v>
      </c>
      <c r="F880" s="209">
        <v>0</v>
      </c>
      <c r="G880" s="209">
        <v>0</v>
      </c>
      <c r="H880" s="209">
        <v>0</v>
      </c>
      <c r="I880" s="209">
        <v>0</v>
      </c>
      <c r="J880" s="209">
        <v>0</v>
      </c>
      <c r="K880" s="209">
        <v>0</v>
      </c>
    </row>
    <row r="881" spans="1:11" ht="24.75" customHeight="1">
      <c r="A881" s="208">
        <v>42654</v>
      </c>
      <c r="B881" s="209" t="s">
        <v>529</v>
      </c>
      <c r="C881" s="226">
        <v>300009197635</v>
      </c>
      <c r="D881" s="272" t="s">
        <v>282</v>
      </c>
      <c r="E881" s="209">
        <v>0</v>
      </c>
      <c r="F881" s="209">
        <v>3</v>
      </c>
      <c r="G881" s="209">
        <v>3</v>
      </c>
      <c r="H881" s="209">
        <v>0</v>
      </c>
      <c r="I881" s="209">
        <v>1</v>
      </c>
      <c r="J881" s="209">
        <v>1</v>
      </c>
      <c r="K881" s="209">
        <v>1919</v>
      </c>
    </row>
    <row r="882" spans="1:11" ht="24.75" customHeight="1">
      <c r="A882" s="208">
        <v>42654</v>
      </c>
      <c r="B882" s="209" t="s">
        <v>529</v>
      </c>
      <c r="C882" s="226">
        <v>300009197814</v>
      </c>
      <c r="D882" s="272" t="s">
        <v>533</v>
      </c>
      <c r="E882" s="209">
        <v>0</v>
      </c>
      <c r="F882" s="209">
        <v>4</v>
      </c>
      <c r="G882" s="209">
        <v>4</v>
      </c>
      <c r="H882" s="209">
        <v>0</v>
      </c>
      <c r="I882" s="209">
        <v>3</v>
      </c>
      <c r="J882" s="209">
        <v>3</v>
      </c>
      <c r="K882" s="209">
        <v>1300</v>
      </c>
    </row>
    <row r="883" spans="1:11" ht="24.75" customHeight="1">
      <c r="A883" s="208">
        <v>42654</v>
      </c>
      <c r="B883" s="209" t="s">
        <v>529</v>
      </c>
      <c r="C883" s="226">
        <v>300009208033</v>
      </c>
      <c r="D883" s="272" t="s">
        <v>548</v>
      </c>
      <c r="E883" s="209">
        <v>0</v>
      </c>
      <c r="F883" s="209">
        <v>0</v>
      </c>
      <c r="G883" s="209">
        <v>0</v>
      </c>
      <c r="H883" s="209">
        <v>0</v>
      </c>
      <c r="I883" s="209">
        <v>0</v>
      </c>
      <c r="J883" s="209">
        <v>0</v>
      </c>
      <c r="K883" s="209">
        <v>814</v>
      </c>
    </row>
    <row r="884" spans="1:11" ht="24.75" customHeight="1">
      <c r="A884" s="208">
        <v>42654</v>
      </c>
      <c r="B884" s="209" t="s">
        <v>529</v>
      </c>
      <c r="C884" s="226">
        <v>300009208675</v>
      </c>
      <c r="D884" s="272" t="s">
        <v>535</v>
      </c>
      <c r="E884" s="209">
        <v>0</v>
      </c>
      <c r="F884" s="209">
        <v>0</v>
      </c>
      <c r="G884" s="209">
        <v>0</v>
      </c>
      <c r="H884" s="209">
        <v>0</v>
      </c>
      <c r="I884" s="209">
        <v>0</v>
      </c>
      <c r="J884" s="209">
        <v>0</v>
      </c>
      <c r="K884" s="209">
        <v>1413</v>
      </c>
    </row>
    <row r="885" spans="1:11" ht="24.75" customHeight="1">
      <c r="A885" s="208">
        <v>42654</v>
      </c>
      <c r="B885" s="209" t="s">
        <v>529</v>
      </c>
      <c r="C885" s="226">
        <v>300009208680</v>
      </c>
      <c r="D885" s="272" t="s">
        <v>532</v>
      </c>
      <c r="E885" s="209">
        <v>0</v>
      </c>
      <c r="F885" s="209">
        <v>2</v>
      </c>
      <c r="G885" s="209">
        <v>2</v>
      </c>
      <c r="H885" s="209">
        <v>0</v>
      </c>
      <c r="I885" s="209">
        <v>1</v>
      </c>
      <c r="J885" s="209">
        <v>1</v>
      </c>
      <c r="K885" s="209">
        <v>1312</v>
      </c>
    </row>
    <row r="886" spans="1:11" ht="24.75" customHeight="1">
      <c r="A886" s="208">
        <v>42654</v>
      </c>
      <c r="B886" s="209" t="s">
        <v>529</v>
      </c>
      <c r="C886" s="226">
        <v>300009211922</v>
      </c>
      <c r="D886" s="209" t="s">
        <v>523</v>
      </c>
      <c r="E886" s="209">
        <v>0</v>
      </c>
      <c r="F886" s="209">
        <v>0</v>
      </c>
      <c r="G886" s="209">
        <v>0</v>
      </c>
      <c r="H886" s="209">
        <v>0</v>
      </c>
      <c r="I886" s="209">
        <v>0</v>
      </c>
      <c r="J886" s="209">
        <v>0</v>
      </c>
      <c r="K886" s="209">
        <v>62</v>
      </c>
    </row>
    <row r="887" spans="1:11" ht="24.75" customHeight="1">
      <c r="A887" s="208">
        <v>42654</v>
      </c>
      <c r="B887" s="209" t="s">
        <v>529</v>
      </c>
      <c r="C887" s="226">
        <v>300009212855</v>
      </c>
      <c r="D887" s="272" t="s">
        <v>536</v>
      </c>
      <c r="E887" s="209">
        <v>2</v>
      </c>
      <c r="F887" s="209">
        <v>12</v>
      </c>
      <c r="G887" s="209">
        <v>12</v>
      </c>
      <c r="H887" s="209">
        <v>0</v>
      </c>
      <c r="I887" s="209">
        <v>0</v>
      </c>
      <c r="J887" s="209">
        <v>0</v>
      </c>
      <c r="K887" s="209">
        <v>1180</v>
      </c>
    </row>
    <row r="888" spans="1:11" ht="24.75" customHeight="1">
      <c r="A888" s="208">
        <v>42654</v>
      </c>
      <c r="B888" s="209" t="s">
        <v>529</v>
      </c>
      <c r="C888" s="226">
        <v>300009232016</v>
      </c>
      <c r="D888" s="272" t="s">
        <v>499</v>
      </c>
      <c r="E888" s="209">
        <v>0</v>
      </c>
      <c r="F888" s="209">
        <v>1</v>
      </c>
      <c r="G888" s="209">
        <v>1</v>
      </c>
      <c r="H888" s="209">
        <v>0</v>
      </c>
      <c r="I888" s="209">
        <v>1</v>
      </c>
      <c r="J888" s="209">
        <v>1</v>
      </c>
      <c r="K888" s="209">
        <v>1485</v>
      </c>
    </row>
    <row r="889" spans="1:11" ht="24.75" customHeight="1">
      <c r="A889" s="208">
        <v>42654</v>
      </c>
      <c r="B889" s="209" t="s">
        <v>529</v>
      </c>
      <c r="C889" s="226">
        <v>300009240032</v>
      </c>
      <c r="D889" s="272" t="s">
        <v>542</v>
      </c>
      <c r="E889" s="209">
        <v>0</v>
      </c>
      <c r="F889" s="209">
        <v>0</v>
      </c>
      <c r="G889" s="209">
        <v>0</v>
      </c>
      <c r="H889" s="209">
        <v>0</v>
      </c>
      <c r="I889" s="209">
        <v>0</v>
      </c>
      <c r="J889" s="209">
        <v>0</v>
      </c>
      <c r="K889" s="209">
        <v>8</v>
      </c>
    </row>
    <row r="890" spans="1:11" ht="24.75" customHeight="1">
      <c r="A890" s="208">
        <v>42654</v>
      </c>
      <c r="B890" s="209" t="s">
        <v>529</v>
      </c>
      <c r="C890" s="226">
        <v>300009249957</v>
      </c>
      <c r="D890" s="272" t="s">
        <v>537</v>
      </c>
      <c r="E890" s="209">
        <v>0</v>
      </c>
      <c r="F890" s="209">
        <v>2</v>
      </c>
      <c r="G890" s="209">
        <v>2</v>
      </c>
      <c r="H890" s="209">
        <v>0</v>
      </c>
      <c r="I890" s="209">
        <v>2</v>
      </c>
      <c r="J890" s="209">
        <v>2</v>
      </c>
      <c r="K890" s="209">
        <v>1348</v>
      </c>
    </row>
    <row r="891" spans="1:11" ht="24.75" customHeight="1">
      <c r="A891" s="208">
        <v>42654</v>
      </c>
      <c r="B891" s="209" t="s">
        <v>529</v>
      </c>
      <c r="C891" s="226">
        <v>300009288214</v>
      </c>
      <c r="D891" s="272" t="s">
        <v>547</v>
      </c>
      <c r="E891" s="209">
        <v>0</v>
      </c>
      <c r="F891" s="209">
        <v>0</v>
      </c>
      <c r="G891" s="209">
        <v>0</v>
      </c>
      <c r="H891" s="209">
        <v>0</v>
      </c>
      <c r="I891" s="209">
        <v>0</v>
      </c>
      <c r="J891" s="209">
        <v>0</v>
      </c>
      <c r="K891" s="209">
        <v>0</v>
      </c>
    </row>
    <row r="892" spans="1:11" ht="24.75" customHeight="1">
      <c r="A892" s="208">
        <v>42654</v>
      </c>
      <c r="B892" s="209" t="s">
        <v>529</v>
      </c>
      <c r="C892" s="226">
        <v>300009288265</v>
      </c>
      <c r="D892" s="272" t="s">
        <v>531</v>
      </c>
      <c r="E892" s="209">
        <v>0</v>
      </c>
      <c r="F892" s="209">
        <v>8</v>
      </c>
      <c r="G892" s="209">
        <v>8</v>
      </c>
      <c r="H892" s="209">
        <v>0</v>
      </c>
      <c r="I892" s="209">
        <v>2</v>
      </c>
      <c r="J892" s="209">
        <v>2</v>
      </c>
      <c r="K892" s="209">
        <v>2081</v>
      </c>
    </row>
    <row r="893" spans="1:11" ht="24.75" customHeight="1">
      <c r="A893" s="208">
        <v>42654</v>
      </c>
      <c r="B893" s="209" t="s">
        <v>529</v>
      </c>
      <c r="C893" s="226">
        <v>300009290227</v>
      </c>
      <c r="D893" s="272" t="s">
        <v>534</v>
      </c>
      <c r="E893" s="209">
        <v>0</v>
      </c>
      <c r="F893" s="209">
        <v>1</v>
      </c>
      <c r="G893" s="209">
        <v>1</v>
      </c>
      <c r="H893" s="209">
        <v>0</v>
      </c>
      <c r="I893" s="209">
        <v>1</v>
      </c>
      <c r="J893" s="209">
        <v>1</v>
      </c>
      <c r="K893" s="209">
        <v>676</v>
      </c>
    </row>
    <row r="894" spans="1:11" ht="24.75" customHeight="1">
      <c r="A894" s="208">
        <v>42654</v>
      </c>
      <c r="B894" s="209" t="s">
        <v>529</v>
      </c>
      <c r="C894" s="226">
        <v>300009290227</v>
      </c>
      <c r="D894" s="272" t="s">
        <v>534</v>
      </c>
      <c r="E894" s="209">
        <v>0</v>
      </c>
      <c r="F894" s="209">
        <v>1</v>
      </c>
      <c r="G894" s="209">
        <v>1</v>
      </c>
      <c r="H894" s="209">
        <v>0</v>
      </c>
      <c r="I894" s="209">
        <v>1</v>
      </c>
      <c r="J894" s="209">
        <v>1</v>
      </c>
      <c r="K894" s="209">
        <v>676</v>
      </c>
    </row>
    <row r="895" spans="1:11" ht="24.75" customHeight="1">
      <c r="A895" s="208">
        <v>42654</v>
      </c>
      <c r="B895" s="209" t="s">
        <v>529</v>
      </c>
      <c r="C895" s="226">
        <v>300009294244</v>
      </c>
      <c r="D895" s="272" t="s">
        <v>539</v>
      </c>
      <c r="E895" s="209">
        <v>0</v>
      </c>
      <c r="F895" s="209">
        <v>7</v>
      </c>
      <c r="G895" s="209">
        <v>7</v>
      </c>
      <c r="H895" s="209">
        <v>0</v>
      </c>
      <c r="I895" s="209">
        <v>1</v>
      </c>
      <c r="J895" s="209">
        <v>1</v>
      </c>
      <c r="K895" s="209">
        <v>1624</v>
      </c>
    </row>
    <row r="896" spans="1:11" ht="24.75" customHeight="1">
      <c r="A896" s="208">
        <v>42654</v>
      </c>
      <c r="B896" s="209" t="s">
        <v>529</v>
      </c>
      <c r="C896" s="226">
        <v>300009328320</v>
      </c>
      <c r="D896" s="272" t="s">
        <v>543</v>
      </c>
      <c r="E896" s="209">
        <v>0</v>
      </c>
      <c r="F896" s="209">
        <v>0</v>
      </c>
      <c r="G896" s="209">
        <v>0</v>
      </c>
      <c r="H896" s="209">
        <v>0</v>
      </c>
      <c r="I896" s="209">
        <v>0</v>
      </c>
      <c r="J896" s="209">
        <v>0</v>
      </c>
      <c r="K896" s="209">
        <v>34</v>
      </c>
    </row>
    <row r="897" spans="1:11" ht="24.75" customHeight="1">
      <c r="A897" s="208">
        <v>42654</v>
      </c>
      <c r="B897" s="209" t="s">
        <v>529</v>
      </c>
      <c r="C897" s="226">
        <v>300009406202</v>
      </c>
      <c r="D897" s="272" t="s">
        <v>232</v>
      </c>
      <c r="E897" s="209">
        <v>1</v>
      </c>
      <c r="F897" s="209">
        <v>4</v>
      </c>
      <c r="G897" s="209">
        <v>4</v>
      </c>
      <c r="H897" s="209">
        <v>0</v>
      </c>
      <c r="I897" s="209">
        <v>0</v>
      </c>
      <c r="J897" s="209">
        <v>0</v>
      </c>
      <c r="K897" s="209">
        <v>944</v>
      </c>
    </row>
    <row r="898" spans="1:11" ht="24.75" customHeight="1">
      <c r="A898" s="208">
        <v>42654</v>
      </c>
      <c r="B898" s="209" t="s">
        <v>529</v>
      </c>
      <c r="C898" s="226">
        <v>300009972231</v>
      </c>
      <c r="D898" s="272" t="s">
        <v>566</v>
      </c>
      <c r="E898" s="209">
        <v>0</v>
      </c>
      <c r="F898" s="209">
        <v>0</v>
      </c>
      <c r="G898" s="209">
        <v>0</v>
      </c>
      <c r="H898" s="209">
        <v>0</v>
      </c>
      <c r="I898" s="209">
        <v>0</v>
      </c>
      <c r="J898" s="209">
        <v>0</v>
      </c>
      <c r="K898" s="209">
        <v>54</v>
      </c>
    </row>
    <row r="899" spans="1:11" ht="24.75" customHeight="1">
      <c r="A899" s="208">
        <v>42654</v>
      </c>
      <c r="B899" s="209" t="s">
        <v>529</v>
      </c>
      <c r="C899" s="226">
        <v>300009972233</v>
      </c>
      <c r="D899" s="272" t="s">
        <v>544</v>
      </c>
      <c r="E899" s="209">
        <v>0</v>
      </c>
      <c r="F899" s="209">
        <v>2</v>
      </c>
      <c r="G899" s="209">
        <v>2</v>
      </c>
      <c r="H899" s="209">
        <v>0</v>
      </c>
      <c r="I899" s="209">
        <v>2</v>
      </c>
      <c r="J899" s="209">
        <v>2</v>
      </c>
      <c r="K899" s="209">
        <v>2</v>
      </c>
    </row>
    <row r="900" spans="1:11" ht="24.75" customHeight="1">
      <c r="A900" s="208">
        <v>42655</v>
      </c>
      <c r="B900" s="209" t="s">
        <v>491</v>
      </c>
      <c r="C900" s="226">
        <v>300007875924</v>
      </c>
      <c r="D900" s="209" t="s">
        <v>492</v>
      </c>
      <c r="E900" s="209">
        <v>0</v>
      </c>
      <c r="F900" s="209">
        <v>0</v>
      </c>
      <c r="G900" s="209">
        <v>0</v>
      </c>
      <c r="H900" s="209">
        <v>0</v>
      </c>
      <c r="I900" s="209">
        <v>0</v>
      </c>
      <c r="J900" s="209">
        <v>0</v>
      </c>
      <c r="K900" s="209">
        <v>12</v>
      </c>
    </row>
    <row r="901" spans="1:11" ht="24.75" customHeight="1">
      <c r="A901" s="208">
        <v>42655</v>
      </c>
      <c r="B901" s="209" t="s">
        <v>491</v>
      </c>
      <c r="C901" s="226">
        <v>300008074001</v>
      </c>
      <c r="D901" s="272" t="s">
        <v>493</v>
      </c>
      <c r="E901" s="209">
        <v>0</v>
      </c>
      <c r="F901" s="209">
        <v>0</v>
      </c>
      <c r="G901" s="209">
        <v>0</v>
      </c>
      <c r="H901" s="209">
        <v>0</v>
      </c>
      <c r="I901" s="209">
        <v>0</v>
      </c>
      <c r="J901" s="209">
        <v>0</v>
      </c>
      <c r="K901" s="209">
        <v>58</v>
      </c>
    </row>
    <row r="902" spans="1:11" ht="24.75" customHeight="1">
      <c r="A902" s="208">
        <v>42655</v>
      </c>
      <c r="B902" s="209" t="s">
        <v>491</v>
      </c>
      <c r="C902" s="226">
        <v>300008183804</v>
      </c>
      <c r="D902" s="272" t="s">
        <v>494</v>
      </c>
      <c r="E902" s="209">
        <v>0</v>
      </c>
      <c r="F902" s="209">
        <v>0</v>
      </c>
      <c r="G902" s="209">
        <v>0</v>
      </c>
      <c r="H902" s="209">
        <v>0</v>
      </c>
      <c r="I902" s="209">
        <v>0</v>
      </c>
      <c r="J902" s="209">
        <v>0</v>
      </c>
      <c r="K902" s="209">
        <v>10</v>
      </c>
    </row>
    <row r="903" spans="1:11" ht="24.75" customHeight="1">
      <c r="A903" s="208">
        <v>42655</v>
      </c>
      <c r="B903" s="209" t="s">
        <v>491</v>
      </c>
      <c r="C903" s="226">
        <v>300008508327</v>
      </c>
      <c r="D903" s="209" t="s">
        <v>501</v>
      </c>
      <c r="E903" s="209">
        <v>0</v>
      </c>
      <c r="F903" s="209">
        <v>1</v>
      </c>
      <c r="G903" s="209">
        <v>1</v>
      </c>
      <c r="H903" s="209">
        <v>0</v>
      </c>
      <c r="I903" s="209">
        <v>1</v>
      </c>
      <c r="J903" s="209">
        <v>1</v>
      </c>
      <c r="K903" s="209">
        <v>1081</v>
      </c>
    </row>
    <row r="904" spans="1:11" ht="24.75" customHeight="1">
      <c r="A904" s="208">
        <v>42655</v>
      </c>
      <c r="B904" s="209" t="s">
        <v>491</v>
      </c>
      <c r="C904" s="226">
        <v>300008841062</v>
      </c>
      <c r="D904" s="272" t="s">
        <v>277</v>
      </c>
      <c r="E904" s="209">
        <v>0</v>
      </c>
      <c r="F904" s="209">
        <v>5</v>
      </c>
      <c r="G904" s="209">
        <v>5</v>
      </c>
      <c r="H904" s="209">
        <v>0</v>
      </c>
      <c r="I904" s="209">
        <v>3</v>
      </c>
      <c r="J904" s="209">
        <v>3</v>
      </c>
      <c r="K904" s="209">
        <v>2742</v>
      </c>
    </row>
    <row r="905" spans="1:11" ht="24.75" customHeight="1">
      <c r="A905" s="208">
        <v>42655</v>
      </c>
      <c r="B905" s="209" t="s">
        <v>491</v>
      </c>
      <c r="C905" s="226">
        <v>300008868585</v>
      </c>
      <c r="D905" s="272" t="s">
        <v>495</v>
      </c>
      <c r="E905" s="209">
        <v>0</v>
      </c>
      <c r="F905" s="209">
        <v>5</v>
      </c>
      <c r="G905" s="209">
        <v>5</v>
      </c>
      <c r="H905" s="209">
        <v>0</v>
      </c>
      <c r="I905" s="209">
        <v>1</v>
      </c>
      <c r="J905" s="209">
        <v>1</v>
      </c>
      <c r="K905" s="209">
        <v>1008</v>
      </c>
    </row>
    <row r="906" spans="1:11" ht="24.75" customHeight="1">
      <c r="A906" s="208">
        <v>42655</v>
      </c>
      <c r="B906" s="209" t="s">
        <v>491</v>
      </c>
      <c r="C906" s="226">
        <v>300008975991</v>
      </c>
      <c r="D906" s="209" t="s">
        <v>496</v>
      </c>
      <c r="E906" s="209">
        <v>0</v>
      </c>
      <c r="F906" s="209">
        <v>0</v>
      </c>
      <c r="G906" s="209">
        <v>0</v>
      </c>
      <c r="H906" s="209">
        <v>0</v>
      </c>
      <c r="I906" s="209">
        <v>0</v>
      </c>
      <c r="J906" s="209">
        <v>0</v>
      </c>
      <c r="K906" s="209">
        <v>5</v>
      </c>
    </row>
    <row r="907" spans="1:11" ht="24.75" customHeight="1">
      <c r="A907" s="208">
        <v>42655</v>
      </c>
      <c r="B907" s="209" t="s">
        <v>491</v>
      </c>
      <c r="C907" s="226">
        <v>300008993578</v>
      </c>
      <c r="D907" s="272" t="s">
        <v>497</v>
      </c>
      <c r="E907" s="209">
        <v>0</v>
      </c>
      <c r="F907" s="209">
        <v>6</v>
      </c>
      <c r="G907" s="209">
        <v>6</v>
      </c>
      <c r="H907" s="209">
        <v>0</v>
      </c>
      <c r="I907" s="209">
        <v>4</v>
      </c>
      <c r="J907" s="209">
        <v>4</v>
      </c>
      <c r="K907" s="209">
        <v>1428</v>
      </c>
    </row>
    <row r="908" spans="1:11" ht="24.75" customHeight="1">
      <c r="A908" s="208">
        <v>42655</v>
      </c>
      <c r="B908" s="209" t="s">
        <v>491</v>
      </c>
      <c r="C908" s="226">
        <v>300009016017</v>
      </c>
      <c r="D908" s="272" t="s">
        <v>498</v>
      </c>
      <c r="E908" s="209">
        <v>0</v>
      </c>
      <c r="F908" s="209">
        <v>1</v>
      </c>
      <c r="G908" s="209">
        <v>1</v>
      </c>
      <c r="H908" s="209">
        <v>0</v>
      </c>
      <c r="I908" s="209">
        <v>0</v>
      </c>
      <c r="J908" s="209">
        <v>0</v>
      </c>
      <c r="K908" s="209">
        <v>359</v>
      </c>
    </row>
    <row r="909" spans="1:11" ht="24.75" customHeight="1">
      <c r="A909" s="208">
        <v>42655</v>
      </c>
      <c r="B909" s="209" t="s">
        <v>491</v>
      </c>
      <c r="C909" s="226">
        <v>300009193471</v>
      </c>
      <c r="D909" s="272" t="s">
        <v>502</v>
      </c>
      <c r="E909" s="209">
        <v>0</v>
      </c>
      <c r="F909" s="209">
        <v>2</v>
      </c>
      <c r="G909" s="209">
        <v>2</v>
      </c>
      <c r="H909" s="209">
        <v>0</v>
      </c>
      <c r="I909" s="209">
        <v>1</v>
      </c>
      <c r="J909" s="209">
        <v>1</v>
      </c>
      <c r="K909" s="209">
        <v>735</v>
      </c>
    </row>
    <row r="910" spans="1:11" ht="24.75" customHeight="1">
      <c r="A910" s="208">
        <v>42655</v>
      </c>
      <c r="B910" s="209" t="s">
        <v>491</v>
      </c>
      <c r="C910" s="226">
        <v>300009197635</v>
      </c>
      <c r="D910" s="272" t="s">
        <v>282</v>
      </c>
      <c r="E910" s="209">
        <v>0</v>
      </c>
      <c r="F910" s="209">
        <v>13</v>
      </c>
      <c r="G910" s="209">
        <v>13</v>
      </c>
      <c r="H910" s="209">
        <v>0</v>
      </c>
      <c r="I910" s="209">
        <v>3</v>
      </c>
      <c r="J910" s="209">
        <v>3</v>
      </c>
      <c r="K910" s="209">
        <v>2980</v>
      </c>
    </row>
    <row r="911" spans="1:11" ht="24.75" customHeight="1">
      <c r="A911" s="208">
        <v>42655</v>
      </c>
      <c r="B911" s="209" t="s">
        <v>491</v>
      </c>
      <c r="C911" s="226">
        <v>300009228510</v>
      </c>
      <c r="D911" s="272" t="s">
        <v>503</v>
      </c>
      <c r="E911" s="209">
        <v>0</v>
      </c>
      <c r="F911" s="209">
        <v>0</v>
      </c>
      <c r="G911" s="209">
        <v>0</v>
      </c>
      <c r="H911" s="209">
        <v>0</v>
      </c>
      <c r="I911" s="209">
        <v>0</v>
      </c>
      <c r="J911" s="209">
        <v>0</v>
      </c>
      <c r="K911" s="209">
        <v>1</v>
      </c>
    </row>
    <row r="912" spans="1:11" ht="24.75" customHeight="1">
      <c r="A912" s="208">
        <v>42655</v>
      </c>
      <c r="B912" s="209" t="s">
        <v>491</v>
      </c>
      <c r="C912" s="226">
        <v>300009232016</v>
      </c>
      <c r="D912" s="272" t="s">
        <v>499</v>
      </c>
      <c r="E912" s="209">
        <v>0</v>
      </c>
      <c r="F912" s="209">
        <v>4</v>
      </c>
      <c r="G912" s="209">
        <v>4</v>
      </c>
      <c r="H912" s="209">
        <v>0</v>
      </c>
      <c r="I912" s="209">
        <v>4</v>
      </c>
      <c r="J912" s="209">
        <v>4</v>
      </c>
      <c r="K912" s="209">
        <v>2233</v>
      </c>
    </row>
    <row r="913" spans="1:11" ht="24.75" customHeight="1">
      <c r="A913" s="208">
        <v>42655</v>
      </c>
      <c r="B913" s="209" t="s">
        <v>491</v>
      </c>
      <c r="C913" s="226">
        <v>300009235974</v>
      </c>
      <c r="D913" s="272" t="s">
        <v>187</v>
      </c>
      <c r="E913" s="209">
        <v>0</v>
      </c>
      <c r="F913" s="209">
        <v>0</v>
      </c>
      <c r="G913" s="209">
        <v>0</v>
      </c>
      <c r="H913" s="209">
        <v>0</v>
      </c>
      <c r="I913" s="209">
        <v>0</v>
      </c>
      <c r="J913" s="209">
        <v>0</v>
      </c>
      <c r="K913" s="209">
        <v>0</v>
      </c>
    </row>
    <row r="914" spans="1:11" ht="24.75" customHeight="1">
      <c r="A914" s="208">
        <v>42655</v>
      </c>
      <c r="B914" s="209" t="s">
        <v>491</v>
      </c>
      <c r="C914" s="226">
        <v>300009358277</v>
      </c>
      <c r="D914" s="272" t="s">
        <v>500</v>
      </c>
      <c r="E914" s="209">
        <v>2</v>
      </c>
      <c r="F914" s="209">
        <v>21</v>
      </c>
      <c r="G914" s="209">
        <v>21</v>
      </c>
      <c r="H914" s="209">
        <v>0</v>
      </c>
      <c r="I914" s="209">
        <v>2</v>
      </c>
      <c r="J914" s="209">
        <v>2</v>
      </c>
      <c r="K914" s="209">
        <v>3350</v>
      </c>
    </row>
    <row r="915" spans="1:11" ht="24.75" customHeight="1">
      <c r="A915" s="208">
        <v>42655</v>
      </c>
      <c r="B915" s="209" t="s">
        <v>491</v>
      </c>
      <c r="C915" s="226">
        <v>300009374212</v>
      </c>
      <c r="D915" s="272" t="s">
        <v>235</v>
      </c>
      <c r="E915" s="209">
        <v>0</v>
      </c>
      <c r="F915" s="209">
        <v>0</v>
      </c>
      <c r="G915" s="209">
        <v>0</v>
      </c>
      <c r="H915" s="209">
        <v>0</v>
      </c>
      <c r="I915" s="209">
        <v>0</v>
      </c>
      <c r="J915" s="209">
        <v>0</v>
      </c>
      <c r="K915" s="209">
        <v>0</v>
      </c>
    </row>
    <row r="916" spans="1:11" ht="24.75" customHeight="1">
      <c r="A916" s="208">
        <v>42655</v>
      </c>
      <c r="B916" s="209" t="s">
        <v>491</v>
      </c>
      <c r="C916" s="226">
        <v>300009374215</v>
      </c>
      <c r="D916" s="272" t="s">
        <v>236</v>
      </c>
      <c r="E916" s="209">
        <v>0</v>
      </c>
      <c r="F916" s="209">
        <v>1</v>
      </c>
      <c r="G916" s="209">
        <v>1</v>
      </c>
      <c r="H916" s="209">
        <v>0</v>
      </c>
      <c r="I916" s="209">
        <v>0</v>
      </c>
      <c r="J916" s="209">
        <v>0</v>
      </c>
      <c r="K916" s="209">
        <v>0</v>
      </c>
    </row>
    <row r="917" spans="1:11" ht="24.75" customHeight="1">
      <c r="A917" s="208">
        <v>42655</v>
      </c>
      <c r="B917" s="209" t="s">
        <v>491</v>
      </c>
      <c r="C917" s="226">
        <v>300009410229</v>
      </c>
      <c r="D917" s="272" t="s">
        <v>279</v>
      </c>
      <c r="E917" s="209">
        <v>0</v>
      </c>
      <c r="F917" s="209">
        <v>0</v>
      </c>
      <c r="G917" s="209">
        <v>0</v>
      </c>
      <c r="H917" s="209">
        <v>0</v>
      </c>
      <c r="I917" s="209">
        <v>0</v>
      </c>
      <c r="J917" s="209">
        <v>0</v>
      </c>
      <c r="K917" s="209">
        <v>61</v>
      </c>
    </row>
    <row r="918" spans="1:11" ht="24.75" customHeight="1">
      <c r="A918" s="208">
        <v>42655</v>
      </c>
      <c r="B918" s="209" t="s">
        <v>511</v>
      </c>
      <c r="C918" s="226">
        <v>300009358277</v>
      </c>
      <c r="D918" s="272" t="s">
        <v>500</v>
      </c>
      <c r="E918" s="209">
        <v>1</v>
      </c>
      <c r="F918" s="209">
        <v>20</v>
      </c>
      <c r="G918" s="209">
        <v>20</v>
      </c>
      <c r="H918" s="209">
        <v>1</v>
      </c>
      <c r="I918" s="209">
        <v>2</v>
      </c>
      <c r="J918" s="209">
        <v>2</v>
      </c>
      <c r="K918" s="209">
        <v>4880</v>
      </c>
    </row>
    <row r="919" spans="1:11" ht="24.75" customHeight="1">
      <c r="A919" s="208">
        <v>42655</v>
      </c>
      <c r="B919" s="209" t="s">
        <v>511</v>
      </c>
      <c r="C919" s="226">
        <v>300007704986</v>
      </c>
      <c r="D919" s="272" t="s">
        <v>283</v>
      </c>
      <c r="E919" s="209">
        <v>0</v>
      </c>
      <c r="F919" s="209">
        <v>0</v>
      </c>
      <c r="G919" s="209">
        <v>0</v>
      </c>
      <c r="H919" s="209">
        <v>0</v>
      </c>
      <c r="I919" s="209">
        <v>0</v>
      </c>
      <c r="J919" s="209">
        <v>0</v>
      </c>
      <c r="K919" s="209">
        <v>1</v>
      </c>
    </row>
    <row r="920" spans="1:11" ht="24.75" customHeight="1">
      <c r="A920" s="208">
        <v>42655</v>
      </c>
      <c r="B920" s="209" t="s">
        <v>511</v>
      </c>
      <c r="C920" s="226">
        <v>300008193965</v>
      </c>
      <c r="D920" s="272" t="s">
        <v>512</v>
      </c>
      <c r="E920" s="209">
        <v>0</v>
      </c>
      <c r="F920" s="209">
        <v>0</v>
      </c>
      <c r="G920" s="209">
        <v>0</v>
      </c>
      <c r="H920" s="209">
        <v>0</v>
      </c>
      <c r="I920" s="209">
        <v>0</v>
      </c>
      <c r="J920" s="209">
        <v>0</v>
      </c>
      <c r="K920" s="209">
        <v>5</v>
      </c>
    </row>
    <row r="921" spans="1:11" ht="24.75" customHeight="1">
      <c r="A921" s="208">
        <v>42655</v>
      </c>
      <c r="B921" s="209" t="s">
        <v>511</v>
      </c>
      <c r="C921" s="226">
        <v>300008219979</v>
      </c>
      <c r="D921" s="272" t="s">
        <v>517</v>
      </c>
      <c r="E921" s="209">
        <v>0</v>
      </c>
      <c r="F921" s="209">
        <v>0</v>
      </c>
      <c r="G921" s="209">
        <v>0</v>
      </c>
      <c r="H921" s="209">
        <v>0</v>
      </c>
      <c r="I921" s="209">
        <v>0</v>
      </c>
      <c r="J921" s="209">
        <v>0</v>
      </c>
      <c r="K921" s="209">
        <v>1</v>
      </c>
    </row>
    <row r="922" spans="1:11" ht="24.75" customHeight="1">
      <c r="A922" s="208">
        <v>42655</v>
      </c>
      <c r="B922" s="209" t="s">
        <v>511</v>
      </c>
      <c r="C922" s="226">
        <v>300008244937</v>
      </c>
      <c r="D922" s="272" t="s">
        <v>272</v>
      </c>
      <c r="E922" s="209">
        <v>0</v>
      </c>
      <c r="F922" s="209">
        <v>0</v>
      </c>
      <c r="G922" s="209">
        <v>0</v>
      </c>
      <c r="H922" s="209">
        <v>0</v>
      </c>
      <c r="I922" s="209">
        <v>0</v>
      </c>
      <c r="J922" s="209">
        <v>0</v>
      </c>
      <c r="K922" s="209">
        <v>0</v>
      </c>
    </row>
    <row r="923" spans="1:11" ht="24.75" customHeight="1">
      <c r="A923" s="208">
        <v>42655</v>
      </c>
      <c r="B923" s="209" t="s">
        <v>511</v>
      </c>
      <c r="C923" s="226">
        <v>300008508327</v>
      </c>
      <c r="D923" s="209" t="s">
        <v>501</v>
      </c>
      <c r="E923" s="209">
        <v>0</v>
      </c>
      <c r="F923" s="209">
        <v>1</v>
      </c>
      <c r="G923" s="209">
        <v>1</v>
      </c>
      <c r="H923" s="209">
        <v>0</v>
      </c>
      <c r="I923" s="209">
        <v>1</v>
      </c>
      <c r="J923" s="209">
        <v>1</v>
      </c>
      <c r="K923" s="209">
        <v>1626</v>
      </c>
    </row>
    <row r="924" spans="1:11" ht="24.75" customHeight="1">
      <c r="A924" s="208">
        <v>42655</v>
      </c>
      <c r="B924" s="209" t="s">
        <v>511</v>
      </c>
      <c r="C924" s="226">
        <v>300008579657</v>
      </c>
      <c r="D924" s="272" t="s">
        <v>513</v>
      </c>
      <c r="E924" s="209">
        <v>0</v>
      </c>
      <c r="F924" s="209">
        <v>1</v>
      </c>
      <c r="G924" s="209">
        <v>1</v>
      </c>
      <c r="H924" s="209">
        <v>0</v>
      </c>
      <c r="I924" s="209">
        <v>1</v>
      </c>
      <c r="J924" s="209">
        <v>1</v>
      </c>
      <c r="K924" s="209">
        <v>0</v>
      </c>
    </row>
    <row r="925" spans="1:11" ht="24.75" customHeight="1">
      <c r="A925" s="208">
        <v>42655</v>
      </c>
      <c r="B925" s="209" t="s">
        <v>511</v>
      </c>
      <c r="C925" s="226">
        <v>300008841062</v>
      </c>
      <c r="D925" s="272" t="s">
        <v>277</v>
      </c>
      <c r="E925" s="209">
        <v>0</v>
      </c>
      <c r="F925" s="209">
        <v>12</v>
      </c>
      <c r="G925" s="209">
        <v>12</v>
      </c>
      <c r="H925" s="209">
        <v>0</v>
      </c>
      <c r="I925" s="209">
        <v>11</v>
      </c>
      <c r="J925" s="209">
        <v>11</v>
      </c>
      <c r="K925" s="209">
        <v>2716</v>
      </c>
    </row>
    <row r="926" spans="1:11" ht="24.75" customHeight="1">
      <c r="A926" s="208">
        <v>42655</v>
      </c>
      <c r="B926" s="209" t="s">
        <v>511</v>
      </c>
      <c r="C926" s="226">
        <v>300008853065</v>
      </c>
      <c r="D926" s="272" t="s">
        <v>515</v>
      </c>
      <c r="E926" s="209">
        <v>0</v>
      </c>
      <c r="F926" s="209">
        <v>0</v>
      </c>
      <c r="G926" s="209">
        <v>0</v>
      </c>
      <c r="H926" s="209">
        <v>0</v>
      </c>
      <c r="I926" s="209">
        <v>0</v>
      </c>
      <c r="J926" s="209">
        <v>0</v>
      </c>
      <c r="K926" s="209">
        <v>2</v>
      </c>
    </row>
    <row r="927" spans="1:11" ht="24.75" customHeight="1">
      <c r="A927" s="208">
        <v>42655</v>
      </c>
      <c r="B927" s="209" t="s">
        <v>511</v>
      </c>
      <c r="C927" s="226">
        <v>300008868585</v>
      </c>
      <c r="D927" s="272" t="s">
        <v>495</v>
      </c>
      <c r="E927" s="209">
        <v>1</v>
      </c>
      <c r="F927" s="209">
        <v>4</v>
      </c>
      <c r="G927" s="209">
        <v>4</v>
      </c>
      <c r="H927" s="209">
        <v>0</v>
      </c>
      <c r="I927" s="209">
        <v>1</v>
      </c>
      <c r="J927" s="209">
        <v>1</v>
      </c>
      <c r="K927" s="209">
        <v>739</v>
      </c>
    </row>
    <row r="928" spans="1:11" ht="24.75" customHeight="1">
      <c r="A928" s="208">
        <v>42655</v>
      </c>
      <c r="B928" s="209" t="s">
        <v>511</v>
      </c>
      <c r="C928" s="226">
        <v>300008993578</v>
      </c>
      <c r="D928" s="272" t="s">
        <v>497</v>
      </c>
      <c r="E928" s="209">
        <v>0</v>
      </c>
      <c r="F928" s="209">
        <v>10</v>
      </c>
      <c r="G928" s="209">
        <v>10</v>
      </c>
      <c r="H928" s="209">
        <v>0</v>
      </c>
      <c r="I928" s="209">
        <v>8</v>
      </c>
      <c r="J928" s="209">
        <v>8</v>
      </c>
      <c r="K928" s="209">
        <v>1653</v>
      </c>
    </row>
    <row r="929" spans="1:11" ht="24.75" customHeight="1">
      <c r="A929" s="208">
        <v>42655</v>
      </c>
      <c r="B929" s="209" t="s">
        <v>511</v>
      </c>
      <c r="C929" s="226">
        <v>300009003496</v>
      </c>
      <c r="D929" s="272" t="s">
        <v>546</v>
      </c>
      <c r="E929" s="209">
        <v>0</v>
      </c>
      <c r="F929" s="209">
        <v>0</v>
      </c>
      <c r="G929" s="209">
        <v>0</v>
      </c>
      <c r="H929" s="209">
        <v>0</v>
      </c>
      <c r="I929" s="209">
        <v>0</v>
      </c>
      <c r="J929" s="209">
        <v>0</v>
      </c>
      <c r="K929" s="209">
        <v>0</v>
      </c>
    </row>
    <row r="930" spans="1:11" ht="24.75" customHeight="1">
      <c r="A930" s="208">
        <v>42655</v>
      </c>
      <c r="B930" s="209" t="s">
        <v>511</v>
      </c>
      <c r="C930" s="226">
        <v>300009016017</v>
      </c>
      <c r="D930" s="272" t="s">
        <v>498</v>
      </c>
      <c r="E930" s="209">
        <v>0</v>
      </c>
      <c r="F930" s="209">
        <v>1</v>
      </c>
      <c r="G930" s="209">
        <v>1</v>
      </c>
      <c r="H930" s="209">
        <v>0</v>
      </c>
      <c r="I930" s="209">
        <v>0</v>
      </c>
      <c r="J930" s="209">
        <v>0</v>
      </c>
      <c r="K930" s="209">
        <v>335</v>
      </c>
    </row>
    <row r="931" spans="1:11" ht="24.75" customHeight="1">
      <c r="A931" s="208">
        <v>42655</v>
      </c>
      <c r="B931" s="209" t="s">
        <v>511</v>
      </c>
      <c r="C931" s="226">
        <v>300009151749</v>
      </c>
      <c r="D931" s="272" t="s">
        <v>518</v>
      </c>
      <c r="E931" s="209">
        <v>0</v>
      </c>
      <c r="F931" s="209">
        <v>0</v>
      </c>
      <c r="G931" s="209">
        <v>0</v>
      </c>
      <c r="H931" s="209">
        <v>0</v>
      </c>
      <c r="I931" s="209">
        <v>0</v>
      </c>
      <c r="J931" s="209">
        <v>0</v>
      </c>
      <c r="K931" s="209">
        <v>1</v>
      </c>
    </row>
    <row r="932" spans="1:11" ht="24.75" customHeight="1">
      <c r="A932" s="208">
        <v>42655</v>
      </c>
      <c r="B932" s="209" t="s">
        <v>511</v>
      </c>
      <c r="C932" s="226">
        <v>300009184067</v>
      </c>
      <c r="D932" s="272" t="s">
        <v>233</v>
      </c>
      <c r="E932" s="209">
        <v>0</v>
      </c>
      <c r="F932" s="209">
        <v>0</v>
      </c>
      <c r="G932" s="209">
        <v>0</v>
      </c>
      <c r="H932" s="209">
        <v>0</v>
      </c>
      <c r="I932" s="209">
        <v>0</v>
      </c>
      <c r="J932" s="209">
        <v>0</v>
      </c>
      <c r="K932" s="209">
        <v>0</v>
      </c>
    </row>
    <row r="933" spans="1:11" ht="24.75" customHeight="1">
      <c r="A933" s="208">
        <v>42655</v>
      </c>
      <c r="B933" s="209" t="s">
        <v>511</v>
      </c>
      <c r="C933" s="226">
        <v>300009185572</v>
      </c>
      <c r="D933" s="272" t="s">
        <v>237</v>
      </c>
      <c r="E933" s="209">
        <v>0</v>
      </c>
      <c r="F933" s="209">
        <v>0</v>
      </c>
      <c r="G933" s="209">
        <v>0</v>
      </c>
      <c r="H933" s="209">
        <v>0</v>
      </c>
      <c r="I933" s="209">
        <v>0</v>
      </c>
      <c r="J933" s="209">
        <v>0</v>
      </c>
      <c r="K933" s="209">
        <v>0</v>
      </c>
    </row>
    <row r="934" spans="1:11" ht="24.75" customHeight="1">
      <c r="A934" s="208">
        <v>42655</v>
      </c>
      <c r="B934" s="209" t="s">
        <v>511</v>
      </c>
      <c r="C934" s="226">
        <v>300009190374</v>
      </c>
      <c r="D934" s="272" t="s">
        <v>516</v>
      </c>
      <c r="E934" s="209">
        <v>0</v>
      </c>
      <c r="F934" s="209">
        <v>0</v>
      </c>
      <c r="G934" s="209">
        <v>0</v>
      </c>
      <c r="H934" s="209">
        <v>0</v>
      </c>
      <c r="I934" s="209">
        <v>0</v>
      </c>
      <c r="J934" s="209">
        <v>0</v>
      </c>
      <c r="K934" s="209">
        <v>1</v>
      </c>
    </row>
    <row r="935" spans="1:11" ht="24.75" customHeight="1">
      <c r="A935" s="208">
        <v>42655</v>
      </c>
      <c r="B935" s="209" t="s">
        <v>511</v>
      </c>
      <c r="C935" s="226">
        <v>300009192151</v>
      </c>
      <c r="D935" s="272" t="s">
        <v>514</v>
      </c>
      <c r="E935" s="209">
        <v>1</v>
      </c>
      <c r="F935" s="209">
        <v>3</v>
      </c>
      <c r="G935" s="209">
        <v>3</v>
      </c>
      <c r="H935" s="209">
        <v>0</v>
      </c>
      <c r="I935" s="209">
        <v>0</v>
      </c>
      <c r="J935" s="209">
        <v>0</v>
      </c>
      <c r="K935" s="209">
        <v>1762</v>
      </c>
    </row>
    <row r="936" spans="1:11" ht="24.75" customHeight="1">
      <c r="A936" s="208">
        <v>42655</v>
      </c>
      <c r="B936" s="209" t="s">
        <v>511</v>
      </c>
      <c r="C936" s="226">
        <v>300009193471</v>
      </c>
      <c r="D936" s="272" t="s">
        <v>502</v>
      </c>
      <c r="E936" s="209">
        <v>0</v>
      </c>
      <c r="F936" s="209">
        <v>1</v>
      </c>
      <c r="G936" s="209">
        <v>1</v>
      </c>
      <c r="H936" s="209">
        <v>0</v>
      </c>
      <c r="I936" s="209">
        <v>0</v>
      </c>
      <c r="J936" s="209">
        <v>0</v>
      </c>
      <c r="K936" s="209">
        <v>781</v>
      </c>
    </row>
    <row r="937" spans="1:11" ht="24.75" customHeight="1">
      <c r="A937" s="208">
        <v>42655</v>
      </c>
      <c r="B937" s="209" t="s">
        <v>511</v>
      </c>
      <c r="C937" s="226">
        <v>300009197635</v>
      </c>
      <c r="D937" s="272" t="s">
        <v>282</v>
      </c>
      <c r="E937" s="209">
        <v>0</v>
      </c>
      <c r="F937" s="209">
        <v>6</v>
      </c>
      <c r="G937" s="209">
        <v>6</v>
      </c>
      <c r="H937" s="209">
        <v>0</v>
      </c>
      <c r="I937" s="209">
        <v>0</v>
      </c>
      <c r="J937" s="209">
        <v>0</v>
      </c>
      <c r="K937" s="209">
        <v>2898</v>
      </c>
    </row>
    <row r="938" spans="1:11" ht="24.75" customHeight="1">
      <c r="A938" s="208">
        <v>42655</v>
      </c>
      <c r="B938" s="209" t="s">
        <v>511</v>
      </c>
      <c r="C938" s="226">
        <v>300009197635</v>
      </c>
      <c r="D938" s="272" t="s">
        <v>282</v>
      </c>
      <c r="E938" s="209">
        <v>0</v>
      </c>
      <c r="F938" s="209">
        <v>6</v>
      </c>
      <c r="G938" s="209">
        <v>6</v>
      </c>
      <c r="H938" s="209">
        <v>0</v>
      </c>
      <c r="I938" s="209">
        <v>0</v>
      </c>
      <c r="J938" s="209">
        <v>0</v>
      </c>
      <c r="K938" s="209">
        <v>2898</v>
      </c>
    </row>
    <row r="939" spans="1:11" ht="24.75" customHeight="1">
      <c r="A939" s="208">
        <v>42655</v>
      </c>
      <c r="B939" s="209" t="s">
        <v>511</v>
      </c>
      <c r="C939" s="226">
        <v>300009232016</v>
      </c>
      <c r="D939" s="272" t="s">
        <v>499</v>
      </c>
      <c r="E939" s="209">
        <v>0</v>
      </c>
      <c r="F939" s="209">
        <v>5</v>
      </c>
      <c r="G939" s="209">
        <v>5</v>
      </c>
      <c r="H939" s="209">
        <v>0</v>
      </c>
      <c r="I939" s="209">
        <v>4</v>
      </c>
      <c r="J939" s="209">
        <v>4</v>
      </c>
      <c r="K939" s="209">
        <v>2190</v>
      </c>
    </row>
    <row r="940" spans="1:11" ht="24.75" customHeight="1">
      <c r="A940" s="208">
        <v>42655</v>
      </c>
      <c r="B940" s="209" t="s">
        <v>511</v>
      </c>
      <c r="C940" s="226">
        <v>300009235971</v>
      </c>
      <c r="D940" s="272" t="s">
        <v>241</v>
      </c>
      <c r="E940" s="209">
        <v>0</v>
      </c>
      <c r="F940" s="209">
        <v>0</v>
      </c>
      <c r="G940" s="209">
        <v>0</v>
      </c>
      <c r="H940" s="209">
        <v>0</v>
      </c>
      <c r="I940" s="209">
        <v>0</v>
      </c>
      <c r="J940" s="209">
        <v>0</v>
      </c>
      <c r="K940" s="209">
        <v>0</v>
      </c>
    </row>
    <row r="941" spans="1:11" ht="24.75" customHeight="1">
      <c r="A941" s="208">
        <v>42655</v>
      </c>
      <c r="B941" s="209" t="s">
        <v>511</v>
      </c>
      <c r="C941" s="226">
        <v>300009374212</v>
      </c>
      <c r="D941" s="272" t="s">
        <v>235</v>
      </c>
      <c r="E941" s="209">
        <v>0</v>
      </c>
      <c r="F941" s="209">
        <v>3</v>
      </c>
      <c r="G941" s="209">
        <v>3</v>
      </c>
      <c r="H941" s="209">
        <v>0</v>
      </c>
      <c r="I941" s="209">
        <v>0</v>
      </c>
      <c r="J941" s="209">
        <v>0</v>
      </c>
      <c r="K941" s="209">
        <v>683</v>
      </c>
    </row>
    <row r="942" spans="1:11" ht="24.75" customHeight="1">
      <c r="A942" s="208">
        <v>42655</v>
      </c>
      <c r="B942" s="209" t="s">
        <v>511</v>
      </c>
      <c r="C942" s="226">
        <v>300009406201</v>
      </c>
      <c r="D942" s="272" t="s">
        <v>234</v>
      </c>
      <c r="E942" s="209">
        <v>0</v>
      </c>
      <c r="F942" s="209">
        <v>8</v>
      </c>
      <c r="G942" s="209">
        <v>8</v>
      </c>
      <c r="H942" s="209">
        <v>0</v>
      </c>
      <c r="I942" s="209">
        <v>2</v>
      </c>
      <c r="J942" s="209">
        <v>2</v>
      </c>
      <c r="K942" s="209">
        <v>1836</v>
      </c>
    </row>
    <row r="943" spans="1:11" ht="24.75" customHeight="1">
      <c r="A943" s="208">
        <v>42655</v>
      </c>
      <c r="B943" s="209" t="s">
        <v>511</v>
      </c>
      <c r="C943" s="226">
        <v>300009406202</v>
      </c>
      <c r="D943" s="272" t="s">
        <v>232</v>
      </c>
      <c r="E943" s="209">
        <v>0</v>
      </c>
      <c r="F943" s="209">
        <v>0</v>
      </c>
      <c r="G943" s="209">
        <v>0</v>
      </c>
      <c r="H943" s="209">
        <v>0</v>
      </c>
      <c r="I943" s="209">
        <v>0</v>
      </c>
      <c r="J943" s="209">
        <v>0</v>
      </c>
      <c r="K943" s="209">
        <v>0</v>
      </c>
    </row>
    <row r="944" spans="1:11" ht="24.75" customHeight="1">
      <c r="A944" s="208">
        <v>42655</v>
      </c>
      <c r="B944" s="209" t="s">
        <v>511</v>
      </c>
      <c r="C944" s="226">
        <v>300009410229</v>
      </c>
      <c r="D944" s="272" t="s">
        <v>279</v>
      </c>
      <c r="E944" s="209">
        <v>0</v>
      </c>
      <c r="F944" s="209">
        <v>0</v>
      </c>
      <c r="G944" s="209">
        <v>0</v>
      </c>
      <c r="H944" s="209">
        <v>0</v>
      </c>
      <c r="I944" s="209">
        <v>0</v>
      </c>
      <c r="J944" s="209">
        <v>0</v>
      </c>
      <c r="K944" s="209">
        <v>46</v>
      </c>
    </row>
    <row r="945" spans="1:11" ht="24.75" customHeight="1">
      <c r="A945" s="208">
        <v>42655</v>
      </c>
      <c r="B945" s="209" t="s">
        <v>511</v>
      </c>
      <c r="C945" s="226">
        <v>300009480238</v>
      </c>
      <c r="D945" s="272" t="s">
        <v>263</v>
      </c>
      <c r="E945" s="209">
        <v>2</v>
      </c>
      <c r="F945" s="209">
        <v>21</v>
      </c>
      <c r="G945" s="209">
        <v>21</v>
      </c>
      <c r="H945" s="209">
        <v>0</v>
      </c>
      <c r="I945" s="209">
        <v>3</v>
      </c>
      <c r="J945" s="209">
        <v>3</v>
      </c>
      <c r="K945" s="209">
        <v>1161</v>
      </c>
    </row>
    <row r="946" spans="1:11" ht="24.75" customHeight="1">
      <c r="A946" s="208">
        <v>42655</v>
      </c>
      <c r="B946" s="209" t="s">
        <v>519</v>
      </c>
      <c r="C946" s="226">
        <v>300009842225</v>
      </c>
      <c r="D946" s="272" t="s">
        <v>524</v>
      </c>
      <c r="E946" s="209">
        <v>1</v>
      </c>
      <c r="F946" s="209">
        <v>25</v>
      </c>
      <c r="G946" s="209">
        <v>25</v>
      </c>
      <c r="H946" s="209">
        <v>1</v>
      </c>
      <c r="I946" s="209">
        <v>25</v>
      </c>
      <c r="J946" s="209">
        <v>25</v>
      </c>
      <c r="K946" s="209">
        <v>4075</v>
      </c>
    </row>
    <row r="947" spans="1:11" ht="24.75" customHeight="1">
      <c r="A947" s="208">
        <v>42655</v>
      </c>
      <c r="B947" s="209" t="s">
        <v>519</v>
      </c>
      <c r="C947" s="226">
        <v>300002932641</v>
      </c>
      <c r="D947" s="272" t="s">
        <v>503</v>
      </c>
      <c r="E947" s="209">
        <v>0</v>
      </c>
      <c r="F947" s="209">
        <v>0</v>
      </c>
      <c r="G947" s="209">
        <v>0</v>
      </c>
      <c r="H947" s="209">
        <v>0</v>
      </c>
      <c r="I947" s="209">
        <v>0</v>
      </c>
      <c r="J947" s="209">
        <v>0</v>
      </c>
      <c r="K947" s="209">
        <v>2</v>
      </c>
    </row>
    <row r="948" spans="1:11" ht="24.75" customHeight="1">
      <c r="A948" s="208">
        <v>42655</v>
      </c>
      <c r="B948" s="209" t="s">
        <v>519</v>
      </c>
      <c r="C948" s="226">
        <v>300008656423</v>
      </c>
      <c r="D948" s="272" t="s">
        <v>522</v>
      </c>
      <c r="E948" s="209">
        <v>0</v>
      </c>
      <c r="F948" s="209">
        <v>0</v>
      </c>
      <c r="G948" s="209">
        <v>0</v>
      </c>
      <c r="H948" s="209">
        <v>0</v>
      </c>
      <c r="I948" s="209">
        <v>0</v>
      </c>
      <c r="J948" s="209">
        <v>0</v>
      </c>
      <c r="K948" s="209">
        <v>5</v>
      </c>
    </row>
    <row r="949" spans="1:11" ht="24.75" customHeight="1">
      <c r="A949" s="208">
        <v>42655</v>
      </c>
      <c r="B949" s="209" t="s">
        <v>519</v>
      </c>
      <c r="C949" s="226">
        <v>300008841062</v>
      </c>
      <c r="D949" s="272" t="s">
        <v>277</v>
      </c>
      <c r="E949" s="209">
        <v>0</v>
      </c>
      <c r="F949" s="209">
        <v>8</v>
      </c>
      <c r="G949" s="209">
        <v>8</v>
      </c>
      <c r="H949" s="209">
        <v>0</v>
      </c>
      <c r="I949" s="209">
        <v>6</v>
      </c>
      <c r="J949" s="209">
        <v>6</v>
      </c>
      <c r="K949" s="209">
        <v>2419</v>
      </c>
    </row>
    <row r="950" spans="1:11" ht="24.75" customHeight="1">
      <c r="A950" s="208">
        <v>42655</v>
      </c>
      <c r="B950" s="209" t="s">
        <v>519</v>
      </c>
      <c r="C950" s="226">
        <v>300008993578</v>
      </c>
      <c r="D950" s="272" t="s">
        <v>497</v>
      </c>
      <c r="E950" s="209">
        <v>0</v>
      </c>
      <c r="F950" s="209">
        <v>4</v>
      </c>
      <c r="G950" s="209">
        <v>4</v>
      </c>
      <c r="H950" s="209">
        <v>0</v>
      </c>
      <c r="I950" s="209">
        <v>4</v>
      </c>
      <c r="J950" s="209">
        <v>4</v>
      </c>
      <c r="K950" s="209">
        <v>1596</v>
      </c>
    </row>
    <row r="951" spans="1:11" ht="24.75" customHeight="1">
      <c r="A951" s="208">
        <v>42655</v>
      </c>
      <c r="B951" s="209" t="s">
        <v>519</v>
      </c>
      <c r="C951" s="226">
        <v>300009000071</v>
      </c>
      <c r="D951" s="209" t="s">
        <v>527</v>
      </c>
      <c r="E951" s="209">
        <v>0</v>
      </c>
      <c r="F951" s="209">
        <v>1</v>
      </c>
      <c r="G951" s="209">
        <v>1</v>
      </c>
      <c r="H951" s="209">
        <v>0</v>
      </c>
      <c r="I951" s="209">
        <v>0</v>
      </c>
      <c r="J951" s="209">
        <v>0</v>
      </c>
      <c r="K951" s="209">
        <v>0</v>
      </c>
    </row>
    <row r="952" spans="1:11" ht="24.75" customHeight="1">
      <c r="A952" s="208">
        <v>42655</v>
      </c>
      <c r="B952" s="209" t="s">
        <v>519</v>
      </c>
      <c r="C952" s="226">
        <v>300009016017</v>
      </c>
      <c r="D952" s="272" t="s">
        <v>498</v>
      </c>
      <c r="E952" s="209">
        <v>0</v>
      </c>
      <c r="F952" s="209">
        <v>0</v>
      </c>
      <c r="G952" s="209">
        <v>0</v>
      </c>
      <c r="H952" s="209">
        <v>0</v>
      </c>
      <c r="I952" s="209">
        <v>0</v>
      </c>
      <c r="J952" s="209">
        <v>0</v>
      </c>
      <c r="K952" s="209">
        <v>351</v>
      </c>
    </row>
    <row r="953" spans="1:11" ht="24.75" customHeight="1">
      <c r="A953" s="208">
        <v>42655</v>
      </c>
      <c r="B953" s="209" t="s">
        <v>519</v>
      </c>
      <c r="C953" s="226">
        <v>300009185572</v>
      </c>
      <c r="D953" s="272" t="s">
        <v>237</v>
      </c>
      <c r="E953" s="209">
        <v>1</v>
      </c>
      <c r="F953" s="209">
        <v>17</v>
      </c>
      <c r="G953" s="209">
        <v>17</v>
      </c>
      <c r="H953" s="209">
        <v>0</v>
      </c>
      <c r="I953" s="209">
        <v>2</v>
      </c>
      <c r="J953" s="209">
        <v>2</v>
      </c>
      <c r="K953" s="209">
        <v>1734</v>
      </c>
    </row>
    <row r="954" spans="1:11" ht="24.75" customHeight="1">
      <c r="A954" s="208">
        <v>42655</v>
      </c>
      <c r="B954" s="209" t="s">
        <v>519</v>
      </c>
      <c r="C954" s="226">
        <v>300009190335</v>
      </c>
      <c r="D954" s="272" t="s">
        <v>526</v>
      </c>
      <c r="E954" s="209">
        <v>0</v>
      </c>
      <c r="F954" s="209">
        <v>4</v>
      </c>
      <c r="G954" s="209">
        <v>4</v>
      </c>
      <c r="H954" s="209">
        <v>0</v>
      </c>
      <c r="I954" s="209">
        <v>1</v>
      </c>
      <c r="J954" s="209">
        <v>1</v>
      </c>
      <c r="K954" s="209">
        <v>1</v>
      </c>
    </row>
    <row r="955" spans="1:11" ht="24.75" customHeight="1">
      <c r="A955" s="208">
        <v>42655</v>
      </c>
      <c r="B955" s="209" t="s">
        <v>519</v>
      </c>
      <c r="C955" s="226">
        <v>300009190346</v>
      </c>
      <c r="D955" s="272" t="s">
        <v>528</v>
      </c>
      <c r="E955" s="209">
        <v>0</v>
      </c>
      <c r="F955" s="209">
        <v>1</v>
      </c>
      <c r="G955" s="209">
        <v>1</v>
      </c>
      <c r="H955" s="209">
        <v>0</v>
      </c>
      <c r="I955" s="209">
        <v>0</v>
      </c>
      <c r="J955" s="209">
        <v>0</v>
      </c>
      <c r="K955" s="209">
        <v>0</v>
      </c>
    </row>
    <row r="956" spans="1:11" ht="24.75" customHeight="1">
      <c r="A956" s="208">
        <v>42655</v>
      </c>
      <c r="B956" s="209" t="s">
        <v>519</v>
      </c>
      <c r="C956" s="226">
        <v>300009193471</v>
      </c>
      <c r="D956" s="272" t="s">
        <v>502</v>
      </c>
      <c r="E956" s="209">
        <v>0</v>
      </c>
      <c r="F956" s="209">
        <v>1</v>
      </c>
      <c r="G956" s="209">
        <v>1</v>
      </c>
      <c r="H956" s="209">
        <v>0</v>
      </c>
      <c r="I956" s="209">
        <v>1</v>
      </c>
      <c r="J956" s="209">
        <v>1</v>
      </c>
      <c r="K956" s="209">
        <v>770</v>
      </c>
    </row>
    <row r="957" spans="1:11" ht="24.75" customHeight="1">
      <c r="A957" s="208">
        <v>42655</v>
      </c>
      <c r="B957" s="209" t="s">
        <v>519</v>
      </c>
      <c r="C957" s="226">
        <v>300009197635</v>
      </c>
      <c r="D957" s="272" t="s">
        <v>282</v>
      </c>
      <c r="E957" s="209">
        <v>1</v>
      </c>
      <c r="F957" s="209">
        <v>7</v>
      </c>
      <c r="G957" s="209">
        <v>7</v>
      </c>
      <c r="H957" s="209">
        <v>0</v>
      </c>
      <c r="I957" s="209">
        <v>1</v>
      </c>
      <c r="J957" s="209">
        <v>1</v>
      </c>
      <c r="K957" s="209">
        <v>2914</v>
      </c>
    </row>
    <row r="958" spans="1:11" ht="24.75" customHeight="1">
      <c r="A958" s="208">
        <v>42655</v>
      </c>
      <c r="B958" s="209" t="s">
        <v>519</v>
      </c>
      <c r="C958" s="226">
        <v>300009207968</v>
      </c>
      <c r="D958" s="272" t="s">
        <v>525</v>
      </c>
      <c r="E958" s="209">
        <v>3</v>
      </c>
      <c r="F958" s="209">
        <v>19</v>
      </c>
      <c r="G958" s="209">
        <v>19</v>
      </c>
      <c r="H958" s="209">
        <v>0</v>
      </c>
      <c r="I958" s="209">
        <v>5</v>
      </c>
      <c r="J958" s="209">
        <v>5</v>
      </c>
      <c r="K958" s="209">
        <v>1729</v>
      </c>
    </row>
    <row r="959" spans="1:11" ht="24.75" customHeight="1">
      <c r="A959" s="208">
        <v>42655</v>
      </c>
      <c r="B959" s="209" t="s">
        <v>519</v>
      </c>
      <c r="C959" s="226">
        <v>300009211922</v>
      </c>
      <c r="D959" s="209" t="s">
        <v>523</v>
      </c>
      <c r="E959" s="209">
        <v>0</v>
      </c>
      <c r="F959" s="209">
        <v>2</v>
      </c>
      <c r="G959" s="209">
        <v>2</v>
      </c>
      <c r="H959" s="209">
        <v>0</v>
      </c>
      <c r="I959" s="209">
        <v>0</v>
      </c>
      <c r="J959" s="209">
        <v>0</v>
      </c>
      <c r="K959" s="209">
        <v>0</v>
      </c>
    </row>
    <row r="960" spans="1:11" ht="24.75" customHeight="1">
      <c r="A960" s="208">
        <v>42655</v>
      </c>
      <c r="B960" s="209" t="s">
        <v>519</v>
      </c>
      <c r="C960" s="226">
        <v>300009232016</v>
      </c>
      <c r="D960" s="272" t="s">
        <v>499</v>
      </c>
      <c r="E960" s="209">
        <v>0</v>
      </c>
      <c r="F960" s="209">
        <v>3</v>
      </c>
      <c r="G960" s="209">
        <v>3</v>
      </c>
      <c r="H960" s="209">
        <v>0</v>
      </c>
      <c r="I960" s="209">
        <v>2</v>
      </c>
      <c r="J960" s="209">
        <v>2</v>
      </c>
      <c r="K960" s="209">
        <v>2257</v>
      </c>
    </row>
    <row r="961" spans="1:11" ht="24.75" customHeight="1">
      <c r="A961" s="208">
        <v>42655</v>
      </c>
      <c r="B961" s="209" t="s">
        <v>519</v>
      </c>
      <c r="C961" s="226">
        <v>300009358277</v>
      </c>
      <c r="D961" s="272" t="s">
        <v>500</v>
      </c>
      <c r="E961" s="209">
        <v>1</v>
      </c>
      <c r="F961" s="209">
        <v>12</v>
      </c>
      <c r="G961" s="209">
        <v>12</v>
      </c>
      <c r="H961" s="209">
        <v>0</v>
      </c>
      <c r="I961" s="209">
        <v>2</v>
      </c>
      <c r="J961" s="209">
        <v>2</v>
      </c>
      <c r="K961" s="209">
        <v>1067</v>
      </c>
    </row>
    <row r="962" spans="1:11" ht="24.75" customHeight="1">
      <c r="A962" s="208">
        <v>42655</v>
      </c>
      <c r="B962" s="209" t="s">
        <v>519</v>
      </c>
      <c r="C962" s="226">
        <v>300009358299</v>
      </c>
      <c r="D962" s="272" t="s">
        <v>520</v>
      </c>
      <c r="E962" s="209">
        <v>0</v>
      </c>
      <c r="F962" s="209">
        <v>2</v>
      </c>
      <c r="G962" s="209">
        <v>2</v>
      </c>
      <c r="H962" s="209">
        <v>0</v>
      </c>
      <c r="I962" s="209">
        <v>1</v>
      </c>
      <c r="J962" s="209">
        <v>1</v>
      </c>
      <c r="K962" s="209">
        <v>1300</v>
      </c>
    </row>
    <row r="963" spans="1:11" ht="24.75" customHeight="1">
      <c r="A963" s="208">
        <v>42655</v>
      </c>
      <c r="B963" s="209" t="s">
        <v>519</v>
      </c>
      <c r="C963" s="226">
        <v>300009358300</v>
      </c>
      <c r="D963" s="272" t="s">
        <v>521</v>
      </c>
      <c r="E963" s="209">
        <v>0</v>
      </c>
      <c r="F963" s="209">
        <v>3</v>
      </c>
      <c r="G963" s="209">
        <v>3</v>
      </c>
      <c r="H963" s="209">
        <v>0</v>
      </c>
      <c r="I963" s="209">
        <v>0</v>
      </c>
      <c r="J963" s="209">
        <v>0</v>
      </c>
      <c r="K963" s="209">
        <v>1191</v>
      </c>
    </row>
    <row r="964" spans="1:11" ht="24.75" customHeight="1">
      <c r="A964" s="208">
        <v>42655</v>
      </c>
      <c r="B964" s="209" t="s">
        <v>519</v>
      </c>
      <c r="C964" s="226">
        <v>300009410229</v>
      </c>
      <c r="D964" s="272" t="s">
        <v>279</v>
      </c>
      <c r="E964" s="209">
        <v>0</v>
      </c>
      <c r="F964" s="209">
        <v>1</v>
      </c>
      <c r="G964" s="209">
        <v>1</v>
      </c>
      <c r="H964" s="209">
        <v>0</v>
      </c>
      <c r="I964" s="209">
        <v>0</v>
      </c>
      <c r="J964" s="209">
        <v>0</v>
      </c>
      <c r="K964" s="209">
        <v>103</v>
      </c>
    </row>
    <row r="965" spans="1:11" ht="24.75" customHeight="1">
      <c r="A965" s="208">
        <v>42655</v>
      </c>
      <c r="B965" s="209" t="s">
        <v>519</v>
      </c>
      <c r="C965" s="226">
        <v>300009822212</v>
      </c>
      <c r="D965" s="272" t="s">
        <v>530</v>
      </c>
      <c r="E965" s="209">
        <v>0</v>
      </c>
      <c r="F965" s="209">
        <v>0</v>
      </c>
      <c r="G965" s="209">
        <v>0</v>
      </c>
      <c r="H965" s="209">
        <v>0</v>
      </c>
      <c r="I965" s="209">
        <v>0</v>
      </c>
      <c r="J965" s="209">
        <v>0</v>
      </c>
      <c r="K965" s="209">
        <v>206</v>
      </c>
    </row>
    <row r="966" spans="1:11" ht="24.75" customHeight="1">
      <c r="A966" s="208">
        <v>42655</v>
      </c>
      <c r="B966" s="209" t="s">
        <v>519</v>
      </c>
      <c r="C966" s="226">
        <v>300009822212</v>
      </c>
      <c r="D966" s="272" t="s">
        <v>530</v>
      </c>
      <c r="E966" s="209">
        <v>0</v>
      </c>
      <c r="F966" s="209">
        <v>0</v>
      </c>
      <c r="G966" s="209">
        <v>0</v>
      </c>
      <c r="H966" s="209">
        <v>0</v>
      </c>
      <c r="I966" s="209">
        <v>0</v>
      </c>
      <c r="J966" s="209">
        <v>0</v>
      </c>
      <c r="K966" s="209">
        <v>206</v>
      </c>
    </row>
    <row r="967" spans="1:11" ht="24.75" customHeight="1">
      <c r="A967" s="208">
        <v>42655</v>
      </c>
      <c r="B967" s="209" t="s">
        <v>529</v>
      </c>
      <c r="C967" s="226">
        <v>300009003496</v>
      </c>
      <c r="D967" s="272" t="s">
        <v>546</v>
      </c>
      <c r="E967" s="209">
        <v>0</v>
      </c>
      <c r="F967" s="209">
        <v>0</v>
      </c>
      <c r="G967" s="209">
        <v>0</v>
      </c>
      <c r="H967" s="209" t="s">
        <v>242</v>
      </c>
      <c r="I967" s="209" t="s">
        <v>242</v>
      </c>
      <c r="J967" s="209" t="s">
        <v>242</v>
      </c>
      <c r="K967" s="209">
        <v>0</v>
      </c>
    </row>
    <row r="968" spans="1:11" ht="24.75" customHeight="1">
      <c r="A968" s="208">
        <v>42655</v>
      </c>
      <c r="B968" s="209" t="s">
        <v>529</v>
      </c>
      <c r="C968" s="226">
        <v>300009822212</v>
      </c>
      <c r="D968" s="272" t="s">
        <v>530</v>
      </c>
      <c r="E968" s="209">
        <v>3</v>
      </c>
      <c r="F968" s="209">
        <v>80</v>
      </c>
      <c r="G968" s="209">
        <v>68.150000000000006</v>
      </c>
      <c r="H968" s="209">
        <v>1</v>
      </c>
      <c r="I968" s="209">
        <v>26</v>
      </c>
      <c r="J968" s="209">
        <v>22.15</v>
      </c>
      <c r="K968" s="209">
        <v>11738</v>
      </c>
    </row>
    <row r="969" spans="1:11" ht="24.75" customHeight="1">
      <c r="A969" s="208">
        <v>42655</v>
      </c>
      <c r="B969" s="209" t="s">
        <v>529</v>
      </c>
      <c r="C969" s="226">
        <v>300008467005</v>
      </c>
      <c r="D969" s="272" t="s">
        <v>540</v>
      </c>
      <c r="E969" s="209">
        <v>0</v>
      </c>
      <c r="F969" s="209">
        <v>13</v>
      </c>
      <c r="G969" s="209">
        <v>13</v>
      </c>
      <c r="H969" s="209">
        <v>0</v>
      </c>
      <c r="I969" s="209">
        <v>6</v>
      </c>
      <c r="J969" s="209">
        <v>6</v>
      </c>
      <c r="K969" s="209">
        <v>313</v>
      </c>
    </row>
    <row r="970" spans="1:11" ht="24.75" customHeight="1">
      <c r="A970" s="208">
        <v>42655</v>
      </c>
      <c r="B970" s="209" t="s">
        <v>529</v>
      </c>
      <c r="C970" s="226">
        <v>300009190343</v>
      </c>
      <c r="D970" s="272" t="s">
        <v>541</v>
      </c>
      <c r="E970" s="209">
        <v>0</v>
      </c>
      <c r="F970" s="209">
        <v>1</v>
      </c>
      <c r="G970" s="209">
        <v>1</v>
      </c>
      <c r="H970" s="209">
        <v>0</v>
      </c>
      <c r="I970" s="209">
        <v>0</v>
      </c>
      <c r="J970" s="209">
        <v>0</v>
      </c>
      <c r="K970" s="209">
        <v>1223</v>
      </c>
    </row>
    <row r="971" spans="1:11" ht="24.75" customHeight="1">
      <c r="A971" s="208">
        <v>42655</v>
      </c>
      <c r="B971" s="209" t="s">
        <v>529</v>
      </c>
      <c r="C971" s="226">
        <v>300009190346</v>
      </c>
      <c r="D971" s="272" t="s">
        <v>528</v>
      </c>
      <c r="E971" s="209">
        <v>0</v>
      </c>
      <c r="F971" s="209">
        <v>1</v>
      </c>
      <c r="G971" s="209">
        <v>1</v>
      </c>
      <c r="H971" s="209">
        <v>0</v>
      </c>
      <c r="I971" s="209">
        <v>0</v>
      </c>
      <c r="J971" s="209">
        <v>0</v>
      </c>
      <c r="K971" s="209">
        <v>0</v>
      </c>
    </row>
    <row r="972" spans="1:11" ht="24.75" customHeight="1">
      <c r="A972" s="208">
        <v>42655</v>
      </c>
      <c r="B972" s="209" t="s">
        <v>529</v>
      </c>
      <c r="C972" s="226">
        <v>300009190385</v>
      </c>
      <c r="D972" s="272" t="s">
        <v>538</v>
      </c>
      <c r="E972" s="209">
        <v>0</v>
      </c>
      <c r="F972" s="209">
        <v>0</v>
      </c>
      <c r="G972" s="209">
        <v>0</v>
      </c>
      <c r="H972" s="209">
        <v>0</v>
      </c>
      <c r="I972" s="209">
        <v>0</v>
      </c>
      <c r="J972" s="209">
        <v>0</v>
      </c>
      <c r="K972" s="209">
        <v>499</v>
      </c>
    </row>
    <row r="973" spans="1:11" ht="24.75" customHeight="1">
      <c r="A973" s="208">
        <v>42655</v>
      </c>
      <c r="B973" s="209" t="s">
        <v>529</v>
      </c>
      <c r="C973" s="226">
        <v>300009191923</v>
      </c>
      <c r="D973" s="272" t="s">
        <v>545</v>
      </c>
      <c r="E973" s="209">
        <v>0</v>
      </c>
      <c r="F973" s="209">
        <v>0</v>
      </c>
      <c r="G973" s="209">
        <v>0</v>
      </c>
      <c r="H973" s="209">
        <v>0</v>
      </c>
      <c r="I973" s="209">
        <v>0</v>
      </c>
      <c r="J973" s="209">
        <v>0</v>
      </c>
      <c r="K973" s="209">
        <v>0</v>
      </c>
    </row>
    <row r="974" spans="1:11" ht="24.75" customHeight="1">
      <c r="A974" s="208">
        <v>42655</v>
      </c>
      <c r="B974" s="209" t="s">
        <v>529</v>
      </c>
      <c r="C974" s="226">
        <v>300009197635</v>
      </c>
      <c r="D974" s="272" t="s">
        <v>282</v>
      </c>
      <c r="E974" s="209">
        <v>0</v>
      </c>
      <c r="F974" s="209">
        <v>3</v>
      </c>
      <c r="G974" s="209">
        <v>3</v>
      </c>
      <c r="H974" s="209">
        <v>0</v>
      </c>
      <c r="I974" s="209">
        <v>1</v>
      </c>
      <c r="J974" s="209">
        <v>1</v>
      </c>
      <c r="K974" s="209">
        <v>1983</v>
      </c>
    </row>
    <row r="975" spans="1:11" ht="24.75" customHeight="1">
      <c r="A975" s="208">
        <v>42655</v>
      </c>
      <c r="B975" s="209" t="s">
        <v>529</v>
      </c>
      <c r="C975" s="226">
        <v>300009197814</v>
      </c>
      <c r="D975" s="272" t="s">
        <v>533</v>
      </c>
      <c r="E975" s="209">
        <v>0</v>
      </c>
      <c r="F975" s="209">
        <v>4</v>
      </c>
      <c r="G975" s="209">
        <v>4</v>
      </c>
      <c r="H975" s="209">
        <v>0</v>
      </c>
      <c r="I975" s="209">
        <v>3</v>
      </c>
      <c r="J975" s="209">
        <v>3</v>
      </c>
      <c r="K975" s="209">
        <v>1443</v>
      </c>
    </row>
    <row r="976" spans="1:11" ht="24.75" customHeight="1">
      <c r="A976" s="208">
        <v>42655</v>
      </c>
      <c r="B976" s="209" t="s">
        <v>529</v>
      </c>
      <c r="C976" s="226">
        <v>300009208033</v>
      </c>
      <c r="D976" s="272" t="s">
        <v>548</v>
      </c>
      <c r="E976" s="209">
        <v>0</v>
      </c>
      <c r="F976" s="209">
        <v>0</v>
      </c>
      <c r="G976" s="209">
        <v>0</v>
      </c>
      <c r="H976" s="209">
        <v>0</v>
      </c>
      <c r="I976" s="209">
        <v>0</v>
      </c>
      <c r="J976" s="209">
        <v>0</v>
      </c>
      <c r="K976" s="209">
        <v>886</v>
      </c>
    </row>
    <row r="977" spans="1:11" ht="24.75" customHeight="1">
      <c r="A977" s="208">
        <v>42655</v>
      </c>
      <c r="B977" s="209" t="s">
        <v>529</v>
      </c>
      <c r="C977" s="226">
        <v>300009208675</v>
      </c>
      <c r="D977" s="272" t="s">
        <v>535</v>
      </c>
      <c r="E977" s="209">
        <v>0</v>
      </c>
      <c r="F977" s="209">
        <v>0</v>
      </c>
      <c r="G977" s="209">
        <v>0</v>
      </c>
      <c r="H977" s="209">
        <v>0</v>
      </c>
      <c r="I977" s="209">
        <v>0</v>
      </c>
      <c r="J977" s="209">
        <v>0</v>
      </c>
      <c r="K977" s="209">
        <v>1515</v>
      </c>
    </row>
    <row r="978" spans="1:11" ht="24.75" customHeight="1">
      <c r="A978" s="208">
        <v>42655</v>
      </c>
      <c r="B978" s="209" t="s">
        <v>529</v>
      </c>
      <c r="C978" s="226">
        <v>300009208680</v>
      </c>
      <c r="D978" s="272" t="s">
        <v>532</v>
      </c>
      <c r="E978" s="209">
        <v>0</v>
      </c>
      <c r="F978" s="209">
        <v>2</v>
      </c>
      <c r="G978" s="209">
        <v>2</v>
      </c>
      <c r="H978" s="209">
        <v>0</v>
      </c>
      <c r="I978" s="209">
        <v>1</v>
      </c>
      <c r="J978" s="209">
        <v>1</v>
      </c>
      <c r="K978" s="209">
        <v>1470</v>
      </c>
    </row>
    <row r="979" spans="1:11" ht="24.75" customHeight="1">
      <c r="A979" s="208">
        <v>42655</v>
      </c>
      <c r="B979" s="209" t="s">
        <v>529</v>
      </c>
      <c r="C979" s="226">
        <v>300009211922</v>
      </c>
      <c r="D979" s="209" t="s">
        <v>523</v>
      </c>
      <c r="E979" s="209">
        <v>0</v>
      </c>
      <c r="F979" s="209">
        <v>0</v>
      </c>
      <c r="G979" s="209">
        <v>0</v>
      </c>
      <c r="H979" s="209">
        <v>0</v>
      </c>
      <c r="I979" s="209">
        <v>0</v>
      </c>
      <c r="J979" s="209">
        <v>0</v>
      </c>
      <c r="K979" s="209">
        <v>67</v>
      </c>
    </row>
    <row r="980" spans="1:11" ht="24.75" customHeight="1">
      <c r="A980" s="208">
        <v>42655</v>
      </c>
      <c r="B980" s="209" t="s">
        <v>529</v>
      </c>
      <c r="C980" s="226">
        <v>300009212855</v>
      </c>
      <c r="D980" s="272" t="s">
        <v>536</v>
      </c>
      <c r="E980" s="209">
        <v>3</v>
      </c>
      <c r="F980" s="209">
        <v>16</v>
      </c>
      <c r="G980" s="209">
        <v>16</v>
      </c>
      <c r="H980" s="209">
        <v>0</v>
      </c>
      <c r="I980" s="209">
        <v>0</v>
      </c>
      <c r="J980" s="209">
        <v>0</v>
      </c>
      <c r="K980" s="209">
        <v>1222</v>
      </c>
    </row>
    <row r="981" spans="1:11" ht="24.75" customHeight="1">
      <c r="A981" s="208">
        <v>42655</v>
      </c>
      <c r="B981" s="209" t="s">
        <v>529</v>
      </c>
      <c r="C981" s="226">
        <v>300009232016</v>
      </c>
      <c r="D981" s="272" t="s">
        <v>499</v>
      </c>
      <c r="E981" s="209">
        <v>0</v>
      </c>
      <c r="F981" s="209">
        <v>1</v>
      </c>
      <c r="G981" s="209">
        <v>1</v>
      </c>
      <c r="H981" s="209">
        <v>0</v>
      </c>
      <c r="I981" s="209">
        <v>1</v>
      </c>
      <c r="J981" s="209">
        <v>1</v>
      </c>
      <c r="K981" s="209">
        <v>1538</v>
      </c>
    </row>
    <row r="982" spans="1:11" ht="24.75" customHeight="1">
      <c r="A982" s="208">
        <v>42655</v>
      </c>
      <c r="B982" s="209" t="s">
        <v>529</v>
      </c>
      <c r="C982" s="226">
        <v>300009240032</v>
      </c>
      <c r="D982" s="272" t="s">
        <v>542</v>
      </c>
      <c r="E982" s="209">
        <v>0</v>
      </c>
      <c r="F982" s="209">
        <v>0</v>
      </c>
      <c r="G982" s="209">
        <v>0</v>
      </c>
      <c r="H982" s="209">
        <v>0</v>
      </c>
      <c r="I982" s="209">
        <v>0</v>
      </c>
      <c r="J982" s="209">
        <v>0</v>
      </c>
      <c r="K982" s="209">
        <v>8</v>
      </c>
    </row>
    <row r="983" spans="1:11" ht="24.75" customHeight="1">
      <c r="A983" s="208">
        <v>42655</v>
      </c>
      <c r="B983" s="209" t="s">
        <v>529</v>
      </c>
      <c r="C983" s="226">
        <v>300009249957</v>
      </c>
      <c r="D983" s="272" t="s">
        <v>537</v>
      </c>
      <c r="E983" s="209">
        <v>0</v>
      </c>
      <c r="F983" s="209">
        <v>2</v>
      </c>
      <c r="G983" s="209">
        <v>2</v>
      </c>
      <c r="H983" s="209">
        <v>0</v>
      </c>
      <c r="I983" s="209">
        <v>2</v>
      </c>
      <c r="J983" s="209">
        <v>2</v>
      </c>
      <c r="K983" s="209">
        <v>1448</v>
      </c>
    </row>
    <row r="984" spans="1:11" ht="24.75" customHeight="1">
      <c r="A984" s="208">
        <v>42655</v>
      </c>
      <c r="B984" s="209" t="s">
        <v>529</v>
      </c>
      <c r="C984" s="226">
        <v>300009288214</v>
      </c>
      <c r="D984" s="272" t="s">
        <v>547</v>
      </c>
      <c r="E984" s="209">
        <v>0</v>
      </c>
      <c r="F984" s="209">
        <v>0</v>
      </c>
      <c r="G984" s="209">
        <v>0</v>
      </c>
      <c r="H984" s="209">
        <v>0</v>
      </c>
      <c r="I984" s="209">
        <v>0</v>
      </c>
      <c r="J984" s="209">
        <v>0</v>
      </c>
      <c r="K984" s="209">
        <v>0</v>
      </c>
    </row>
    <row r="985" spans="1:11" ht="24.75" customHeight="1">
      <c r="A985" s="208">
        <v>42655</v>
      </c>
      <c r="B985" s="209" t="s">
        <v>529</v>
      </c>
      <c r="C985" s="226">
        <v>300009288265</v>
      </c>
      <c r="D985" s="272" t="s">
        <v>531</v>
      </c>
      <c r="E985" s="209">
        <v>0</v>
      </c>
      <c r="F985" s="209">
        <v>8</v>
      </c>
      <c r="G985" s="209">
        <v>8</v>
      </c>
      <c r="H985" s="209">
        <v>0</v>
      </c>
      <c r="I985" s="209">
        <v>2</v>
      </c>
      <c r="J985" s="209">
        <v>2</v>
      </c>
      <c r="K985" s="209">
        <v>2153</v>
      </c>
    </row>
    <row r="986" spans="1:11" ht="24.75" customHeight="1">
      <c r="A986" s="208">
        <v>42655</v>
      </c>
      <c r="B986" s="209" t="s">
        <v>529</v>
      </c>
      <c r="C986" s="226">
        <v>300009290227</v>
      </c>
      <c r="D986" s="272" t="s">
        <v>534</v>
      </c>
      <c r="E986" s="209">
        <v>0</v>
      </c>
      <c r="F986" s="209">
        <v>1</v>
      </c>
      <c r="G986" s="209">
        <v>1</v>
      </c>
      <c r="H986" s="209">
        <v>0</v>
      </c>
      <c r="I986" s="209">
        <v>1</v>
      </c>
      <c r="J986" s="209">
        <v>1</v>
      </c>
      <c r="K986" s="209">
        <v>676</v>
      </c>
    </row>
    <row r="987" spans="1:11" ht="24.75" customHeight="1">
      <c r="A987" s="208">
        <v>42655</v>
      </c>
      <c r="B987" s="209" t="s">
        <v>529</v>
      </c>
      <c r="C987" s="226">
        <v>300009290227</v>
      </c>
      <c r="D987" s="272" t="s">
        <v>534</v>
      </c>
      <c r="E987" s="209">
        <v>0</v>
      </c>
      <c r="F987" s="209">
        <v>1</v>
      </c>
      <c r="G987" s="209">
        <v>1</v>
      </c>
      <c r="H987" s="209">
        <v>0</v>
      </c>
      <c r="I987" s="209">
        <v>1</v>
      </c>
      <c r="J987" s="209">
        <v>1</v>
      </c>
      <c r="K987" s="209">
        <v>676</v>
      </c>
    </row>
    <row r="988" spans="1:11" ht="24.75" customHeight="1">
      <c r="A988" s="208">
        <v>42655</v>
      </c>
      <c r="B988" s="209" t="s">
        <v>529</v>
      </c>
      <c r="C988" s="226">
        <v>300009294244</v>
      </c>
      <c r="D988" s="272" t="s">
        <v>539</v>
      </c>
      <c r="E988" s="209">
        <v>0</v>
      </c>
      <c r="F988" s="209">
        <v>7</v>
      </c>
      <c r="G988" s="209">
        <v>7</v>
      </c>
      <c r="H988" s="209">
        <v>0</v>
      </c>
      <c r="I988" s="209">
        <v>2</v>
      </c>
      <c r="J988" s="209">
        <v>2</v>
      </c>
      <c r="K988" s="209">
        <v>1731</v>
      </c>
    </row>
    <row r="989" spans="1:11" ht="24.75" customHeight="1">
      <c r="A989" s="208">
        <v>42655</v>
      </c>
      <c r="B989" s="209" t="s">
        <v>529</v>
      </c>
      <c r="C989" s="226">
        <v>300009328320</v>
      </c>
      <c r="D989" s="272" t="s">
        <v>543</v>
      </c>
      <c r="E989" s="209">
        <v>0</v>
      </c>
      <c r="F989" s="209">
        <v>0</v>
      </c>
      <c r="G989" s="209">
        <v>0</v>
      </c>
      <c r="H989" s="209">
        <v>0</v>
      </c>
      <c r="I989" s="209">
        <v>0</v>
      </c>
      <c r="J989" s="209">
        <v>0</v>
      </c>
      <c r="K989" s="209">
        <v>42</v>
      </c>
    </row>
    <row r="990" spans="1:11" ht="24.75" customHeight="1">
      <c r="A990" s="208">
        <v>42655</v>
      </c>
      <c r="B990" s="209" t="s">
        <v>529</v>
      </c>
      <c r="C990" s="226">
        <v>300009406202</v>
      </c>
      <c r="D990" s="272" t="s">
        <v>232</v>
      </c>
      <c r="E990" s="209">
        <v>0</v>
      </c>
      <c r="F990" s="209">
        <v>4</v>
      </c>
      <c r="G990" s="209">
        <v>4</v>
      </c>
      <c r="H990" s="209">
        <v>0</v>
      </c>
      <c r="I990" s="209">
        <v>0</v>
      </c>
      <c r="J990" s="209">
        <v>0</v>
      </c>
      <c r="K990" s="209">
        <v>1194</v>
      </c>
    </row>
    <row r="991" spans="1:11" ht="24.75" customHeight="1">
      <c r="A991" s="208">
        <v>42655</v>
      </c>
      <c r="B991" s="209" t="s">
        <v>529</v>
      </c>
      <c r="C991" s="226">
        <v>300009972231</v>
      </c>
      <c r="D991" s="272" t="s">
        <v>566</v>
      </c>
      <c r="E991" s="209">
        <v>0</v>
      </c>
      <c r="F991" s="209">
        <v>0</v>
      </c>
      <c r="G991" s="209">
        <v>0</v>
      </c>
      <c r="H991" s="209">
        <v>0</v>
      </c>
      <c r="I991" s="209">
        <v>0</v>
      </c>
      <c r="J991" s="209">
        <v>0</v>
      </c>
      <c r="K991" s="209">
        <v>262</v>
      </c>
    </row>
    <row r="992" spans="1:11" ht="24.75" customHeight="1">
      <c r="A992" s="208">
        <v>42655</v>
      </c>
      <c r="B992" s="209" t="s">
        <v>529</v>
      </c>
      <c r="C992" s="226">
        <v>300009972233</v>
      </c>
      <c r="D992" s="272" t="s">
        <v>544</v>
      </c>
      <c r="E992" s="209">
        <v>0</v>
      </c>
      <c r="F992" s="209">
        <v>2</v>
      </c>
      <c r="G992" s="209">
        <v>2</v>
      </c>
      <c r="H992" s="209">
        <v>0</v>
      </c>
      <c r="I992" s="209">
        <v>2</v>
      </c>
      <c r="J992" s="209">
        <v>2</v>
      </c>
      <c r="K992" s="209">
        <v>2</v>
      </c>
    </row>
    <row r="993" spans="1:11" ht="24.75" customHeight="1">
      <c r="A993" s="208">
        <v>42656</v>
      </c>
      <c r="B993" s="209" t="s">
        <v>511</v>
      </c>
      <c r="C993" s="226">
        <v>300009192151</v>
      </c>
      <c r="D993" s="272" t="s">
        <v>514</v>
      </c>
      <c r="E993" s="209">
        <v>2</v>
      </c>
      <c r="F993" s="209">
        <v>5</v>
      </c>
      <c r="G993" s="209">
        <v>5</v>
      </c>
      <c r="H993" s="209">
        <v>1</v>
      </c>
      <c r="I993" s="209">
        <v>1</v>
      </c>
      <c r="J993" s="209">
        <v>1</v>
      </c>
      <c r="K993" s="209">
        <v>1932</v>
      </c>
    </row>
    <row r="994" spans="1:11" ht="24.75" customHeight="1">
      <c r="A994" s="208">
        <v>42656</v>
      </c>
      <c r="B994" s="209" t="s">
        <v>511</v>
      </c>
      <c r="C994" s="226">
        <v>300009406201</v>
      </c>
      <c r="D994" s="272" t="s">
        <v>234</v>
      </c>
      <c r="E994" s="209">
        <v>1</v>
      </c>
      <c r="F994" s="209">
        <v>10</v>
      </c>
      <c r="G994" s="209">
        <v>10</v>
      </c>
      <c r="H994" s="209">
        <v>1</v>
      </c>
      <c r="I994" s="209">
        <v>4</v>
      </c>
      <c r="J994" s="209">
        <v>4</v>
      </c>
      <c r="K994" s="209">
        <v>1915</v>
      </c>
    </row>
    <row r="995" spans="1:11" ht="24.75" customHeight="1">
      <c r="A995" s="208">
        <v>42656</v>
      </c>
      <c r="B995" s="209" t="s">
        <v>511</v>
      </c>
      <c r="C995" s="226">
        <v>300007704986</v>
      </c>
      <c r="D995" s="272" t="s">
        <v>283</v>
      </c>
      <c r="E995" s="209">
        <v>0</v>
      </c>
      <c r="F995" s="209">
        <v>0</v>
      </c>
      <c r="G995" s="209">
        <v>0</v>
      </c>
      <c r="H995" s="209">
        <v>0</v>
      </c>
      <c r="I995" s="209">
        <v>0</v>
      </c>
      <c r="J995" s="209">
        <v>0</v>
      </c>
      <c r="K995" s="209">
        <v>1</v>
      </c>
    </row>
    <row r="996" spans="1:11" ht="24.75" customHeight="1">
      <c r="A996" s="208">
        <v>42656</v>
      </c>
      <c r="B996" s="209" t="s">
        <v>511</v>
      </c>
      <c r="C996" s="226">
        <v>300008219979</v>
      </c>
      <c r="D996" s="272" t="s">
        <v>517</v>
      </c>
      <c r="E996" s="209">
        <v>0</v>
      </c>
      <c r="F996" s="209">
        <v>0</v>
      </c>
      <c r="G996" s="209">
        <v>0</v>
      </c>
      <c r="H996" s="209">
        <v>0</v>
      </c>
      <c r="I996" s="209">
        <v>0</v>
      </c>
      <c r="J996" s="209">
        <v>0</v>
      </c>
      <c r="K996" s="209">
        <v>1</v>
      </c>
    </row>
    <row r="997" spans="1:11" ht="24.75" customHeight="1">
      <c r="A997" s="208">
        <v>42656</v>
      </c>
      <c r="B997" s="209" t="s">
        <v>511</v>
      </c>
      <c r="C997" s="226">
        <v>300008244937</v>
      </c>
      <c r="D997" s="272" t="s">
        <v>272</v>
      </c>
      <c r="E997" s="209">
        <v>0</v>
      </c>
      <c r="F997" s="209">
        <v>1</v>
      </c>
      <c r="G997" s="209">
        <v>1</v>
      </c>
      <c r="H997" s="209">
        <v>0</v>
      </c>
      <c r="I997" s="209">
        <v>0</v>
      </c>
      <c r="J997" s="209">
        <v>0</v>
      </c>
      <c r="K997" s="209">
        <v>0</v>
      </c>
    </row>
    <row r="998" spans="1:11" ht="24.75" customHeight="1">
      <c r="A998" s="208">
        <v>42656</v>
      </c>
      <c r="B998" s="209" t="s">
        <v>511</v>
      </c>
      <c r="C998" s="226">
        <v>300008508327</v>
      </c>
      <c r="D998" s="209" t="s">
        <v>501</v>
      </c>
      <c r="E998" s="209">
        <v>0</v>
      </c>
      <c r="F998" s="209">
        <v>1</v>
      </c>
      <c r="G998" s="209">
        <v>1</v>
      </c>
      <c r="H998" s="209">
        <v>0</v>
      </c>
      <c r="I998" s="209">
        <v>1</v>
      </c>
      <c r="J998" s="209">
        <v>1</v>
      </c>
      <c r="K998" s="209">
        <v>1672</v>
      </c>
    </row>
    <row r="999" spans="1:11" ht="24.75" customHeight="1">
      <c r="A999" s="208">
        <v>42656</v>
      </c>
      <c r="B999" s="209" t="s">
        <v>511</v>
      </c>
      <c r="C999" s="226">
        <v>300008579657</v>
      </c>
      <c r="D999" s="272" t="s">
        <v>513</v>
      </c>
      <c r="E999" s="209">
        <v>0</v>
      </c>
      <c r="F999" s="209">
        <v>1</v>
      </c>
      <c r="G999" s="209">
        <v>1</v>
      </c>
      <c r="H999" s="209">
        <v>0</v>
      </c>
      <c r="I999" s="209">
        <v>1</v>
      </c>
      <c r="J999" s="209">
        <v>1</v>
      </c>
      <c r="K999" s="209">
        <v>0</v>
      </c>
    </row>
    <row r="1000" spans="1:11" ht="24.75" customHeight="1">
      <c r="A1000" s="208">
        <v>42656</v>
      </c>
      <c r="B1000" s="209" t="s">
        <v>511</v>
      </c>
      <c r="C1000" s="226">
        <v>300008841062</v>
      </c>
      <c r="D1000" s="272" t="s">
        <v>277</v>
      </c>
      <c r="E1000" s="209">
        <v>0</v>
      </c>
      <c r="F1000" s="209">
        <v>12</v>
      </c>
      <c r="G1000" s="209">
        <v>12</v>
      </c>
      <c r="H1000" s="209">
        <v>0</v>
      </c>
      <c r="I1000" s="209">
        <v>11</v>
      </c>
      <c r="J1000" s="209">
        <v>11</v>
      </c>
      <c r="K1000" s="209">
        <v>2809</v>
      </c>
    </row>
    <row r="1001" spans="1:11" ht="24.75" customHeight="1">
      <c r="A1001" s="208">
        <v>42656</v>
      </c>
      <c r="B1001" s="209" t="s">
        <v>511</v>
      </c>
      <c r="C1001" s="226">
        <v>300008853065</v>
      </c>
      <c r="D1001" s="272" t="s">
        <v>515</v>
      </c>
      <c r="E1001" s="209">
        <v>0</v>
      </c>
      <c r="F1001" s="209">
        <v>0</v>
      </c>
      <c r="G1001" s="209">
        <v>0</v>
      </c>
      <c r="H1001" s="209">
        <v>0</v>
      </c>
      <c r="I1001" s="209">
        <v>0</v>
      </c>
      <c r="J1001" s="209">
        <v>0</v>
      </c>
      <c r="K1001" s="209">
        <v>2</v>
      </c>
    </row>
    <row r="1002" spans="1:11" ht="24.75" customHeight="1">
      <c r="A1002" s="208">
        <v>42656</v>
      </c>
      <c r="B1002" s="209" t="s">
        <v>511</v>
      </c>
      <c r="C1002" s="226">
        <v>300008868585</v>
      </c>
      <c r="D1002" s="272" t="s">
        <v>495</v>
      </c>
      <c r="E1002" s="209">
        <v>0</v>
      </c>
      <c r="F1002" s="209">
        <v>4</v>
      </c>
      <c r="G1002" s="209">
        <v>4</v>
      </c>
      <c r="H1002" s="209">
        <v>0</v>
      </c>
      <c r="I1002" s="209">
        <v>1</v>
      </c>
      <c r="J1002" s="209">
        <v>1</v>
      </c>
      <c r="K1002" s="209">
        <v>739</v>
      </c>
    </row>
    <row r="1003" spans="1:11" ht="24.75" customHeight="1">
      <c r="A1003" s="208">
        <v>42656</v>
      </c>
      <c r="B1003" s="209" t="s">
        <v>511</v>
      </c>
      <c r="C1003" s="226">
        <v>300008868585</v>
      </c>
      <c r="D1003" s="272" t="s">
        <v>495</v>
      </c>
      <c r="E1003" s="209">
        <v>0</v>
      </c>
      <c r="F1003" s="209">
        <v>4</v>
      </c>
      <c r="G1003" s="209">
        <v>4</v>
      </c>
      <c r="H1003" s="209">
        <v>0</v>
      </c>
      <c r="I1003" s="209">
        <v>1</v>
      </c>
      <c r="J1003" s="209">
        <v>1</v>
      </c>
      <c r="K1003" s="209">
        <v>739</v>
      </c>
    </row>
    <row r="1004" spans="1:11" ht="24.75" customHeight="1">
      <c r="A1004" s="208">
        <v>42656</v>
      </c>
      <c r="B1004" s="209" t="s">
        <v>511</v>
      </c>
      <c r="C1004" s="226">
        <v>300008993578</v>
      </c>
      <c r="D1004" s="272" t="s">
        <v>497</v>
      </c>
      <c r="E1004" s="209">
        <v>0</v>
      </c>
      <c r="F1004" s="209">
        <v>10</v>
      </c>
      <c r="G1004" s="209">
        <v>10</v>
      </c>
      <c r="H1004" s="209">
        <v>0</v>
      </c>
      <c r="I1004" s="209">
        <v>9</v>
      </c>
      <c r="J1004" s="209">
        <v>9</v>
      </c>
      <c r="K1004" s="209">
        <v>1707</v>
      </c>
    </row>
    <row r="1005" spans="1:11" ht="24.75" customHeight="1">
      <c r="A1005" s="208">
        <v>42656</v>
      </c>
      <c r="B1005" s="209" t="s">
        <v>511</v>
      </c>
      <c r="C1005" s="226">
        <v>300009003496</v>
      </c>
      <c r="D1005" s="272" t="s">
        <v>546</v>
      </c>
      <c r="E1005" s="209">
        <v>0</v>
      </c>
      <c r="F1005" s="209">
        <v>0</v>
      </c>
      <c r="G1005" s="209">
        <v>0</v>
      </c>
      <c r="H1005" s="209">
        <v>0</v>
      </c>
      <c r="I1005" s="209">
        <v>0</v>
      </c>
      <c r="J1005" s="209">
        <v>0</v>
      </c>
      <c r="K1005" s="209">
        <v>0</v>
      </c>
    </row>
    <row r="1006" spans="1:11" ht="24.75" customHeight="1">
      <c r="A1006" s="208">
        <v>42656</v>
      </c>
      <c r="B1006" s="209" t="s">
        <v>511</v>
      </c>
      <c r="C1006" s="226">
        <v>300009016017</v>
      </c>
      <c r="D1006" s="272" t="s">
        <v>498</v>
      </c>
      <c r="E1006" s="209">
        <v>0</v>
      </c>
      <c r="F1006" s="209">
        <v>1</v>
      </c>
      <c r="G1006" s="209">
        <v>1</v>
      </c>
      <c r="H1006" s="209">
        <v>0</v>
      </c>
      <c r="I1006" s="209">
        <v>0</v>
      </c>
      <c r="J1006" s="209">
        <v>0</v>
      </c>
      <c r="K1006" s="209">
        <v>337</v>
      </c>
    </row>
    <row r="1007" spans="1:11" ht="24.75" customHeight="1">
      <c r="A1007" s="208">
        <v>42656</v>
      </c>
      <c r="B1007" s="209" t="s">
        <v>511</v>
      </c>
      <c r="C1007" s="226">
        <v>300009151749</v>
      </c>
      <c r="D1007" s="272" t="s">
        <v>518</v>
      </c>
      <c r="E1007" s="209">
        <v>0</v>
      </c>
      <c r="F1007" s="209">
        <v>0</v>
      </c>
      <c r="G1007" s="209">
        <v>0</v>
      </c>
      <c r="H1007" s="209">
        <v>0</v>
      </c>
      <c r="I1007" s="209">
        <v>0</v>
      </c>
      <c r="J1007" s="209">
        <v>0</v>
      </c>
      <c r="K1007" s="209">
        <v>1</v>
      </c>
    </row>
    <row r="1008" spans="1:11" ht="24.75" customHeight="1">
      <c r="A1008" s="208">
        <v>42656</v>
      </c>
      <c r="B1008" s="209" t="s">
        <v>511</v>
      </c>
      <c r="C1008" s="226">
        <v>300009184067</v>
      </c>
      <c r="D1008" s="272" t="s">
        <v>233</v>
      </c>
      <c r="E1008" s="209">
        <v>0</v>
      </c>
      <c r="F1008" s="209">
        <v>0</v>
      </c>
      <c r="G1008" s="209">
        <v>0</v>
      </c>
      <c r="H1008" s="209">
        <v>0</v>
      </c>
      <c r="I1008" s="209">
        <v>0</v>
      </c>
      <c r="J1008" s="209">
        <v>0</v>
      </c>
      <c r="K1008" s="209">
        <v>0</v>
      </c>
    </row>
    <row r="1009" spans="1:11" ht="24.75" customHeight="1">
      <c r="A1009" s="208">
        <v>42656</v>
      </c>
      <c r="B1009" s="209" t="s">
        <v>511</v>
      </c>
      <c r="C1009" s="226">
        <v>300009185572</v>
      </c>
      <c r="D1009" s="272" t="s">
        <v>237</v>
      </c>
      <c r="E1009" s="209">
        <v>0</v>
      </c>
      <c r="F1009" s="209">
        <v>0</v>
      </c>
      <c r="G1009" s="209">
        <v>0</v>
      </c>
      <c r="H1009" s="209">
        <v>0</v>
      </c>
      <c r="I1009" s="209">
        <v>0</v>
      </c>
      <c r="J1009" s="209">
        <v>0</v>
      </c>
      <c r="K1009" s="209">
        <v>0</v>
      </c>
    </row>
    <row r="1010" spans="1:11" ht="24.75" customHeight="1">
      <c r="A1010" s="208">
        <v>42656</v>
      </c>
      <c r="B1010" s="209" t="s">
        <v>511</v>
      </c>
      <c r="C1010" s="226">
        <v>300009190374</v>
      </c>
      <c r="D1010" s="272" t="s">
        <v>516</v>
      </c>
      <c r="E1010" s="209">
        <v>0</v>
      </c>
      <c r="F1010" s="209">
        <v>0</v>
      </c>
      <c r="G1010" s="209">
        <v>0</v>
      </c>
      <c r="H1010" s="209">
        <v>0</v>
      </c>
      <c r="I1010" s="209">
        <v>0</v>
      </c>
      <c r="J1010" s="209">
        <v>0</v>
      </c>
      <c r="K1010" s="209">
        <v>1</v>
      </c>
    </row>
    <row r="1011" spans="1:11" ht="24.75" customHeight="1">
      <c r="A1011" s="208">
        <v>42656</v>
      </c>
      <c r="B1011" s="209" t="s">
        <v>511</v>
      </c>
      <c r="C1011" s="226">
        <v>300009193471</v>
      </c>
      <c r="D1011" s="272" t="s">
        <v>502</v>
      </c>
      <c r="E1011" s="209">
        <v>0</v>
      </c>
      <c r="F1011" s="209">
        <v>1</v>
      </c>
      <c r="G1011" s="209">
        <v>1</v>
      </c>
      <c r="H1011" s="209">
        <v>0</v>
      </c>
      <c r="I1011" s="209">
        <v>0</v>
      </c>
      <c r="J1011" s="209">
        <v>0</v>
      </c>
      <c r="K1011" s="209">
        <v>812</v>
      </c>
    </row>
    <row r="1012" spans="1:11" ht="24.75" customHeight="1">
      <c r="A1012" s="208">
        <v>42656</v>
      </c>
      <c r="B1012" s="209" t="s">
        <v>511</v>
      </c>
      <c r="C1012" s="226">
        <v>300009197635</v>
      </c>
      <c r="D1012" s="272" t="s">
        <v>282</v>
      </c>
      <c r="E1012" s="209">
        <v>0</v>
      </c>
      <c r="F1012" s="209">
        <v>6</v>
      </c>
      <c r="G1012" s="209">
        <v>6</v>
      </c>
      <c r="H1012" s="209">
        <v>0</v>
      </c>
      <c r="I1012" s="209">
        <v>0</v>
      </c>
      <c r="J1012" s="209">
        <v>0</v>
      </c>
      <c r="K1012" s="209">
        <v>2962</v>
      </c>
    </row>
    <row r="1013" spans="1:11" ht="24.75" customHeight="1">
      <c r="A1013" s="208">
        <v>42656</v>
      </c>
      <c r="B1013" s="209" t="s">
        <v>511</v>
      </c>
      <c r="C1013" s="226">
        <v>300009197635</v>
      </c>
      <c r="D1013" s="272" t="s">
        <v>282</v>
      </c>
      <c r="E1013" s="209">
        <v>0</v>
      </c>
      <c r="F1013" s="209">
        <v>6</v>
      </c>
      <c r="G1013" s="209">
        <v>6</v>
      </c>
      <c r="H1013" s="209">
        <v>0</v>
      </c>
      <c r="I1013" s="209">
        <v>0</v>
      </c>
      <c r="J1013" s="209">
        <v>0</v>
      </c>
      <c r="K1013" s="209">
        <v>2962</v>
      </c>
    </row>
    <row r="1014" spans="1:11" ht="24.75" customHeight="1">
      <c r="A1014" s="208">
        <v>42656</v>
      </c>
      <c r="B1014" s="209" t="s">
        <v>511</v>
      </c>
      <c r="C1014" s="226">
        <v>300009232016</v>
      </c>
      <c r="D1014" s="272" t="s">
        <v>499</v>
      </c>
      <c r="E1014" s="209">
        <v>0</v>
      </c>
      <c r="F1014" s="209">
        <v>5</v>
      </c>
      <c r="G1014" s="209">
        <v>5</v>
      </c>
      <c r="H1014" s="209">
        <v>0</v>
      </c>
      <c r="I1014" s="209">
        <v>5</v>
      </c>
      <c r="J1014" s="209">
        <v>5</v>
      </c>
      <c r="K1014" s="209">
        <v>2239</v>
      </c>
    </row>
    <row r="1015" spans="1:11" ht="24.75" customHeight="1">
      <c r="A1015" s="208">
        <v>42656</v>
      </c>
      <c r="B1015" s="209" t="s">
        <v>511</v>
      </c>
      <c r="C1015" s="226">
        <v>300009235971</v>
      </c>
      <c r="D1015" s="272" t="s">
        <v>241</v>
      </c>
      <c r="E1015" s="209">
        <v>0</v>
      </c>
      <c r="F1015" s="209">
        <v>0</v>
      </c>
      <c r="G1015" s="209">
        <v>0</v>
      </c>
      <c r="H1015" s="209">
        <v>0</v>
      </c>
      <c r="I1015" s="209">
        <v>0</v>
      </c>
      <c r="J1015" s="209">
        <v>0</v>
      </c>
      <c r="K1015" s="209">
        <v>0</v>
      </c>
    </row>
    <row r="1016" spans="1:11" ht="24.75" customHeight="1">
      <c r="A1016" s="208">
        <v>42656</v>
      </c>
      <c r="B1016" s="209" t="s">
        <v>511</v>
      </c>
      <c r="C1016" s="226">
        <v>300009358277</v>
      </c>
      <c r="D1016" s="272" t="s">
        <v>500</v>
      </c>
      <c r="E1016" s="209">
        <v>2</v>
      </c>
      <c r="F1016" s="209">
        <v>23</v>
      </c>
      <c r="G1016" s="209">
        <v>23</v>
      </c>
      <c r="H1016" s="209">
        <v>0</v>
      </c>
      <c r="I1016" s="209">
        <v>2</v>
      </c>
      <c r="J1016" s="209">
        <v>2</v>
      </c>
      <c r="K1016" s="209">
        <v>4984</v>
      </c>
    </row>
    <row r="1017" spans="1:11" ht="24.75" customHeight="1">
      <c r="A1017" s="208">
        <v>42656</v>
      </c>
      <c r="B1017" s="209" t="s">
        <v>511</v>
      </c>
      <c r="C1017" s="226">
        <v>300009374212</v>
      </c>
      <c r="D1017" s="272" t="s">
        <v>235</v>
      </c>
      <c r="E1017" s="209">
        <v>0</v>
      </c>
      <c r="F1017" s="209">
        <v>3</v>
      </c>
      <c r="G1017" s="209">
        <v>3</v>
      </c>
      <c r="H1017" s="209">
        <v>0</v>
      </c>
      <c r="I1017" s="209">
        <v>0</v>
      </c>
      <c r="J1017" s="209">
        <v>0</v>
      </c>
      <c r="K1017" s="209">
        <v>961</v>
      </c>
    </row>
    <row r="1018" spans="1:11" ht="24.75" customHeight="1">
      <c r="A1018" s="208">
        <v>42656</v>
      </c>
      <c r="B1018" s="209" t="s">
        <v>511</v>
      </c>
      <c r="C1018" s="226">
        <v>300009406202</v>
      </c>
      <c r="D1018" s="272" t="s">
        <v>232</v>
      </c>
      <c r="E1018" s="209">
        <v>0</v>
      </c>
      <c r="F1018" s="209">
        <v>0</v>
      </c>
      <c r="G1018" s="209">
        <v>0</v>
      </c>
      <c r="H1018" s="209">
        <v>0</v>
      </c>
      <c r="I1018" s="209">
        <v>0</v>
      </c>
      <c r="J1018" s="209">
        <v>0</v>
      </c>
      <c r="K1018" s="209">
        <v>0</v>
      </c>
    </row>
    <row r="1019" spans="1:11" ht="24.75" customHeight="1">
      <c r="A1019" s="208">
        <v>42656</v>
      </c>
      <c r="B1019" s="209" t="s">
        <v>511</v>
      </c>
      <c r="C1019" s="226">
        <v>300009410229</v>
      </c>
      <c r="D1019" s="272" t="s">
        <v>279</v>
      </c>
      <c r="E1019" s="209">
        <v>0</v>
      </c>
      <c r="F1019" s="209">
        <v>0</v>
      </c>
      <c r="G1019" s="209">
        <v>0</v>
      </c>
      <c r="H1019" s="209">
        <v>0</v>
      </c>
      <c r="I1019" s="209">
        <v>0</v>
      </c>
      <c r="J1019" s="209">
        <v>0</v>
      </c>
      <c r="K1019" s="209">
        <v>46</v>
      </c>
    </row>
    <row r="1020" spans="1:11" ht="24.75" customHeight="1">
      <c r="A1020" s="208">
        <v>42656</v>
      </c>
      <c r="B1020" s="209" t="s">
        <v>511</v>
      </c>
      <c r="C1020" s="226">
        <v>300009480238</v>
      </c>
      <c r="D1020" s="272" t="s">
        <v>263</v>
      </c>
      <c r="E1020" s="209">
        <v>0</v>
      </c>
      <c r="F1020" s="209">
        <v>22</v>
      </c>
      <c r="G1020" s="209">
        <v>22</v>
      </c>
      <c r="H1020" s="209">
        <v>0</v>
      </c>
      <c r="I1020" s="209">
        <v>3</v>
      </c>
      <c r="J1020" s="209">
        <v>3</v>
      </c>
      <c r="K1020" s="209">
        <v>1165</v>
      </c>
    </row>
    <row r="1021" spans="1:11" ht="24.75" customHeight="1">
      <c r="A1021" s="208">
        <v>42656</v>
      </c>
      <c r="B1021" s="209" t="s">
        <v>519</v>
      </c>
      <c r="C1021" s="226">
        <v>300008841062</v>
      </c>
      <c r="D1021" s="272" t="s">
        <v>277</v>
      </c>
      <c r="E1021" s="209">
        <v>1</v>
      </c>
      <c r="F1021" s="209">
        <v>9</v>
      </c>
      <c r="G1021" s="209">
        <v>9</v>
      </c>
      <c r="H1021" s="209">
        <v>1</v>
      </c>
      <c r="I1021" s="209">
        <v>7</v>
      </c>
      <c r="J1021" s="209">
        <v>7</v>
      </c>
      <c r="K1021" s="209">
        <v>2520</v>
      </c>
    </row>
    <row r="1022" spans="1:11" ht="24.75" customHeight="1">
      <c r="A1022" s="208">
        <v>42656</v>
      </c>
      <c r="B1022" s="209" t="s">
        <v>519</v>
      </c>
      <c r="C1022" s="226">
        <v>300002932641</v>
      </c>
      <c r="D1022" s="272" t="s">
        <v>503</v>
      </c>
      <c r="E1022" s="209">
        <v>0</v>
      </c>
      <c r="F1022" s="209">
        <v>0</v>
      </c>
      <c r="G1022" s="209">
        <v>0</v>
      </c>
      <c r="H1022" s="209">
        <v>0</v>
      </c>
      <c r="I1022" s="209">
        <v>0</v>
      </c>
      <c r="J1022" s="209">
        <v>0</v>
      </c>
      <c r="K1022" s="209">
        <v>2</v>
      </c>
    </row>
    <row r="1023" spans="1:11" ht="24.75" customHeight="1">
      <c r="A1023" s="208">
        <v>42656</v>
      </c>
      <c r="B1023" s="209" t="s">
        <v>519</v>
      </c>
      <c r="C1023" s="226">
        <v>300008508327</v>
      </c>
      <c r="D1023" s="209" t="s">
        <v>501</v>
      </c>
      <c r="E1023" s="209">
        <v>0</v>
      </c>
      <c r="F1023" s="209">
        <v>4</v>
      </c>
      <c r="G1023" s="209">
        <v>4</v>
      </c>
      <c r="H1023" s="209">
        <v>0</v>
      </c>
      <c r="I1023" s="209">
        <v>4</v>
      </c>
      <c r="J1023" s="209">
        <v>4</v>
      </c>
      <c r="K1023" s="209">
        <v>1637</v>
      </c>
    </row>
    <row r="1024" spans="1:11" ht="24.75" customHeight="1">
      <c r="A1024" s="208">
        <v>42656</v>
      </c>
      <c r="B1024" s="209" t="s">
        <v>519</v>
      </c>
      <c r="C1024" s="226">
        <v>300008656423</v>
      </c>
      <c r="D1024" s="272" t="s">
        <v>522</v>
      </c>
      <c r="E1024" s="209">
        <v>0</v>
      </c>
      <c r="F1024" s="209">
        <v>0</v>
      </c>
      <c r="G1024" s="209">
        <v>0</v>
      </c>
      <c r="H1024" s="209">
        <v>0</v>
      </c>
      <c r="I1024" s="209">
        <v>0</v>
      </c>
      <c r="J1024" s="209">
        <v>0</v>
      </c>
      <c r="K1024" s="209">
        <v>5</v>
      </c>
    </row>
    <row r="1025" spans="1:11" ht="24.75" customHeight="1">
      <c r="A1025" s="208">
        <v>42656</v>
      </c>
      <c r="B1025" s="209" t="s">
        <v>519</v>
      </c>
      <c r="C1025" s="226">
        <v>300008993578</v>
      </c>
      <c r="D1025" s="272" t="s">
        <v>497</v>
      </c>
      <c r="E1025" s="209">
        <v>0</v>
      </c>
      <c r="F1025" s="209">
        <v>4</v>
      </c>
      <c r="G1025" s="209">
        <v>4</v>
      </c>
      <c r="H1025" s="209">
        <v>0</v>
      </c>
      <c r="I1025" s="209">
        <v>4</v>
      </c>
      <c r="J1025" s="209">
        <v>4</v>
      </c>
      <c r="K1025" s="209">
        <v>1666</v>
      </c>
    </row>
    <row r="1026" spans="1:11" ht="24.75" customHeight="1">
      <c r="A1026" s="208">
        <v>42656</v>
      </c>
      <c r="B1026" s="209" t="s">
        <v>519</v>
      </c>
      <c r="C1026" s="226">
        <v>300009000071</v>
      </c>
      <c r="D1026" s="209" t="s">
        <v>527</v>
      </c>
      <c r="E1026" s="209">
        <v>0</v>
      </c>
      <c r="F1026" s="209">
        <v>1</v>
      </c>
      <c r="G1026" s="209">
        <v>1</v>
      </c>
      <c r="H1026" s="209">
        <v>0</v>
      </c>
      <c r="I1026" s="209">
        <v>1</v>
      </c>
      <c r="J1026" s="209">
        <v>1</v>
      </c>
      <c r="K1026" s="209">
        <v>0</v>
      </c>
    </row>
    <row r="1027" spans="1:11" ht="24.75" customHeight="1">
      <c r="A1027" s="208">
        <v>42656</v>
      </c>
      <c r="B1027" s="209" t="s">
        <v>519</v>
      </c>
      <c r="C1027" s="226">
        <v>300009016017</v>
      </c>
      <c r="D1027" s="272" t="s">
        <v>498</v>
      </c>
      <c r="E1027" s="209">
        <v>0</v>
      </c>
      <c r="F1027" s="209">
        <v>0</v>
      </c>
      <c r="G1027" s="209">
        <v>0</v>
      </c>
      <c r="H1027" s="209">
        <v>0</v>
      </c>
      <c r="I1027" s="209">
        <v>0</v>
      </c>
      <c r="J1027" s="209">
        <v>0</v>
      </c>
      <c r="K1027" s="209">
        <v>351</v>
      </c>
    </row>
    <row r="1028" spans="1:11" ht="24.75" customHeight="1">
      <c r="A1028" s="208">
        <v>42656</v>
      </c>
      <c r="B1028" s="209" t="s">
        <v>519</v>
      </c>
      <c r="C1028" s="226">
        <v>300009185572</v>
      </c>
      <c r="D1028" s="272" t="s">
        <v>237</v>
      </c>
      <c r="E1028" s="209">
        <v>0</v>
      </c>
      <c r="F1028" s="209">
        <v>18</v>
      </c>
      <c r="G1028" s="209">
        <v>18</v>
      </c>
      <c r="H1028" s="209">
        <v>0</v>
      </c>
      <c r="I1028" s="209">
        <v>2</v>
      </c>
      <c r="J1028" s="209">
        <v>2</v>
      </c>
      <c r="K1028" s="209">
        <v>1734</v>
      </c>
    </row>
    <row r="1029" spans="1:11" ht="24.75" customHeight="1">
      <c r="A1029" s="208">
        <v>42656</v>
      </c>
      <c r="B1029" s="209" t="s">
        <v>519</v>
      </c>
      <c r="C1029" s="226">
        <v>300009190335</v>
      </c>
      <c r="D1029" s="272" t="s">
        <v>526</v>
      </c>
      <c r="E1029" s="209">
        <v>0</v>
      </c>
      <c r="F1029" s="209">
        <v>5</v>
      </c>
      <c r="G1029" s="209">
        <v>5</v>
      </c>
      <c r="H1029" s="209">
        <v>0</v>
      </c>
      <c r="I1029" s="209">
        <v>1</v>
      </c>
      <c r="J1029" s="209">
        <v>1</v>
      </c>
      <c r="K1029" s="209">
        <v>1</v>
      </c>
    </row>
    <row r="1030" spans="1:11" ht="24.75" customHeight="1">
      <c r="A1030" s="208">
        <v>42656</v>
      </c>
      <c r="B1030" s="209" t="s">
        <v>519</v>
      </c>
      <c r="C1030" s="226">
        <v>300009190346</v>
      </c>
      <c r="D1030" s="272" t="s">
        <v>528</v>
      </c>
      <c r="E1030" s="209">
        <v>0</v>
      </c>
      <c r="F1030" s="209">
        <v>1</v>
      </c>
      <c r="G1030" s="209">
        <v>1</v>
      </c>
      <c r="H1030" s="209">
        <v>0</v>
      </c>
      <c r="I1030" s="209">
        <v>0</v>
      </c>
      <c r="J1030" s="209">
        <v>0</v>
      </c>
      <c r="K1030" s="209">
        <v>0</v>
      </c>
    </row>
    <row r="1031" spans="1:11" ht="24.75" customHeight="1">
      <c r="A1031" s="208">
        <v>42656</v>
      </c>
      <c r="B1031" s="209" t="s">
        <v>519</v>
      </c>
      <c r="C1031" s="226">
        <v>300009193471</v>
      </c>
      <c r="D1031" s="272" t="s">
        <v>502</v>
      </c>
      <c r="E1031" s="209">
        <v>0</v>
      </c>
      <c r="F1031" s="209">
        <v>1</v>
      </c>
      <c r="G1031" s="209">
        <v>1</v>
      </c>
      <c r="H1031" s="209">
        <v>0</v>
      </c>
      <c r="I1031" s="209">
        <v>1</v>
      </c>
      <c r="J1031" s="209">
        <v>1</v>
      </c>
      <c r="K1031" s="209">
        <v>792</v>
      </c>
    </row>
    <row r="1032" spans="1:11" ht="24.75" customHeight="1">
      <c r="A1032" s="208">
        <v>42656</v>
      </c>
      <c r="B1032" s="209" t="s">
        <v>519</v>
      </c>
      <c r="C1032" s="226">
        <v>300009197635</v>
      </c>
      <c r="D1032" s="272" t="s">
        <v>282</v>
      </c>
      <c r="E1032" s="209">
        <v>1</v>
      </c>
      <c r="F1032" s="209">
        <v>9</v>
      </c>
      <c r="G1032" s="209">
        <v>9</v>
      </c>
      <c r="H1032" s="209">
        <v>0</v>
      </c>
      <c r="I1032" s="209">
        <v>1</v>
      </c>
      <c r="J1032" s="209">
        <v>1</v>
      </c>
      <c r="K1032" s="209">
        <v>2980</v>
      </c>
    </row>
    <row r="1033" spans="1:11" ht="24.75" customHeight="1">
      <c r="A1033" s="208">
        <v>42656</v>
      </c>
      <c r="B1033" s="209" t="s">
        <v>519</v>
      </c>
      <c r="C1033" s="226">
        <v>300009207968</v>
      </c>
      <c r="D1033" s="272" t="s">
        <v>525</v>
      </c>
      <c r="E1033" s="209">
        <v>0</v>
      </c>
      <c r="F1033" s="209">
        <v>20</v>
      </c>
      <c r="G1033" s="209">
        <v>20</v>
      </c>
      <c r="H1033" s="209">
        <v>0</v>
      </c>
      <c r="I1033" s="209">
        <v>5</v>
      </c>
      <c r="J1033" s="209">
        <v>5</v>
      </c>
      <c r="K1033" s="209">
        <v>1745</v>
      </c>
    </row>
    <row r="1034" spans="1:11" ht="24.75" customHeight="1">
      <c r="A1034" s="208">
        <v>42656</v>
      </c>
      <c r="B1034" s="209" t="s">
        <v>519</v>
      </c>
      <c r="C1034" s="226">
        <v>300009211922</v>
      </c>
      <c r="D1034" s="209" t="s">
        <v>523</v>
      </c>
      <c r="E1034" s="209">
        <v>0</v>
      </c>
      <c r="F1034" s="209">
        <v>2</v>
      </c>
      <c r="G1034" s="209">
        <v>2</v>
      </c>
      <c r="H1034" s="209">
        <v>0</v>
      </c>
      <c r="I1034" s="209">
        <v>0</v>
      </c>
      <c r="J1034" s="209">
        <v>0</v>
      </c>
      <c r="K1034" s="209">
        <v>0</v>
      </c>
    </row>
    <row r="1035" spans="1:11" ht="24.75" customHeight="1">
      <c r="A1035" s="208">
        <v>42656</v>
      </c>
      <c r="B1035" s="209" t="s">
        <v>519</v>
      </c>
      <c r="C1035" s="226">
        <v>300009232016</v>
      </c>
      <c r="D1035" s="272" t="s">
        <v>499</v>
      </c>
      <c r="E1035" s="209">
        <v>0</v>
      </c>
      <c r="F1035" s="209">
        <v>3</v>
      </c>
      <c r="G1035" s="209">
        <v>3</v>
      </c>
      <c r="H1035" s="209">
        <v>0</v>
      </c>
      <c r="I1035" s="209">
        <v>3</v>
      </c>
      <c r="J1035" s="209">
        <v>3</v>
      </c>
      <c r="K1035" s="209">
        <v>2316</v>
      </c>
    </row>
    <row r="1036" spans="1:11" ht="24.75" customHeight="1">
      <c r="A1036" s="208">
        <v>42656</v>
      </c>
      <c r="B1036" s="209" t="s">
        <v>519</v>
      </c>
      <c r="C1036" s="226">
        <v>300009358277</v>
      </c>
      <c r="D1036" s="272" t="s">
        <v>500</v>
      </c>
      <c r="E1036" s="209">
        <v>0</v>
      </c>
      <c r="F1036" s="209">
        <v>12</v>
      </c>
      <c r="G1036" s="209">
        <v>12</v>
      </c>
      <c r="H1036" s="209">
        <v>0</v>
      </c>
      <c r="I1036" s="209">
        <v>2</v>
      </c>
      <c r="J1036" s="209">
        <v>2</v>
      </c>
      <c r="K1036" s="209">
        <v>1275</v>
      </c>
    </row>
    <row r="1037" spans="1:11" ht="24.75" customHeight="1">
      <c r="A1037" s="208">
        <v>42656</v>
      </c>
      <c r="B1037" s="209" t="s">
        <v>519</v>
      </c>
      <c r="C1037" s="226">
        <v>300009358299</v>
      </c>
      <c r="D1037" s="272" t="s">
        <v>520</v>
      </c>
      <c r="E1037" s="209">
        <v>0</v>
      </c>
      <c r="F1037" s="209">
        <v>3</v>
      </c>
      <c r="G1037" s="209">
        <v>3</v>
      </c>
      <c r="H1037" s="209">
        <v>0</v>
      </c>
      <c r="I1037" s="209">
        <v>1</v>
      </c>
      <c r="J1037" s="209">
        <v>1</v>
      </c>
      <c r="K1037" s="209">
        <v>1405</v>
      </c>
    </row>
    <row r="1038" spans="1:11" ht="24.75" customHeight="1">
      <c r="A1038" s="208">
        <v>42656</v>
      </c>
      <c r="B1038" s="209" t="s">
        <v>519</v>
      </c>
      <c r="C1038" s="226">
        <v>300009358300</v>
      </c>
      <c r="D1038" s="272" t="s">
        <v>521</v>
      </c>
      <c r="E1038" s="209">
        <v>0</v>
      </c>
      <c r="F1038" s="209">
        <v>4</v>
      </c>
      <c r="G1038" s="209">
        <v>4</v>
      </c>
      <c r="H1038" s="209">
        <v>0</v>
      </c>
      <c r="I1038" s="209">
        <v>0</v>
      </c>
      <c r="J1038" s="209">
        <v>0</v>
      </c>
      <c r="K1038" s="209">
        <v>1356</v>
      </c>
    </row>
    <row r="1039" spans="1:11" ht="24.75" customHeight="1">
      <c r="A1039" s="208">
        <v>42656</v>
      </c>
      <c r="B1039" s="209" t="s">
        <v>519</v>
      </c>
      <c r="C1039" s="226">
        <v>300009410229</v>
      </c>
      <c r="D1039" s="272" t="s">
        <v>279</v>
      </c>
      <c r="E1039" s="209">
        <v>0</v>
      </c>
      <c r="F1039" s="209">
        <v>1</v>
      </c>
      <c r="G1039" s="209">
        <v>1</v>
      </c>
      <c r="H1039" s="209">
        <v>0</v>
      </c>
      <c r="I1039" s="209">
        <v>0</v>
      </c>
      <c r="J1039" s="209">
        <v>0</v>
      </c>
      <c r="K1039" s="209">
        <v>104</v>
      </c>
    </row>
    <row r="1040" spans="1:11" ht="24.75" customHeight="1">
      <c r="A1040" s="208">
        <v>42656</v>
      </c>
      <c r="B1040" s="209" t="s">
        <v>519</v>
      </c>
      <c r="C1040" s="226">
        <v>300009822212</v>
      </c>
      <c r="D1040" s="272" t="s">
        <v>530</v>
      </c>
      <c r="E1040" s="209">
        <v>0</v>
      </c>
      <c r="F1040" s="209">
        <v>0</v>
      </c>
      <c r="G1040" s="209">
        <v>0</v>
      </c>
      <c r="H1040" s="209">
        <v>0</v>
      </c>
      <c r="I1040" s="209">
        <v>0</v>
      </c>
      <c r="J1040" s="209">
        <v>0</v>
      </c>
      <c r="K1040" s="209">
        <v>423</v>
      </c>
    </row>
    <row r="1041" spans="1:11" ht="24.75" customHeight="1">
      <c r="A1041" s="208">
        <v>42656</v>
      </c>
      <c r="B1041" s="209" t="s">
        <v>519</v>
      </c>
      <c r="C1041" s="226">
        <v>300009842225</v>
      </c>
      <c r="D1041" s="272" t="s">
        <v>524</v>
      </c>
      <c r="E1041" s="209">
        <v>0</v>
      </c>
      <c r="F1041" s="209">
        <v>26</v>
      </c>
      <c r="G1041" s="209">
        <v>26</v>
      </c>
      <c r="H1041" s="209">
        <v>0</v>
      </c>
      <c r="I1041" s="209">
        <v>26</v>
      </c>
      <c r="J1041" s="209">
        <v>26</v>
      </c>
      <c r="K1041" s="209">
        <v>4190</v>
      </c>
    </row>
    <row r="1042" spans="1:11" ht="24.75" customHeight="1">
      <c r="A1042" s="208">
        <v>42656</v>
      </c>
      <c r="B1042" s="209" t="s">
        <v>529</v>
      </c>
      <c r="C1042" s="226">
        <v>300009003496</v>
      </c>
      <c r="D1042" s="272" t="s">
        <v>546</v>
      </c>
      <c r="E1042" s="209">
        <v>0</v>
      </c>
      <c r="F1042" s="209">
        <v>0</v>
      </c>
      <c r="G1042" s="209">
        <v>0</v>
      </c>
      <c r="H1042" s="209" t="s">
        <v>242</v>
      </c>
      <c r="I1042" s="209" t="s">
        <v>242</v>
      </c>
      <c r="J1042" s="209" t="s">
        <v>242</v>
      </c>
      <c r="K1042" s="209">
        <v>0</v>
      </c>
    </row>
    <row r="1043" spans="1:11" ht="24.75" customHeight="1">
      <c r="A1043" s="208">
        <v>42656</v>
      </c>
      <c r="B1043" s="209" t="s">
        <v>529</v>
      </c>
      <c r="C1043" s="226">
        <v>300008467005</v>
      </c>
      <c r="D1043" s="272" t="s">
        <v>540</v>
      </c>
      <c r="E1043" s="209">
        <v>0</v>
      </c>
      <c r="F1043" s="209">
        <v>13</v>
      </c>
      <c r="G1043" s="209">
        <v>13</v>
      </c>
      <c r="H1043" s="209">
        <v>0</v>
      </c>
      <c r="I1043" s="209">
        <v>6</v>
      </c>
      <c r="J1043" s="209">
        <v>6</v>
      </c>
      <c r="K1043" s="209">
        <v>348</v>
      </c>
    </row>
    <row r="1044" spans="1:11" ht="24.75" customHeight="1">
      <c r="A1044" s="208">
        <v>42656</v>
      </c>
      <c r="B1044" s="209" t="s">
        <v>529</v>
      </c>
      <c r="C1044" s="226">
        <v>300009184067</v>
      </c>
      <c r="D1044" s="272" t="s">
        <v>233</v>
      </c>
      <c r="E1044" s="209">
        <v>0</v>
      </c>
      <c r="F1044" s="209">
        <v>0</v>
      </c>
      <c r="G1044" s="209">
        <v>0</v>
      </c>
      <c r="H1044" s="209">
        <v>0</v>
      </c>
      <c r="I1044" s="209">
        <v>0</v>
      </c>
      <c r="J1044" s="209">
        <v>0</v>
      </c>
      <c r="K1044" s="209">
        <v>0</v>
      </c>
    </row>
    <row r="1045" spans="1:11" ht="24.75" customHeight="1">
      <c r="A1045" s="208">
        <v>42656</v>
      </c>
      <c r="B1045" s="209" t="s">
        <v>529</v>
      </c>
      <c r="C1045" s="226">
        <v>300009190343</v>
      </c>
      <c r="D1045" s="272" t="s">
        <v>541</v>
      </c>
      <c r="E1045" s="209">
        <v>0</v>
      </c>
      <c r="F1045" s="209">
        <v>1</v>
      </c>
      <c r="G1045" s="209">
        <v>1</v>
      </c>
      <c r="H1045" s="209">
        <v>0</v>
      </c>
      <c r="I1045" s="209">
        <v>0</v>
      </c>
      <c r="J1045" s="209">
        <v>0</v>
      </c>
      <c r="K1045" s="209">
        <v>1361</v>
      </c>
    </row>
    <row r="1046" spans="1:11" ht="24.75" customHeight="1">
      <c r="A1046" s="208">
        <v>42656</v>
      </c>
      <c r="B1046" s="209" t="s">
        <v>529</v>
      </c>
      <c r="C1046" s="226">
        <v>300009190346</v>
      </c>
      <c r="D1046" s="272" t="s">
        <v>528</v>
      </c>
      <c r="E1046" s="209">
        <v>0</v>
      </c>
      <c r="F1046" s="209">
        <v>1</v>
      </c>
      <c r="G1046" s="209">
        <v>1</v>
      </c>
      <c r="H1046" s="209">
        <v>0</v>
      </c>
      <c r="I1046" s="209">
        <v>0</v>
      </c>
      <c r="J1046" s="209">
        <v>0</v>
      </c>
      <c r="K1046" s="209">
        <v>0</v>
      </c>
    </row>
    <row r="1047" spans="1:11" ht="24.75" customHeight="1">
      <c r="A1047" s="208">
        <v>42656</v>
      </c>
      <c r="B1047" s="209" t="s">
        <v>529</v>
      </c>
      <c r="C1047" s="226">
        <v>300009190385</v>
      </c>
      <c r="D1047" s="272" t="s">
        <v>538</v>
      </c>
      <c r="E1047" s="209">
        <v>0</v>
      </c>
      <c r="F1047" s="209">
        <v>0</v>
      </c>
      <c r="G1047" s="209">
        <v>0</v>
      </c>
      <c r="H1047" s="209">
        <v>0</v>
      </c>
      <c r="I1047" s="209">
        <v>0</v>
      </c>
      <c r="J1047" s="209">
        <v>0</v>
      </c>
      <c r="K1047" s="209">
        <v>499</v>
      </c>
    </row>
    <row r="1048" spans="1:11" ht="24.75" customHeight="1">
      <c r="A1048" s="208">
        <v>42656</v>
      </c>
      <c r="B1048" s="209" t="s">
        <v>529</v>
      </c>
      <c r="C1048" s="226">
        <v>300009191923</v>
      </c>
      <c r="D1048" s="272" t="s">
        <v>545</v>
      </c>
      <c r="E1048" s="209">
        <v>0</v>
      </c>
      <c r="F1048" s="209">
        <v>0</v>
      </c>
      <c r="G1048" s="209">
        <v>0</v>
      </c>
      <c r="H1048" s="209">
        <v>0</v>
      </c>
      <c r="I1048" s="209">
        <v>0</v>
      </c>
      <c r="J1048" s="209">
        <v>0</v>
      </c>
      <c r="K1048" s="209">
        <v>0</v>
      </c>
    </row>
    <row r="1049" spans="1:11" ht="24.75" customHeight="1">
      <c r="A1049" s="208">
        <v>42656</v>
      </c>
      <c r="B1049" s="209" t="s">
        <v>529</v>
      </c>
      <c r="C1049" s="226">
        <v>300009197635</v>
      </c>
      <c r="D1049" s="272" t="s">
        <v>282</v>
      </c>
      <c r="E1049" s="209">
        <v>0</v>
      </c>
      <c r="F1049" s="209">
        <v>4</v>
      </c>
      <c r="G1049" s="209">
        <v>4</v>
      </c>
      <c r="H1049" s="209">
        <v>0</v>
      </c>
      <c r="I1049" s="209">
        <v>1</v>
      </c>
      <c r="J1049" s="209">
        <v>1</v>
      </c>
      <c r="K1049" s="209">
        <v>2054</v>
      </c>
    </row>
    <row r="1050" spans="1:11" ht="24.75" customHeight="1">
      <c r="A1050" s="208">
        <v>42656</v>
      </c>
      <c r="B1050" s="209" t="s">
        <v>529</v>
      </c>
      <c r="C1050" s="226">
        <v>300009197814</v>
      </c>
      <c r="D1050" s="272" t="s">
        <v>533</v>
      </c>
      <c r="E1050" s="209">
        <v>0</v>
      </c>
      <c r="F1050" s="209">
        <v>4</v>
      </c>
      <c r="G1050" s="209">
        <v>4</v>
      </c>
      <c r="H1050" s="209">
        <v>0</v>
      </c>
      <c r="I1050" s="209">
        <v>3</v>
      </c>
      <c r="J1050" s="209">
        <v>3</v>
      </c>
      <c r="K1050" s="209">
        <v>1680</v>
      </c>
    </row>
    <row r="1051" spans="1:11" ht="24.75" customHeight="1">
      <c r="A1051" s="208">
        <v>42656</v>
      </c>
      <c r="B1051" s="209" t="s">
        <v>529</v>
      </c>
      <c r="C1051" s="226">
        <v>300009208033</v>
      </c>
      <c r="D1051" s="272" t="s">
        <v>548</v>
      </c>
      <c r="E1051" s="209">
        <v>0</v>
      </c>
      <c r="F1051" s="209">
        <v>0</v>
      </c>
      <c r="G1051" s="209">
        <v>0</v>
      </c>
      <c r="H1051" s="209">
        <v>0</v>
      </c>
      <c r="I1051" s="209">
        <v>0</v>
      </c>
      <c r="J1051" s="209">
        <v>0</v>
      </c>
      <c r="K1051" s="209">
        <v>957</v>
      </c>
    </row>
    <row r="1052" spans="1:11" ht="24.75" customHeight="1">
      <c r="A1052" s="208">
        <v>42656</v>
      </c>
      <c r="B1052" s="209" t="s">
        <v>529</v>
      </c>
      <c r="C1052" s="226">
        <v>300009208675</v>
      </c>
      <c r="D1052" s="272" t="s">
        <v>535</v>
      </c>
      <c r="E1052" s="209">
        <v>0</v>
      </c>
      <c r="F1052" s="209">
        <v>0</v>
      </c>
      <c r="G1052" s="209">
        <v>0</v>
      </c>
      <c r="H1052" s="209">
        <v>0</v>
      </c>
      <c r="I1052" s="209">
        <v>0</v>
      </c>
      <c r="J1052" s="209">
        <v>0</v>
      </c>
      <c r="K1052" s="209">
        <v>1690</v>
      </c>
    </row>
    <row r="1053" spans="1:11" ht="24.75" customHeight="1">
      <c r="A1053" s="208">
        <v>42656</v>
      </c>
      <c r="B1053" s="209" t="s">
        <v>529</v>
      </c>
      <c r="C1053" s="226">
        <v>300009208680</v>
      </c>
      <c r="D1053" s="272" t="s">
        <v>532</v>
      </c>
      <c r="E1053" s="209">
        <v>0</v>
      </c>
      <c r="F1053" s="209">
        <v>3</v>
      </c>
      <c r="G1053" s="209">
        <v>3</v>
      </c>
      <c r="H1053" s="209">
        <v>0</v>
      </c>
      <c r="I1053" s="209">
        <v>1</v>
      </c>
      <c r="J1053" s="209">
        <v>1</v>
      </c>
      <c r="K1053" s="209">
        <v>1827</v>
      </c>
    </row>
    <row r="1054" spans="1:11" ht="24.75" customHeight="1">
      <c r="A1054" s="208">
        <v>42656</v>
      </c>
      <c r="B1054" s="209" t="s">
        <v>529</v>
      </c>
      <c r="C1054" s="226">
        <v>300009211922</v>
      </c>
      <c r="D1054" s="209" t="s">
        <v>523</v>
      </c>
      <c r="E1054" s="209">
        <v>0</v>
      </c>
      <c r="F1054" s="209">
        <v>0</v>
      </c>
      <c r="G1054" s="209">
        <v>0</v>
      </c>
      <c r="H1054" s="209">
        <v>0</v>
      </c>
      <c r="I1054" s="209">
        <v>0</v>
      </c>
      <c r="J1054" s="209">
        <v>0</v>
      </c>
      <c r="K1054" s="209">
        <v>75</v>
      </c>
    </row>
    <row r="1055" spans="1:11" ht="24.75" customHeight="1">
      <c r="A1055" s="208">
        <v>42656</v>
      </c>
      <c r="B1055" s="209" t="s">
        <v>529</v>
      </c>
      <c r="C1055" s="226">
        <v>300009212855</v>
      </c>
      <c r="D1055" s="272" t="s">
        <v>536</v>
      </c>
      <c r="E1055" s="209">
        <v>1</v>
      </c>
      <c r="F1055" s="209">
        <v>18</v>
      </c>
      <c r="G1055" s="209">
        <v>18</v>
      </c>
      <c r="H1055" s="209">
        <v>0</v>
      </c>
      <c r="I1055" s="209">
        <v>0</v>
      </c>
      <c r="J1055" s="209">
        <v>0</v>
      </c>
      <c r="K1055" s="209">
        <v>1222</v>
      </c>
    </row>
    <row r="1056" spans="1:11" ht="24.75" customHeight="1">
      <c r="A1056" s="208">
        <v>42656</v>
      </c>
      <c r="B1056" s="209" t="s">
        <v>529</v>
      </c>
      <c r="C1056" s="226">
        <v>300009232016</v>
      </c>
      <c r="D1056" s="272" t="s">
        <v>499</v>
      </c>
      <c r="E1056" s="209">
        <v>0</v>
      </c>
      <c r="F1056" s="209">
        <v>1</v>
      </c>
      <c r="G1056" s="209">
        <v>1</v>
      </c>
      <c r="H1056" s="209">
        <v>0</v>
      </c>
      <c r="I1056" s="209">
        <v>1</v>
      </c>
      <c r="J1056" s="209">
        <v>1</v>
      </c>
      <c r="K1056" s="209">
        <v>1590</v>
      </c>
    </row>
    <row r="1057" spans="1:11" ht="24.75" customHeight="1">
      <c r="A1057" s="208">
        <v>42656</v>
      </c>
      <c r="B1057" s="209" t="s">
        <v>529</v>
      </c>
      <c r="C1057" s="226">
        <v>300009240032</v>
      </c>
      <c r="D1057" s="272" t="s">
        <v>542</v>
      </c>
      <c r="E1057" s="209">
        <v>0</v>
      </c>
      <c r="F1057" s="209">
        <v>0</v>
      </c>
      <c r="G1057" s="209">
        <v>0</v>
      </c>
      <c r="H1057" s="209">
        <v>0</v>
      </c>
      <c r="I1057" s="209">
        <v>0</v>
      </c>
      <c r="J1057" s="209">
        <v>0</v>
      </c>
      <c r="K1057" s="209">
        <v>8</v>
      </c>
    </row>
    <row r="1058" spans="1:11" ht="24.75" customHeight="1">
      <c r="A1058" s="208">
        <v>42656</v>
      </c>
      <c r="B1058" s="209" t="s">
        <v>529</v>
      </c>
      <c r="C1058" s="226">
        <v>300009249957</v>
      </c>
      <c r="D1058" s="272" t="s">
        <v>537</v>
      </c>
      <c r="E1058" s="209">
        <v>0</v>
      </c>
      <c r="F1058" s="209">
        <v>2</v>
      </c>
      <c r="G1058" s="209">
        <v>2</v>
      </c>
      <c r="H1058" s="209">
        <v>0</v>
      </c>
      <c r="I1058" s="209">
        <v>2</v>
      </c>
      <c r="J1058" s="209">
        <v>2</v>
      </c>
      <c r="K1058" s="209">
        <v>1623</v>
      </c>
    </row>
    <row r="1059" spans="1:11" ht="24.75" customHeight="1">
      <c r="A1059" s="208">
        <v>42656</v>
      </c>
      <c r="B1059" s="209" t="s">
        <v>529</v>
      </c>
      <c r="C1059" s="226">
        <v>300009288214</v>
      </c>
      <c r="D1059" s="272" t="s">
        <v>547</v>
      </c>
      <c r="E1059" s="209">
        <v>0</v>
      </c>
      <c r="F1059" s="209">
        <v>0</v>
      </c>
      <c r="G1059" s="209">
        <v>0</v>
      </c>
      <c r="H1059" s="209">
        <v>0</v>
      </c>
      <c r="I1059" s="209">
        <v>0</v>
      </c>
      <c r="J1059" s="209">
        <v>0</v>
      </c>
      <c r="K1059" s="209">
        <v>0</v>
      </c>
    </row>
    <row r="1060" spans="1:11" ht="24.75" customHeight="1">
      <c r="A1060" s="208">
        <v>42656</v>
      </c>
      <c r="B1060" s="209" t="s">
        <v>529</v>
      </c>
      <c r="C1060" s="226">
        <v>300009288265</v>
      </c>
      <c r="D1060" s="272" t="s">
        <v>531</v>
      </c>
      <c r="E1060" s="209">
        <v>0</v>
      </c>
      <c r="F1060" s="209">
        <v>8</v>
      </c>
      <c r="G1060" s="209">
        <v>8</v>
      </c>
      <c r="H1060" s="209">
        <v>0</v>
      </c>
      <c r="I1060" s="209">
        <v>2</v>
      </c>
      <c r="J1060" s="209">
        <v>2</v>
      </c>
      <c r="K1060" s="209">
        <v>2225</v>
      </c>
    </row>
    <row r="1061" spans="1:11" ht="24.75" customHeight="1">
      <c r="A1061" s="208">
        <v>42656</v>
      </c>
      <c r="B1061" s="209" t="s">
        <v>529</v>
      </c>
      <c r="C1061" s="226">
        <v>300009290227</v>
      </c>
      <c r="D1061" s="272" t="s">
        <v>534</v>
      </c>
      <c r="E1061" s="209">
        <v>0</v>
      </c>
      <c r="F1061" s="209">
        <v>1</v>
      </c>
      <c r="G1061" s="209">
        <v>1</v>
      </c>
      <c r="H1061" s="209">
        <v>0</v>
      </c>
      <c r="I1061" s="209">
        <v>1</v>
      </c>
      <c r="J1061" s="209">
        <v>1</v>
      </c>
      <c r="K1061" s="209">
        <v>676</v>
      </c>
    </row>
    <row r="1062" spans="1:11" ht="24.75" customHeight="1">
      <c r="A1062" s="208">
        <v>42656</v>
      </c>
      <c r="B1062" s="209" t="s">
        <v>529</v>
      </c>
      <c r="C1062" s="226">
        <v>300009294244</v>
      </c>
      <c r="D1062" s="272" t="s">
        <v>539</v>
      </c>
      <c r="E1062" s="209">
        <v>0</v>
      </c>
      <c r="F1062" s="209">
        <v>7</v>
      </c>
      <c r="G1062" s="209">
        <v>7</v>
      </c>
      <c r="H1062" s="209">
        <v>0</v>
      </c>
      <c r="I1062" s="209">
        <v>2</v>
      </c>
      <c r="J1062" s="209">
        <v>2</v>
      </c>
      <c r="K1062" s="209">
        <v>1804</v>
      </c>
    </row>
    <row r="1063" spans="1:11" ht="24.75" customHeight="1">
      <c r="A1063" s="208">
        <v>42656</v>
      </c>
      <c r="B1063" s="209" t="s">
        <v>529</v>
      </c>
      <c r="C1063" s="226">
        <v>300009328320</v>
      </c>
      <c r="D1063" s="272" t="s">
        <v>543</v>
      </c>
      <c r="E1063" s="209">
        <v>0</v>
      </c>
      <c r="F1063" s="209">
        <v>0</v>
      </c>
      <c r="G1063" s="209">
        <v>0</v>
      </c>
      <c r="H1063" s="209">
        <v>0</v>
      </c>
      <c r="I1063" s="209">
        <v>0</v>
      </c>
      <c r="J1063" s="209">
        <v>0</v>
      </c>
      <c r="K1063" s="209">
        <v>47</v>
      </c>
    </row>
    <row r="1064" spans="1:11" ht="24.75" customHeight="1">
      <c r="A1064" s="208">
        <v>42656</v>
      </c>
      <c r="B1064" s="209" t="s">
        <v>529</v>
      </c>
      <c r="C1064" s="226">
        <v>300009406202</v>
      </c>
      <c r="D1064" s="272" t="s">
        <v>232</v>
      </c>
      <c r="E1064" s="209">
        <v>1</v>
      </c>
      <c r="F1064" s="209">
        <v>5</v>
      </c>
      <c r="G1064" s="209">
        <v>5</v>
      </c>
      <c r="H1064" s="209">
        <v>0</v>
      </c>
      <c r="I1064" s="209">
        <v>1</v>
      </c>
      <c r="J1064" s="209">
        <v>1</v>
      </c>
      <c r="K1064" s="209">
        <v>1266</v>
      </c>
    </row>
    <row r="1065" spans="1:11" ht="24.75" customHeight="1">
      <c r="A1065" s="208">
        <v>42656</v>
      </c>
      <c r="B1065" s="209" t="s">
        <v>529</v>
      </c>
      <c r="C1065" s="226">
        <v>300009822212</v>
      </c>
      <c r="D1065" s="272" t="s">
        <v>530</v>
      </c>
      <c r="E1065" s="209">
        <v>4</v>
      </c>
      <c r="F1065" s="209">
        <v>84</v>
      </c>
      <c r="G1065" s="209">
        <v>70.53</v>
      </c>
      <c r="H1065" s="209">
        <v>0</v>
      </c>
      <c r="I1065" s="209">
        <v>27</v>
      </c>
      <c r="J1065" s="209">
        <v>22.67</v>
      </c>
      <c r="K1065" s="209">
        <v>11910</v>
      </c>
    </row>
    <row r="1066" spans="1:11" ht="24.75" customHeight="1">
      <c r="A1066" s="208">
        <v>42656</v>
      </c>
      <c r="B1066" s="209" t="s">
        <v>529</v>
      </c>
      <c r="C1066" s="226">
        <v>300009972231</v>
      </c>
      <c r="D1066" s="272" t="s">
        <v>566</v>
      </c>
      <c r="E1066" s="209">
        <v>0</v>
      </c>
      <c r="F1066" s="209">
        <v>0</v>
      </c>
      <c r="G1066" s="209">
        <v>0</v>
      </c>
      <c r="H1066" s="209">
        <v>0</v>
      </c>
      <c r="I1066" s="209">
        <v>0</v>
      </c>
      <c r="J1066" s="209">
        <v>0</v>
      </c>
      <c r="K1066" s="209">
        <v>596</v>
      </c>
    </row>
    <row r="1067" spans="1:11" ht="24.75" customHeight="1">
      <c r="A1067" s="208">
        <v>42656</v>
      </c>
      <c r="B1067" s="209" t="s">
        <v>529</v>
      </c>
      <c r="C1067" s="226">
        <v>300009972233</v>
      </c>
      <c r="D1067" s="272" t="s">
        <v>544</v>
      </c>
      <c r="E1067" s="209">
        <v>0</v>
      </c>
      <c r="F1067" s="209">
        <v>3</v>
      </c>
      <c r="G1067" s="209">
        <v>3</v>
      </c>
      <c r="H1067" s="209">
        <v>0</v>
      </c>
      <c r="I1067" s="209">
        <v>3</v>
      </c>
      <c r="J1067" s="209">
        <v>3</v>
      </c>
      <c r="K1067" s="209">
        <v>2</v>
      </c>
    </row>
    <row r="1068" spans="1:11" ht="24.75" customHeight="1">
      <c r="A1068" s="208">
        <v>42657</v>
      </c>
      <c r="B1068" s="209" t="s">
        <v>511</v>
      </c>
      <c r="C1068" s="226">
        <v>300007704986</v>
      </c>
      <c r="D1068" s="272" t="s">
        <v>283</v>
      </c>
      <c r="E1068" s="209">
        <v>0</v>
      </c>
      <c r="F1068" s="209">
        <v>0</v>
      </c>
      <c r="G1068" s="209">
        <v>0</v>
      </c>
      <c r="H1068" s="209">
        <v>0</v>
      </c>
      <c r="I1068" s="209">
        <v>0</v>
      </c>
      <c r="J1068" s="209">
        <v>0</v>
      </c>
      <c r="K1068" s="209">
        <v>1</v>
      </c>
    </row>
    <row r="1069" spans="1:11" ht="24.75" customHeight="1">
      <c r="A1069" s="208">
        <v>42657</v>
      </c>
      <c r="B1069" s="209" t="s">
        <v>511</v>
      </c>
      <c r="C1069" s="226">
        <v>300007875924</v>
      </c>
      <c r="D1069" s="209" t="s">
        <v>492</v>
      </c>
      <c r="E1069" s="209">
        <v>0</v>
      </c>
      <c r="F1069" s="209">
        <v>0</v>
      </c>
      <c r="G1069" s="209">
        <v>0</v>
      </c>
      <c r="H1069" s="209">
        <v>0</v>
      </c>
      <c r="I1069" s="209">
        <v>0</v>
      </c>
      <c r="J1069" s="209">
        <v>0</v>
      </c>
      <c r="K1069" s="209">
        <v>1</v>
      </c>
    </row>
    <row r="1070" spans="1:11" ht="24.75" customHeight="1">
      <c r="A1070" s="208">
        <v>42657</v>
      </c>
      <c r="B1070" s="209" t="s">
        <v>511</v>
      </c>
      <c r="C1070" s="226">
        <v>300008193965</v>
      </c>
      <c r="D1070" s="272" t="s">
        <v>512</v>
      </c>
      <c r="E1070" s="209">
        <v>0</v>
      </c>
      <c r="F1070" s="209">
        <v>0</v>
      </c>
      <c r="G1070" s="209">
        <v>0</v>
      </c>
      <c r="H1070" s="209">
        <v>0</v>
      </c>
      <c r="I1070" s="209">
        <v>0</v>
      </c>
      <c r="J1070" s="209">
        <v>0</v>
      </c>
      <c r="K1070" s="209">
        <v>5</v>
      </c>
    </row>
    <row r="1071" spans="1:11" ht="24.75" customHeight="1">
      <c r="A1071" s="208">
        <v>42657</v>
      </c>
      <c r="B1071" s="209" t="s">
        <v>511</v>
      </c>
      <c r="C1071" s="226">
        <v>300008219979</v>
      </c>
      <c r="D1071" s="272" t="s">
        <v>517</v>
      </c>
      <c r="E1071" s="209">
        <v>0</v>
      </c>
      <c r="F1071" s="209">
        <v>0</v>
      </c>
      <c r="G1071" s="209">
        <v>0</v>
      </c>
      <c r="H1071" s="209">
        <v>0</v>
      </c>
      <c r="I1071" s="209">
        <v>0</v>
      </c>
      <c r="J1071" s="209">
        <v>0</v>
      </c>
      <c r="K1071" s="209">
        <v>1</v>
      </c>
    </row>
    <row r="1072" spans="1:11" ht="24.75" customHeight="1">
      <c r="A1072" s="208">
        <v>42657</v>
      </c>
      <c r="B1072" s="209" t="s">
        <v>511</v>
      </c>
      <c r="C1072" s="226">
        <v>300008244937</v>
      </c>
      <c r="D1072" s="272" t="s">
        <v>272</v>
      </c>
      <c r="E1072" s="209">
        <v>0</v>
      </c>
      <c r="F1072" s="209">
        <v>1</v>
      </c>
      <c r="G1072" s="209">
        <v>1</v>
      </c>
      <c r="H1072" s="209">
        <v>0</v>
      </c>
      <c r="I1072" s="209">
        <v>0</v>
      </c>
      <c r="J1072" s="209">
        <v>0</v>
      </c>
      <c r="K1072" s="209">
        <v>0</v>
      </c>
    </row>
    <row r="1073" spans="1:11" ht="24.75" customHeight="1">
      <c r="A1073" s="208">
        <v>42657</v>
      </c>
      <c r="B1073" s="209" t="s">
        <v>511</v>
      </c>
      <c r="C1073" s="226">
        <v>300008508327</v>
      </c>
      <c r="D1073" s="209" t="s">
        <v>501</v>
      </c>
      <c r="E1073" s="209">
        <v>0</v>
      </c>
      <c r="F1073" s="209">
        <v>2</v>
      </c>
      <c r="G1073" s="209">
        <v>2</v>
      </c>
      <c r="H1073" s="209">
        <v>0</v>
      </c>
      <c r="I1073" s="209">
        <v>1</v>
      </c>
      <c r="J1073" s="209">
        <v>1</v>
      </c>
      <c r="K1073" s="209">
        <v>1719</v>
      </c>
    </row>
    <row r="1074" spans="1:11" ht="24.75" customHeight="1">
      <c r="A1074" s="208">
        <v>42657</v>
      </c>
      <c r="B1074" s="209" t="s">
        <v>511</v>
      </c>
      <c r="C1074" s="226">
        <v>300008579657</v>
      </c>
      <c r="D1074" s="272" t="s">
        <v>513</v>
      </c>
      <c r="E1074" s="209">
        <v>0</v>
      </c>
      <c r="F1074" s="209">
        <v>1</v>
      </c>
      <c r="G1074" s="209">
        <v>1</v>
      </c>
      <c r="H1074" s="209">
        <v>0</v>
      </c>
      <c r="I1074" s="209">
        <v>1</v>
      </c>
      <c r="J1074" s="209">
        <v>1</v>
      </c>
      <c r="K1074" s="209">
        <v>0</v>
      </c>
    </row>
    <row r="1075" spans="1:11" ht="24.75" customHeight="1">
      <c r="A1075" s="208">
        <v>42657</v>
      </c>
      <c r="B1075" s="209" t="s">
        <v>511</v>
      </c>
      <c r="C1075" s="226">
        <v>300008841062</v>
      </c>
      <c r="D1075" s="272" t="s">
        <v>277</v>
      </c>
      <c r="E1075" s="209">
        <v>0</v>
      </c>
      <c r="F1075" s="209">
        <v>12</v>
      </c>
      <c r="G1075" s="209">
        <v>12</v>
      </c>
      <c r="H1075" s="209">
        <v>0</v>
      </c>
      <c r="I1075" s="209">
        <v>11</v>
      </c>
      <c r="J1075" s="209">
        <v>11</v>
      </c>
      <c r="K1075" s="209">
        <v>2940</v>
      </c>
    </row>
    <row r="1076" spans="1:11" ht="24.75" customHeight="1">
      <c r="A1076" s="208">
        <v>42657</v>
      </c>
      <c r="B1076" s="209" t="s">
        <v>511</v>
      </c>
      <c r="C1076" s="226">
        <v>300008853065</v>
      </c>
      <c r="D1076" s="272" t="s">
        <v>515</v>
      </c>
      <c r="E1076" s="209">
        <v>0</v>
      </c>
      <c r="F1076" s="209">
        <v>0</v>
      </c>
      <c r="G1076" s="209">
        <v>0</v>
      </c>
      <c r="H1076" s="209">
        <v>0</v>
      </c>
      <c r="I1076" s="209">
        <v>0</v>
      </c>
      <c r="J1076" s="209">
        <v>0</v>
      </c>
      <c r="K1076" s="209">
        <v>2</v>
      </c>
    </row>
    <row r="1077" spans="1:11" ht="24.75" customHeight="1">
      <c r="A1077" s="208">
        <v>42657</v>
      </c>
      <c r="B1077" s="209" t="s">
        <v>511</v>
      </c>
      <c r="C1077" s="226">
        <v>300008868585</v>
      </c>
      <c r="D1077" s="272" t="s">
        <v>495</v>
      </c>
      <c r="E1077" s="209">
        <v>0</v>
      </c>
      <c r="F1077" s="209">
        <v>5</v>
      </c>
      <c r="G1077" s="209">
        <v>5</v>
      </c>
      <c r="H1077" s="209">
        <v>0</v>
      </c>
      <c r="I1077" s="209">
        <v>1</v>
      </c>
      <c r="J1077" s="209">
        <v>1</v>
      </c>
      <c r="K1077" s="209">
        <v>739</v>
      </c>
    </row>
    <row r="1078" spans="1:11" ht="24.75" customHeight="1">
      <c r="A1078" s="208">
        <v>42657</v>
      </c>
      <c r="B1078" s="209" t="s">
        <v>511</v>
      </c>
      <c r="C1078" s="226">
        <v>300008993578</v>
      </c>
      <c r="D1078" s="272" t="s">
        <v>497</v>
      </c>
      <c r="E1078" s="209">
        <v>0</v>
      </c>
      <c r="F1078" s="209">
        <v>10</v>
      </c>
      <c r="G1078" s="209">
        <v>10</v>
      </c>
      <c r="H1078" s="209">
        <v>0</v>
      </c>
      <c r="I1078" s="209">
        <v>9</v>
      </c>
      <c r="J1078" s="209">
        <v>9</v>
      </c>
      <c r="K1078" s="209">
        <v>1788</v>
      </c>
    </row>
    <row r="1079" spans="1:11" ht="24.75" customHeight="1">
      <c r="A1079" s="208">
        <v>42657</v>
      </c>
      <c r="B1079" s="209" t="s">
        <v>511</v>
      </c>
      <c r="C1079" s="226">
        <v>300009003496</v>
      </c>
      <c r="D1079" s="272" t="s">
        <v>546</v>
      </c>
      <c r="E1079" s="209">
        <v>0</v>
      </c>
      <c r="F1079" s="209">
        <v>0</v>
      </c>
      <c r="G1079" s="209">
        <v>0</v>
      </c>
      <c r="H1079" s="209">
        <v>0</v>
      </c>
      <c r="I1079" s="209">
        <v>0</v>
      </c>
      <c r="J1079" s="209">
        <v>0</v>
      </c>
      <c r="K1079" s="209">
        <v>0</v>
      </c>
    </row>
    <row r="1080" spans="1:11" ht="24.75" customHeight="1">
      <c r="A1080" s="208">
        <v>42657</v>
      </c>
      <c r="B1080" s="209" t="s">
        <v>511</v>
      </c>
      <c r="C1080" s="226">
        <v>300009016017</v>
      </c>
      <c r="D1080" s="272" t="s">
        <v>498</v>
      </c>
      <c r="E1080" s="209">
        <v>0</v>
      </c>
      <c r="F1080" s="209">
        <v>1</v>
      </c>
      <c r="G1080" s="209">
        <v>1</v>
      </c>
      <c r="H1080" s="209">
        <v>0</v>
      </c>
      <c r="I1080" s="209">
        <v>0</v>
      </c>
      <c r="J1080" s="209">
        <v>0</v>
      </c>
      <c r="K1080" s="209">
        <v>341</v>
      </c>
    </row>
    <row r="1081" spans="1:11" ht="24.75" customHeight="1">
      <c r="A1081" s="208">
        <v>42657</v>
      </c>
      <c r="B1081" s="209" t="s">
        <v>511</v>
      </c>
      <c r="C1081" s="226">
        <v>300009151749</v>
      </c>
      <c r="D1081" s="272" t="s">
        <v>518</v>
      </c>
      <c r="E1081" s="209">
        <v>0</v>
      </c>
      <c r="F1081" s="209">
        <v>0</v>
      </c>
      <c r="G1081" s="209">
        <v>0</v>
      </c>
      <c r="H1081" s="209">
        <v>0</v>
      </c>
      <c r="I1081" s="209">
        <v>0</v>
      </c>
      <c r="J1081" s="209">
        <v>0</v>
      </c>
      <c r="K1081" s="209">
        <v>1</v>
      </c>
    </row>
    <row r="1082" spans="1:11" ht="24.75" customHeight="1">
      <c r="A1082" s="208">
        <v>42657</v>
      </c>
      <c r="B1082" s="209" t="s">
        <v>511</v>
      </c>
      <c r="C1082" s="226">
        <v>300009184067</v>
      </c>
      <c r="D1082" s="272" t="s">
        <v>233</v>
      </c>
      <c r="E1082" s="209">
        <v>0</v>
      </c>
      <c r="F1082" s="209">
        <v>0</v>
      </c>
      <c r="G1082" s="209">
        <v>0</v>
      </c>
      <c r="H1082" s="209">
        <v>0</v>
      </c>
      <c r="I1082" s="209">
        <v>0</v>
      </c>
      <c r="J1082" s="209">
        <v>0</v>
      </c>
      <c r="K1082" s="209">
        <v>0</v>
      </c>
    </row>
    <row r="1083" spans="1:11" ht="24.75" customHeight="1">
      <c r="A1083" s="208">
        <v>42657</v>
      </c>
      <c r="B1083" s="209" t="s">
        <v>511</v>
      </c>
      <c r="C1083" s="226">
        <v>300009185572</v>
      </c>
      <c r="D1083" s="272" t="s">
        <v>237</v>
      </c>
      <c r="E1083" s="209">
        <v>0</v>
      </c>
      <c r="F1083" s="209">
        <v>0</v>
      </c>
      <c r="G1083" s="209">
        <v>0</v>
      </c>
      <c r="H1083" s="209">
        <v>0</v>
      </c>
      <c r="I1083" s="209">
        <v>0</v>
      </c>
      <c r="J1083" s="209">
        <v>0</v>
      </c>
      <c r="K1083" s="209">
        <v>0</v>
      </c>
    </row>
    <row r="1084" spans="1:11" ht="24.75" customHeight="1">
      <c r="A1084" s="208">
        <v>42657</v>
      </c>
      <c r="B1084" s="209" t="s">
        <v>511</v>
      </c>
      <c r="C1084" s="226">
        <v>300009190374</v>
      </c>
      <c r="D1084" s="272" t="s">
        <v>516</v>
      </c>
      <c r="E1084" s="209">
        <v>0</v>
      </c>
      <c r="F1084" s="209">
        <v>0</v>
      </c>
      <c r="G1084" s="209">
        <v>0</v>
      </c>
      <c r="H1084" s="209">
        <v>0</v>
      </c>
      <c r="I1084" s="209">
        <v>0</v>
      </c>
      <c r="J1084" s="209">
        <v>0</v>
      </c>
      <c r="K1084" s="209">
        <v>1</v>
      </c>
    </row>
    <row r="1085" spans="1:11" ht="24.75" customHeight="1">
      <c r="A1085" s="208">
        <v>42657</v>
      </c>
      <c r="B1085" s="209" t="s">
        <v>511</v>
      </c>
      <c r="C1085" s="226">
        <v>300009192151</v>
      </c>
      <c r="D1085" s="272" t="s">
        <v>514</v>
      </c>
      <c r="E1085" s="209">
        <v>0</v>
      </c>
      <c r="F1085" s="209">
        <v>5</v>
      </c>
      <c r="G1085" s="209">
        <v>5</v>
      </c>
      <c r="H1085" s="209">
        <v>0</v>
      </c>
      <c r="I1085" s="209">
        <v>1</v>
      </c>
      <c r="J1085" s="209">
        <v>1</v>
      </c>
      <c r="K1085" s="209">
        <v>2064</v>
      </c>
    </row>
    <row r="1086" spans="1:11" ht="24.75" customHeight="1">
      <c r="A1086" s="208">
        <v>42657</v>
      </c>
      <c r="B1086" s="209" t="s">
        <v>511</v>
      </c>
      <c r="C1086" s="226">
        <v>300009193471</v>
      </c>
      <c r="D1086" s="272" t="s">
        <v>502</v>
      </c>
      <c r="E1086" s="209">
        <v>0</v>
      </c>
      <c r="F1086" s="209">
        <v>1</v>
      </c>
      <c r="G1086" s="209">
        <v>1</v>
      </c>
      <c r="H1086" s="209">
        <v>0</v>
      </c>
      <c r="I1086" s="209">
        <v>0</v>
      </c>
      <c r="J1086" s="209">
        <v>0</v>
      </c>
      <c r="K1086" s="209">
        <v>838</v>
      </c>
    </row>
    <row r="1087" spans="1:11" ht="24.75" customHeight="1">
      <c r="A1087" s="208">
        <v>42657</v>
      </c>
      <c r="B1087" s="209" t="s">
        <v>511</v>
      </c>
      <c r="C1087" s="226">
        <v>300009197635</v>
      </c>
      <c r="D1087" s="272" t="s">
        <v>282</v>
      </c>
      <c r="E1087" s="209">
        <v>0</v>
      </c>
      <c r="F1087" s="209">
        <v>6</v>
      </c>
      <c r="G1087" s="209">
        <v>6</v>
      </c>
      <c r="H1087" s="209">
        <v>0</v>
      </c>
      <c r="I1087" s="209">
        <v>0</v>
      </c>
      <c r="J1087" s="209">
        <v>0</v>
      </c>
      <c r="K1087" s="209">
        <v>3038</v>
      </c>
    </row>
    <row r="1088" spans="1:11" ht="24.75" customHeight="1">
      <c r="A1088" s="208">
        <v>42657</v>
      </c>
      <c r="B1088" s="209" t="s">
        <v>511</v>
      </c>
      <c r="C1088" s="226">
        <v>300009232016</v>
      </c>
      <c r="D1088" s="272" t="s">
        <v>499</v>
      </c>
      <c r="E1088" s="209">
        <v>0</v>
      </c>
      <c r="F1088" s="209">
        <v>5</v>
      </c>
      <c r="G1088" s="209">
        <v>5</v>
      </c>
      <c r="H1088" s="209">
        <v>0</v>
      </c>
      <c r="I1088" s="209">
        <v>5</v>
      </c>
      <c r="J1088" s="209">
        <v>5</v>
      </c>
      <c r="K1088" s="209">
        <v>2296</v>
      </c>
    </row>
    <row r="1089" spans="1:11" ht="24.75" customHeight="1">
      <c r="A1089" s="208">
        <v>42657</v>
      </c>
      <c r="B1089" s="209" t="s">
        <v>511</v>
      </c>
      <c r="C1089" s="226">
        <v>300009235971</v>
      </c>
      <c r="D1089" s="272" t="s">
        <v>241</v>
      </c>
      <c r="E1089" s="209">
        <v>0</v>
      </c>
      <c r="F1089" s="209">
        <v>0</v>
      </c>
      <c r="G1089" s="209">
        <v>0</v>
      </c>
      <c r="H1089" s="209">
        <v>0</v>
      </c>
      <c r="I1089" s="209">
        <v>0</v>
      </c>
      <c r="J1089" s="209">
        <v>0</v>
      </c>
      <c r="K1089" s="209">
        <v>0</v>
      </c>
    </row>
    <row r="1090" spans="1:11" ht="24.75" customHeight="1">
      <c r="A1090" s="208">
        <v>42657</v>
      </c>
      <c r="B1090" s="209" t="s">
        <v>511</v>
      </c>
      <c r="C1090" s="226">
        <v>300009358277</v>
      </c>
      <c r="D1090" s="272" t="s">
        <v>500</v>
      </c>
      <c r="E1090" s="209">
        <v>2</v>
      </c>
      <c r="F1090" s="209">
        <v>25</v>
      </c>
      <c r="G1090" s="209">
        <v>25</v>
      </c>
      <c r="H1090" s="209">
        <v>0</v>
      </c>
      <c r="I1090" s="209">
        <v>2</v>
      </c>
      <c r="J1090" s="209">
        <v>2</v>
      </c>
      <c r="K1090" s="209">
        <v>5093</v>
      </c>
    </row>
    <row r="1091" spans="1:11" ht="24.75" customHeight="1">
      <c r="A1091" s="208">
        <v>42657</v>
      </c>
      <c r="B1091" s="209" t="s">
        <v>511</v>
      </c>
      <c r="C1091" s="226">
        <v>300009374212</v>
      </c>
      <c r="D1091" s="272" t="s">
        <v>235</v>
      </c>
      <c r="E1091" s="209">
        <v>2</v>
      </c>
      <c r="F1091" s="209">
        <v>5</v>
      </c>
      <c r="G1091" s="209">
        <v>5</v>
      </c>
      <c r="H1091" s="209">
        <v>0</v>
      </c>
      <c r="I1091" s="209">
        <v>1</v>
      </c>
      <c r="J1091" s="209">
        <v>1</v>
      </c>
      <c r="K1091" s="209">
        <v>1233</v>
      </c>
    </row>
    <row r="1092" spans="1:11" ht="24.75" customHeight="1">
      <c r="A1092" s="208">
        <v>42657</v>
      </c>
      <c r="B1092" s="209" t="s">
        <v>511</v>
      </c>
      <c r="C1092" s="226">
        <v>300009406201</v>
      </c>
      <c r="D1092" s="272" t="s">
        <v>234</v>
      </c>
      <c r="E1092" s="209">
        <v>0</v>
      </c>
      <c r="F1092" s="209">
        <v>11</v>
      </c>
      <c r="G1092" s="209">
        <v>11</v>
      </c>
      <c r="H1092" s="209">
        <v>0</v>
      </c>
      <c r="I1092" s="209">
        <v>4</v>
      </c>
      <c r="J1092" s="209">
        <v>4</v>
      </c>
      <c r="K1092" s="209">
        <v>2007</v>
      </c>
    </row>
    <row r="1093" spans="1:11" ht="24.75" customHeight="1">
      <c r="A1093" s="208">
        <v>42657</v>
      </c>
      <c r="B1093" s="209" t="s">
        <v>511</v>
      </c>
      <c r="C1093" s="226">
        <v>300009406202</v>
      </c>
      <c r="D1093" s="272" t="s">
        <v>232</v>
      </c>
      <c r="E1093" s="209">
        <v>0</v>
      </c>
      <c r="F1093" s="209">
        <v>0</v>
      </c>
      <c r="G1093" s="209">
        <v>0</v>
      </c>
      <c r="H1093" s="209">
        <v>0</v>
      </c>
      <c r="I1093" s="209">
        <v>0</v>
      </c>
      <c r="J1093" s="209">
        <v>0</v>
      </c>
      <c r="K1093" s="209">
        <v>0</v>
      </c>
    </row>
    <row r="1094" spans="1:11" ht="24.75" customHeight="1">
      <c r="A1094" s="208">
        <v>42657</v>
      </c>
      <c r="B1094" s="209" t="s">
        <v>511</v>
      </c>
      <c r="C1094" s="226">
        <v>300009410229</v>
      </c>
      <c r="D1094" s="272" t="s">
        <v>279</v>
      </c>
      <c r="E1094" s="209">
        <v>0</v>
      </c>
      <c r="F1094" s="209">
        <v>0</v>
      </c>
      <c r="G1094" s="209">
        <v>0</v>
      </c>
      <c r="H1094" s="209">
        <v>0</v>
      </c>
      <c r="I1094" s="209">
        <v>0</v>
      </c>
      <c r="J1094" s="209">
        <v>0</v>
      </c>
      <c r="K1094" s="209">
        <v>47</v>
      </c>
    </row>
    <row r="1095" spans="1:11" ht="24.75" customHeight="1">
      <c r="A1095" s="208">
        <v>42657</v>
      </c>
      <c r="B1095" s="209" t="s">
        <v>511</v>
      </c>
      <c r="C1095" s="226">
        <v>300009480238</v>
      </c>
      <c r="D1095" s="272" t="s">
        <v>263</v>
      </c>
      <c r="E1095" s="209">
        <v>0</v>
      </c>
      <c r="F1095" s="209">
        <v>22</v>
      </c>
      <c r="G1095" s="209">
        <v>22</v>
      </c>
      <c r="H1095" s="209">
        <v>0</v>
      </c>
      <c r="I1095" s="209">
        <v>3</v>
      </c>
      <c r="J1095" s="209">
        <v>3</v>
      </c>
      <c r="K1095" s="209">
        <v>1172</v>
      </c>
    </row>
    <row r="1096" spans="1:11" ht="24.75" customHeight="1">
      <c r="A1096" s="208">
        <v>42657</v>
      </c>
      <c r="B1096" s="209" t="s">
        <v>519</v>
      </c>
      <c r="C1096" s="226">
        <v>300002932641</v>
      </c>
      <c r="D1096" s="272" t="s">
        <v>503</v>
      </c>
      <c r="E1096" s="209">
        <v>0</v>
      </c>
      <c r="F1096" s="209">
        <v>0</v>
      </c>
      <c r="G1096" s="209">
        <v>0</v>
      </c>
      <c r="H1096" s="209">
        <v>0</v>
      </c>
      <c r="I1096" s="209">
        <v>0</v>
      </c>
      <c r="J1096" s="209">
        <v>0</v>
      </c>
      <c r="K1096" s="209">
        <v>2</v>
      </c>
    </row>
    <row r="1097" spans="1:11" ht="24.75" customHeight="1">
      <c r="A1097" s="208">
        <v>42657</v>
      </c>
      <c r="B1097" s="209" t="s">
        <v>519</v>
      </c>
      <c r="C1097" s="226">
        <v>300008508327</v>
      </c>
      <c r="D1097" s="209" t="s">
        <v>501</v>
      </c>
      <c r="E1097" s="209">
        <v>0</v>
      </c>
      <c r="F1097" s="209">
        <v>4</v>
      </c>
      <c r="G1097" s="209">
        <v>4</v>
      </c>
      <c r="H1097" s="209">
        <v>0</v>
      </c>
      <c r="I1097" s="209">
        <v>4</v>
      </c>
      <c r="J1097" s="209">
        <v>4</v>
      </c>
      <c r="K1097" s="209">
        <v>1676</v>
      </c>
    </row>
    <row r="1098" spans="1:11" ht="24.75" customHeight="1">
      <c r="A1098" s="208">
        <v>42657</v>
      </c>
      <c r="B1098" s="209" t="s">
        <v>519</v>
      </c>
      <c r="C1098" s="226">
        <v>300008656423</v>
      </c>
      <c r="D1098" s="272" t="s">
        <v>522</v>
      </c>
      <c r="E1098" s="209">
        <v>0</v>
      </c>
      <c r="F1098" s="209">
        <v>0</v>
      </c>
      <c r="G1098" s="209">
        <v>0</v>
      </c>
      <c r="H1098" s="209">
        <v>0</v>
      </c>
      <c r="I1098" s="209">
        <v>0</v>
      </c>
      <c r="J1098" s="209">
        <v>0</v>
      </c>
      <c r="K1098" s="209">
        <v>5</v>
      </c>
    </row>
    <row r="1099" spans="1:11" ht="24.75" customHeight="1">
      <c r="A1099" s="208">
        <v>42657</v>
      </c>
      <c r="B1099" s="209" t="s">
        <v>519</v>
      </c>
      <c r="C1099" s="226">
        <v>300008841062</v>
      </c>
      <c r="D1099" s="272" t="s">
        <v>277</v>
      </c>
      <c r="E1099" s="209">
        <v>1</v>
      </c>
      <c r="F1099" s="209">
        <v>11</v>
      </c>
      <c r="G1099" s="209">
        <v>11</v>
      </c>
      <c r="H1099" s="209">
        <v>0</v>
      </c>
      <c r="I1099" s="209">
        <v>7</v>
      </c>
      <c r="J1099" s="209">
        <v>7</v>
      </c>
      <c r="K1099" s="209">
        <v>2655</v>
      </c>
    </row>
    <row r="1100" spans="1:11" ht="24.75" customHeight="1">
      <c r="A1100" s="208">
        <v>42657</v>
      </c>
      <c r="B1100" s="209" t="s">
        <v>519</v>
      </c>
      <c r="C1100" s="226">
        <v>300008993578</v>
      </c>
      <c r="D1100" s="272" t="s">
        <v>497</v>
      </c>
      <c r="E1100" s="209">
        <v>0</v>
      </c>
      <c r="F1100" s="209">
        <v>5</v>
      </c>
      <c r="G1100" s="209">
        <v>5</v>
      </c>
      <c r="H1100" s="209">
        <v>0</v>
      </c>
      <c r="I1100" s="209">
        <v>4</v>
      </c>
      <c r="J1100" s="209">
        <v>4</v>
      </c>
      <c r="K1100" s="209">
        <v>1745</v>
      </c>
    </row>
    <row r="1101" spans="1:11" ht="24.75" customHeight="1">
      <c r="A1101" s="208">
        <v>42657</v>
      </c>
      <c r="B1101" s="209" t="s">
        <v>519</v>
      </c>
      <c r="C1101" s="226">
        <v>300009000071</v>
      </c>
      <c r="D1101" s="209" t="s">
        <v>527</v>
      </c>
      <c r="E1101" s="209">
        <v>0</v>
      </c>
      <c r="F1101" s="209">
        <v>1</v>
      </c>
      <c r="G1101" s="209">
        <v>1</v>
      </c>
      <c r="H1101" s="209">
        <v>0</v>
      </c>
      <c r="I1101" s="209">
        <v>1</v>
      </c>
      <c r="J1101" s="209">
        <v>1</v>
      </c>
      <c r="K1101" s="209">
        <v>0</v>
      </c>
    </row>
    <row r="1102" spans="1:11" ht="24.75" customHeight="1">
      <c r="A1102" s="208">
        <v>42657</v>
      </c>
      <c r="B1102" s="209" t="s">
        <v>519</v>
      </c>
      <c r="C1102" s="226">
        <v>300009016017</v>
      </c>
      <c r="D1102" s="272" t="s">
        <v>498</v>
      </c>
      <c r="E1102" s="209">
        <v>0</v>
      </c>
      <c r="F1102" s="209">
        <v>1</v>
      </c>
      <c r="G1102" s="209">
        <v>1</v>
      </c>
      <c r="H1102" s="209">
        <v>0</v>
      </c>
      <c r="I1102" s="209">
        <v>0</v>
      </c>
      <c r="J1102" s="209">
        <v>0</v>
      </c>
      <c r="K1102" s="209">
        <v>354</v>
      </c>
    </row>
    <row r="1103" spans="1:11" ht="24.75" customHeight="1">
      <c r="A1103" s="208">
        <v>42657</v>
      </c>
      <c r="B1103" s="209" t="s">
        <v>519</v>
      </c>
      <c r="C1103" s="226">
        <v>300009185572</v>
      </c>
      <c r="D1103" s="272" t="s">
        <v>237</v>
      </c>
      <c r="E1103" s="209">
        <v>1</v>
      </c>
      <c r="F1103" s="209">
        <v>19</v>
      </c>
      <c r="G1103" s="209">
        <v>19</v>
      </c>
      <c r="H1103" s="209">
        <v>0</v>
      </c>
      <c r="I1103" s="209">
        <v>2</v>
      </c>
      <c r="J1103" s="209">
        <v>2</v>
      </c>
      <c r="K1103" s="209">
        <v>1734</v>
      </c>
    </row>
    <row r="1104" spans="1:11" ht="24.75" customHeight="1">
      <c r="A1104" s="208">
        <v>42657</v>
      </c>
      <c r="B1104" s="209" t="s">
        <v>519</v>
      </c>
      <c r="C1104" s="226">
        <v>300009190335</v>
      </c>
      <c r="D1104" s="272" t="s">
        <v>526</v>
      </c>
      <c r="E1104" s="209">
        <v>0</v>
      </c>
      <c r="F1104" s="209">
        <v>5</v>
      </c>
      <c r="G1104" s="209">
        <v>5</v>
      </c>
      <c r="H1104" s="209">
        <v>0</v>
      </c>
      <c r="I1104" s="209">
        <v>1</v>
      </c>
      <c r="J1104" s="209">
        <v>1</v>
      </c>
      <c r="K1104" s="209">
        <v>1</v>
      </c>
    </row>
    <row r="1105" spans="1:11" ht="24.75" customHeight="1">
      <c r="A1105" s="208">
        <v>42657</v>
      </c>
      <c r="B1105" s="209" t="s">
        <v>519</v>
      </c>
      <c r="C1105" s="226">
        <v>300009190346</v>
      </c>
      <c r="D1105" s="272" t="s">
        <v>528</v>
      </c>
      <c r="E1105" s="209">
        <v>0</v>
      </c>
      <c r="F1105" s="209">
        <v>1</v>
      </c>
      <c r="G1105" s="209">
        <v>1</v>
      </c>
      <c r="H1105" s="209">
        <v>0</v>
      </c>
      <c r="I1105" s="209">
        <v>0</v>
      </c>
      <c r="J1105" s="209">
        <v>0</v>
      </c>
      <c r="K1105" s="209">
        <v>0</v>
      </c>
    </row>
    <row r="1106" spans="1:11" ht="24.75" customHeight="1">
      <c r="A1106" s="208">
        <v>42657</v>
      </c>
      <c r="B1106" s="209" t="s">
        <v>519</v>
      </c>
      <c r="C1106" s="226">
        <v>300009193471</v>
      </c>
      <c r="D1106" s="272" t="s">
        <v>502</v>
      </c>
      <c r="E1106" s="209">
        <v>0</v>
      </c>
      <c r="F1106" s="209">
        <v>2</v>
      </c>
      <c r="G1106" s="209">
        <v>2</v>
      </c>
      <c r="H1106" s="209">
        <v>0</v>
      </c>
      <c r="I1106" s="209">
        <v>1</v>
      </c>
      <c r="J1106" s="209">
        <v>1</v>
      </c>
      <c r="K1106" s="209">
        <v>825</v>
      </c>
    </row>
    <row r="1107" spans="1:11" ht="24.75" customHeight="1">
      <c r="A1107" s="208">
        <v>42657</v>
      </c>
      <c r="B1107" s="209" t="s">
        <v>519</v>
      </c>
      <c r="C1107" s="226">
        <v>300009197635</v>
      </c>
      <c r="D1107" s="272" t="s">
        <v>282</v>
      </c>
      <c r="E1107" s="209">
        <v>0</v>
      </c>
      <c r="F1107" s="209">
        <v>9</v>
      </c>
      <c r="G1107" s="209">
        <v>9</v>
      </c>
      <c r="H1107" s="209">
        <v>0</v>
      </c>
      <c r="I1107" s="209">
        <v>1</v>
      </c>
      <c r="J1107" s="209">
        <v>1</v>
      </c>
      <c r="K1107" s="209">
        <v>3074</v>
      </c>
    </row>
    <row r="1108" spans="1:11" ht="24.75" customHeight="1">
      <c r="A1108" s="208">
        <v>42657</v>
      </c>
      <c r="B1108" s="209" t="s">
        <v>519</v>
      </c>
      <c r="C1108" s="226">
        <v>300009207968</v>
      </c>
      <c r="D1108" s="272" t="s">
        <v>525</v>
      </c>
      <c r="E1108" s="209">
        <v>1</v>
      </c>
      <c r="F1108" s="209">
        <v>21</v>
      </c>
      <c r="G1108" s="209">
        <v>21</v>
      </c>
      <c r="H1108" s="209">
        <v>0</v>
      </c>
      <c r="I1108" s="209">
        <v>5</v>
      </c>
      <c r="J1108" s="209">
        <v>5</v>
      </c>
      <c r="K1108" s="209">
        <v>1745</v>
      </c>
    </row>
    <row r="1109" spans="1:11" ht="24.75" customHeight="1">
      <c r="A1109" s="208">
        <v>42657</v>
      </c>
      <c r="B1109" s="209" t="s">
        <v>519</v>
      </c>
      <c r="C1109" s="226">
        <v>300009211922</v>
      </c>
      <c r="D1109" s="209" t="s">
        <v>523</v>
      </c>
      <c r="E1109" s="209">
        <v>0</v>
      </c>
      <c r="F1109" s="209">
        <v>2</v>
      </c>
      <c r="G1109" s="209">
        <v>2</v>
      </c>
      <c r="H1109" s="209">
        <v>0</v>
      </c>
      <c r="I1109" s="209">
        <v>0</v>
      </c>
      <c r="J1109" s="209">
        <v>0</v>
      </c>
      <c r="K1109" s="209">
        <v>0</v>
      </c>
    </row>
    <row r="1110" spans="1:11" ht="24.75" customHeight="1">
      <c r="A1110" s="208">
        <v>42657</v>
      </c>
      <c r="B1110" s="209" t="s">
        <v>519</v>
      </c>
      <c r="C1110" s="226">
        <v>300009232016</v>
      </c>
      <c r="D1110" s="272" t="s">
        <v>499</v>
      </c>
      <c r="E1110" s="209">
        <v>0</v>
      </c>
      <c r="F1110" s="209">
        <v>3</v>
      </c>
      <c r="G1110" s="209">
        <v>3</v>
      </c>
      <c r="H1110" s="209">
        <v>0</v>
      </c>
      <c r="I1110" s="209">
        <v>3</v>
      </c>
      <c r="J1110" s="209">
        <v>3</v>
      </c>
      <c r="K1110" s="209">
        <v>2384</v>
      </c>
    </row>
    <row r="1111" spans="1:11" ht="24.75" customHeight="1">
      <c r="A1111" s="208">
        <v>42657</v>
      </c>
      <c r="B1111" s="209" t="s">
        <v>519</v>
      </c>
      <c r="C1111" s="226">
        <v>300009358277</v>
      </c>
      <c r="D1111" s="272" t="s">
        <v>500</v>
      </c>
      <c r="E1111" s="209">
        <v>0</v>
      </c>
      <c r="F1111" s="209">
        <v>13</v>
      </c>
      <c r="G1111" s="209">
        <v>13</v>
      </c>
      <c r="H1111" s="209">
        <v>0</v>
      </c>
      <c r="I1111" s="209">
        <v>2</v>
      </c>
      <c r="J1111" s="209">
        <v>2</v>
      </c>
      <c r="K1111" s="209">
        <v>1410</v>
      </c>
    </row>
    <row r="1112" spans="1:11" ht="24.75" customHeight="1">
      <c r="A1112" s="208">
        <v>42657</v>
      </c>
      <c r="B1112" s="209" t="s">
        <v>519</v>
      </c>
      <c r="C1112" s="226">
        <v>300009358299</v>
      </c>
      <c r="D1112" s="272" t="s">
        <v>520</v>
      </c>
      <c r="E1112" s="209">
        <v>0</v>
      </c>
      <c r="F1112" s="209">
        <v>3</v>
      </c>
      <c r="G1112" s="209">
        <v>3</v>
      </c>
      <c r="H1112" s="209">
        <v>0</v>
      </c>
      <c r="I1112" s="209">
        <v>1</v>
      </c>
      <c r="J1112" s="209">
        <v>1</v>
      </c>
      <c r="K1112" s="209">
        <v>1459</v>
      </c>
    </row>
    <row r="1113" spans="1:11" ht="24.75" customHeight="1">
      <c r="A1113" s="208">
        <v>42657</v>
      </c>
      <c r="B1113" s="209" t="s">
        <v>519</v>
      </c>
      <c r="C1113" s="226">
        <v>300009358300</v>
      </c>
      <c r="D1113" s="272" t="s">
        <v>521</v>
      </c>
      <c r="E1113" s="209">
        <v>0</v>
      </c>
      <c r="F1113" s="209">
        <v>4</v>
      </c>
      <c r="G1113" s="209">
        <v>4</v>
      </c>
      <c r="H1113" s="209">
        <v>0</v>
      </c>
      <c r="I1113" s="209">
        <v>0</v>
      </c>
      <c r="J1113" s="209">
        <v>0</v>
      </c>
      <c r="K1113" s="209">
        <v>1429</v>
      </c>
    </row>
    <row r="1114" spans="1:11" ht="24.75" customHeight="1">
      <c r="A1114" s="208">
        <v>42657</v>
      </c>
      <c r="B1114" s="209" t="s">
        <v>519</v>
      </c>
      <c r="C1114" s="226">
        <v>300009410229</v>
      </c>
      <c r="D1114" s="272" t="s">
        <v>279</v>
      </c>
      <c r="E1114" s="209">
        <v>0</v>
      </c>
      <c r="F1114" s="209">
        <v>1</v>
      </c>
      <c r="G1114" s="209">
        <v>1</v>
      </c>
      <c r="H1114" s="209">
        <v>0</v>
      </c>
      <c r="I1114" s="209">
        <v>0</v>
      </c>
      <c r="J1114" s="209">
        <v>0</v>
      </c>
      <c r="K1114" s="209">
        <v>107</v>
      </c>
    </row>
    <row r="1115" spans="1:11" ht="24.75" customHeight="1">
      <c r="A1115" s="208">
        <v>42657</v>
      </c>
      <c r="B1115" s="209" t="s">
        <v>519</v>
      </c>
      <c r="C1115" s="226">
        <v>300009822212</v>
      </c>
      <c r="D1115" s="272" t="s">
        <v>530</v>
      </c>
      <c r="E1115" s="209">
        <v>0</v>
      </c>
      <c r="F1115" s="209">
        <v>0</v>
      </c>
      <c r="G1115" s="209">
        <v>0</v>
      </c>
      <c r="H1115" s="209">
        <v>0</v>
      </c>
      <c r="I1115" s="209">
        <v>0</v>
      </c>
      <c r="J1115" s="209">
        <v>0</v>
      </c>
      <c r="K1115" s="209">
        <v>746</v>
      </c>
    </row>
    <row r="1116" spans="1:11" ht="24.75" customHeight="1">
      <c r="A1116" s="208">
        <v>42657</v>
      </c>
      <c r="B1116" s="209" t="s">
        <v>519</v>
      </c>
      <c r="C1116" s="226">
        <v>300009842225</v>
      </c>
      <c r="D1116" s="272" t="s">
        <v>524</v>
      </c>
      <c r="E1116" s="209">
        <v>0</v>
      </c>
      <c r="F1116" s="209">
        <v>26</v>
      </c>
      <c r="G1116" s="209">
        <v>26</v>
      </c>
      <c r="H1116" s="209">
        <v>0</v>
      </c>
      <c r="I1116" s="209">
        <v>26</v>
      </c>
      <c r="J1116" s="209">
        <v>26</v>
      </c>
      <c r="K1116" s="209">
        <v>4252</v>
      </c>
    </row>
    <row r="1117" spans="1:11" ht="24.75" customHeight="1">
      <c r="A1117" s="208">
        <v>42656</v>
      </c>
      <c r="B1117" s="209" t="s">
        <v>491</v>
      </c>
      <c r="C1117" s="226">
        <v>300009193471</v>
      </c>
      <c r="D1117" s="272" t="s">
        <v>502</v>
      </c>
      <c r="E1117" s="209">
        <v>1</v>
      </c>
      <c r="F1117" s="209">
        <v>3</v>
      </c>
      <c r="G1117" s="209">
        <v>3</v>
      </c>
      <c r="H1117" s="209">
        <v>1</v>
      </c>
      <c r="I1117" s="209">
        <v>2</v>
      </c>
      <c r="J1117" s="209">
        <v>2</v>
      </c>
      <c r="K1117" s="209">
        <v>773</v>
      </c>
    </row>
    <row r="1118" spans="1:11" ht="24.75" customHeight="1">
      <c r="A1118" s="208">
        <v>42656</v>
      </c>
      <c r="B1118" s="209" t="s">
        <v>491</v>
      </c>
      <c r="C1118" s="226">
        <v>300007875924</v>
      </c>
      <c r="D1118" s="209" t="s">
        <v>492</v>
      </c>
      <c r="E1118" s="209">
        <v>0</v>
      </c>
      <c r="F1118" s="209">
        <v>0</v>
      </c>
      <c r="G1118" s="209">
        <v>0</v>
      </c>
      <c r="H1118" s="209">
        <v>0</v>
      </c>
      <c r="I1118" s="209">
        <v>0</v>
      </c>
      <c r="J1118" s="209">
        <v>0</v>
      </c>
      <c r="K1118" s="209">
        <v>12</v>
      </c>
    </row>
    <row r="1119" spans="1:11" ht="24.75" customHeight="1">
      <c r="A1119" s="208">
        <v>42656</v>
      </c>
      <c r="B1119" s="209" t="s">
        <v>491</v>
      </c>
      <c r="C1119" s="226">
        <v>300008074001</v>
      </c>
      <c r="D1119" s="272" t="s">
        <v>493</v>
      </c>
      <c r="E1119" s="209">
        <v>0</v>
      </c>
      <c r="F1119" s="209">
        <v>0</v>
      </c>
      <c r="G1119" s="209">
        <v>0</v>
      </c>
      <c r="H1119" s="209">
        <v>0</v>
      </c>
      <c r="I1119" s="209">
        <v>0</v>
      </c>
      <c r="J1119" s="209">
        <v>0</v>
      </c>
      <c r="K1119" s="209">
        <v>59</v>
      </c>
    </row>
    <row r="1120" spans="1:11" ht="24.75" customHeight="1">
      <c r="A1120" s="208">
        <v>42656</v>
      </c>
      <c r="B1120" s="209" t="s">
        <v>491</v>
      </c>
      <c r="C1120" s="226">
        <v>300008183804</v>
      </c>
      <c r="D1120" s="272" t="s">
        <v>494</v>
      </c>
      <c r="E1120" s="209">
        <v>0</v>
      </c>
      <c r="F1120" s="209">
        <v>0</v>
      </c>
      <c r="G1120" s="209">
        <v>0</v>
      </c>
      <c r="H1120" s="209">
        <v>0</v>
      </c>
      <c r="I1120" s="209">
        <v>0</v>
      </c>
      <c r="J1120" s="209">
        <v>0</v>
      </c>
      <c r="K1120" s="209">
        <v>10</v>
      </c>
    </row>
    <row r="1121" spans="1:11" ht="24.75" customHeight="1">
      <c r="A1121" s="208">
        <v>42656</v>
      </c>
      <c r="B1121" s="209" t="s">
        <v>491</v>
      </c>
      <c r="C1121" s="226">
        <v>300008508327</v>
      </c>
      <c r="D1121" s="209" t="s">
        <v>501</v>
      </c>
      <c r="E1121" s="209">
        <v>0</v>
      </c>
      <c r="F1121" s="209">
        <v>1</v>
      </c>
      <c r="G1121" s="209">
        <v>1</v>
      </c>
      <c r="H1121" s="209">
        <v>0</v>
      </c>
      <c r="I1121" s="209">
        <v>1</v>
      </c>
      <c r="J1121" s="209">
        <v>1</v>
      </c>
      <c r="K1121" s="209">
        <v>1112</v>
      </c>
    </row>
    <row r="1122" spans="1:11" ht="24.75" customHeight="1">
      <c r="A1122" s="208">
        <v>42656</v>
      </c>
      <c r="B1122" s="209" t="s">
        <v>491</v>
      </c>
      <c r="C1122" s="226">
        <v>300008841062</v>
      </c>
      <c r="D1122" s="272" t="s">
        <v>277</v>
      </c>
      <c r="E1122" s="209">
        <v>0</v>
      </c>
      <c r="F1122" s="209">
        <v>5</v>
      </c>
      <c r="G1122" s="209">
        <v>5</v>
      </c>
      <c r="H1122" s="209">
        <v>0</v>
      </c>
      <c r="I1122" s="209">
        <v>3</v>
      </c>
      <c r="J1122" s="209">
        <v>3</v>
      </c>
      <c r="K1122" s="209">
        <v>2848</v>
      </c>
    </row>
    <row r="1123" spans="1:11" ht="24.75" customHeight="1">
      <c r="A1123" s="208">
        <v>42656</v>
      </c>
      <c r="B1123" s="209" t="s">
        <v>491</v>
      </c>
      <c r="C1123" s="226">
        <v>300008868585</v>
      </c>
      <c r="D1123" s="272" t="s">
        <v>495</v>
      </c>
      <c r="E1123" s="209">
        <v>0</v>
      </c>
      <c r="F1123" s="209">
        <v>6</v>
      </c>
      <c r="G1123" s="209">
        <v>6</v>
      </c>
      <c r="H1123" s="209">
        <v>0</v>
      </c>
      <c r="I1123" s="209">
        <v>2</v>
      </c>
      <c r="J1123" s="209">
        <v>2</v>
      </c>
      <c r="K1123" s="209">
        <v>1008</v>
      </c>
    </row>
    <row r="1124" spans="1:11" ht="24.75" customHeight="1">
      <c r="A1124" s="208">
        <v>42656</v>
      </c>
      <c r="B1124" s="209" t="s">
        <v>491</v>
      </c>
      <c r="C1124" s="226">
        <v>300008975991</v>
      </c>
      <c r="D1124" s="209" t="s">
        <v>496</v>
      </c>
      <c r="E1124" s="209">
        <v>0</v>
      </c>
      <c r="F1124" s="209">
        <v>0</v>
      </c>
      <c r="G1124" s="209">
        <v>0</v>
      </c>
      <c r="H1124" s="209">
        <v>0</v>
      </c>
      <c r="I1124" s="209">
        <v>0</v>
      </c>
      <c r="J1124" s="209">
        <v>0</v>
      </c>
      <c r="K1124" s="209">
        <v>6</v>
      </c>
    </row>
    <row r="1125" spans="1:11" ht="24.75" customHeight="1">
      <c r="A1125" s="208">
        <v>42656</v>
      </c>
      <c r="B1125" s="209" t="s">
        <v>491</v>
      </c>
      <c r="C1125" s="226">
        <v>300008993578</v>
      </c>
      <c r="D1125" s="272" t="s">
        <v>497</v>
      </c>
      <c r="E1125" s="209">
        <v>0</v>
      </c>
      <c r="F1125" s="209">
        <v>6</v>
      </c>
      <c r="G1125" s="209">
        <v>6</v>
      </c>
      <c r="H1125" s="209">
        <v>0</v>
      </c>
      <c r="I1125" s="209">
        <v>4</v>
      </c>
      <c r="J1125" s="209">
        <v>4</v>
      </c>
      <c r="K1125" s="209">
        <v>1501</v>
      </c>
    </row>
    <row r="1126" spans="1:11" ht="24.75" customHeight="1">
      <c r="A1126" s="208">
        <v>42656</v>
      </c>
      <c r="B1126" s="209" t="s">
        <v>491</v>
      </c>
      <c r="C1126" s="226">
        <v>300009016017</v>
      </c>
      <c r="D1126" s="272" t="s">
        <v>498</v>
      </c>
      <c r="E1126" s="209">
        <v>0</v>
      </c>
      <c r="F1126" s="209">
        <v>1</v>
      </c>
      <c r="G1126" s="209">
        <v>1</v>
      </c>
      <c r="H1126" s="209">
        <v>0</v>
      </c>
      <c r="I1126" s="209">
        <v>0</v>
      </c>
      <c r="J1126" s="209">
        <v>0</v>
      </c>
      <c r="K1126" s="209">
        <v>360</v>
      </c>
    </row>
    <row r="1127" spans="1:11" ht="24.75" customHeight="1">
      <c r="A1127" s="208">
        <v>42656</v>
      </c>
      <c r="B1127" s="209" t="s">
        <v>491</v>
      </c>
      <c r="C1127" s="226">
        <v>300009197635</v>
      </c>
      <c r="D1127" s="272" t="s">
        <v>282</v>
      </c>
      <c r="E1127" s="209">
        <v>0</v>
      </c>
      <c r="F1127" s="209">
        <v>14</v>
      </c>
      <c r="G1127" s="209">
        <v>14</v>
      </c>
      <c r="H1127" s="209">
        <v>0</v>
      </c>
      <c r="I1127" s="209">
        <v>3</v>
      </c>
      <c r="J1127" s="209">
        <v>3</v>
      </c>
      <c r="K1127" s="209">
        <v>3035</v>
      </c>
    </row>
    <row r="1128" spans="1:11" ht="24.75" customHeight="1">
      <c r="A1128" s="208">
        <v>42656</v>
      </c>
      <c r="B1128" s="209" t="s">
        <v>491</v>
      </c>
      <c r="C1128" s="226">
        <v>300009228510</v>
      </c>
      <c r="D1128" s="272" t="s">
        <v>503</v>
      </c>
      <c r="E1128" s="209">
        <v>0</v>
      </c>
      <c r="F1128" s="209">
        <v>0</v>
      </c>
      <c r="G1128" s="209">
        <v>0</v>
      </c>
      <c r="H1128" s="209">
        <v>0</v>
      </c>
      <c r="I1128" s="209">
        <v>0</v>
      </c>
      <c r="J1128" s="209">
        <v>0</v>
      </c>
      <c r="K1128" s="209">
        <v>1</v>
      </c>
    </row>
    <row r="1129" spans="1:11" ht="24.75" customHeight="1">
      <c r="A1129" s="208">
        <v>42656</v>
      </c>
      <c r="B1129" s="209" t="s">
        <v>491</v>
      </c>
      <c r="C1129" s="226">
        <v>300009232016</v>
      </c>
      <c r="D1129" s="272" t="s">
        <v>499</v>
      </c>
      <c r="E1129" s="209">
        <v>0</v>
      </c>
      <c r="F1129" s="209">
        <v>4</v>
      </c>
      <c r="G1129" s="209">
        <v>4</v>
      </c>
      <c r="H1129" s="209">
        <v>0</v>
      </c>
      <c r="I1129" s="209">
        <v>4</v>
      </c>
      <c r="J1129" s="209">
        <v>4</v>
      </c>
      <c r="K1129" s="209">
        <v>2280</v>
      </c>
    </row>
    <row r="1130" spans="1:11" ht="24.75" customHeight="1">
      <c r="A1130" s="208">
        <v>42656</v>
      </c>
      <c r="B1130" s="209" t="s">
        <v>491</v>
      </c>
      <c r="C1130" s="226">
        <v>300009235974</v>
      </c>
      <c r="D1130" s="272" t="s">
        <v>187</v>
      </c>
      <c r="E1130" s="209">
        <v>0</v>
      </c>
      <c r="F1130" s="209">
        <v>0</v>
      </c>
      <c r="G1130" s="209">
        <v>0</v>
      </c>
      <c r="H1130" s="209">
        <v>0</v>
      </c>
      <c r="I1130" s="209">
        <v>0</v>
      </c>
      <c r="J1130" s="209">
        <v>0</v>
      </c>
      <c r="K1130" s="209">
        <v>0</v>
      </c>
    </row>
    <row r="1131" spans="1:11" ht="24.75" customHeight="1">
      <c r="A1131" s="208">
        <v>42656</v>
      </c>
      <c r="B1131" s="209" t="s">
        <v>491</v>
      </c>
      <c r="C1131" s="226">
        <v>300009358277</v>
      </c>
      <c r="D1131" s="272" t="s">
        <v>500</v>
      </c>
      <c r="E1131" s="209">
        <v>0</v>
      </c>
      <c r="F1131" s="209">
        <v>21</v>
      </c>
      <c r="G1131" s="209">
        <v>21</v>
      </c>
      <c r="H1131" s="209">
        <v>0</v>
      </c>
      <c r="I1131" s="209">
        <v>2</v>
      </c>
      <c r="J1131" s="209">
        <v>2</v>
      </c>
      <c r="K1131" s="209">
        <v>3350</v>
      </c>
    </row>
    <row r="1132" spans="1:11" ht="24.75" customHeight="1">
      <c r="A1132" s="208">
        <v>42656</v>
      </c>
      <c r="B1132" s="209" t="s">
        <v>491</v>
      </c>
      <c r="C1132" s="226">
        <v>300009374212</v>
      </c>
      <c r="D1132" s="272" t="s">
        <v>235</v>
      </c>
      <c r="E1132" s="209">
        <v>0</v>
      </c>
      <c r="F1132" s="209">
        <v>0</v>
      </c>
      <c r="G1132" s="209">
        <v>0</v>
      </c>
      <c r="H1132" s="209">
        <v>0</v>
      </c>
      <c r="I1132" s="209">
        <v>0</v>
      </c>
      <c r="J1132" s="209">
        <v>0</v>
      </c>
      <c r="K1132" s="209">
        <v>0</v>
      </c>
    </row>
    <row r="1133" spans="1:11" ht="24.75" customHeight="1">
      <c r="A1133" s="208">
        <v>42656</v>
      </c>
      <c r="B1133" s="209" t="s">
        <v>491</v>
      </c>
      <c r="C1133" s="226">
        <v>300009374215</v>
      </c>
      <c r="D1133" s="272" t="s">
        <v>236</v>
      </c>
      <c r="E1133" s="209">
        <v>1</v>
      </c>
      <c r="F1133" s="209">
        <v>2</v>
      </c>
      <c r="G1133" s="209">
        <v>2</v>
      </c>
      <c r="H1133" s="209">
        <v>0</v>
      </c>
      <c r="I1133" s="209">
        <v>0</v>
      </c>
      <c r="J1133" s="209">
        <v>0</v>
      </c>
      <c r="K1133" s="209">
        <v>0</v>
      </c>
    </row>
    <row r="1134" spans="1:11" ht="24.75" customHeight="1">
      <c r="A1134" s="208">
        <v>42656</v>
      </c>
      <c r="B1134" s="209" t="s">
        <v>491</v>
      </c>
      <c r="C1134" s="226">
        <v>300009410229</v>
      </c>
      <c r="D1134" s="272" t="s">
        <v>279</v>
      </c>
      <c r="E1134" s="209">
        <v>0</v>
      </c>
      <c r="F1134" s="209">
        <v>0</v>
      </c>
      <c r="G1134" s="209">
        <v>0</v>
      </c>
      <c r="H1134" s="209">
        <v>0</v>
      </c>
      <c r="I1134" s="209">
        <v>0</v>
      </c>
      <c r="J1134" s="209">
        <v>0</v>
      </c>
      <c r="K1134" s="209">
        <v>63</v>
      </c>
    </row>
    <row r="1135" spans="1:11" ht="24.75" customHeight="1">
      <c r="A1135" s="208">
        <v>42657</v>
      </c>
      <c r="B1135" s="209" t="s">
        <v>491</v>
      </c>
      <c r="C1135" s="226">
        <v>300007875924</v>
      </c>
      <c r="D1135" s="209" t="s">
        <v>492</v>
      </c>
      <c r="E1135" s="209">
        <v>0</v>
      </c>
      <c r="F1135" s="209">
        <v>0</v>
      </c>
      <c r="G1135" s="209">
        <v>0</v>
      </c>
      <c r="H1135" s="209">
        <v>0</v>
      </c>
      <c r="I1135" s="209">
        <v>0</v>
      </c>
      <c r="J1135" s="209">
        <v>0</v>
      </c>
      <c r="K1135" s="209">
        <v>12</v>
      </c>
    </row>
    <row r="1136" spans="1:11" ht="24.75" customHeight="1">
      <c r="A1136" s="208">
        <v>42657</v>
      </c>
      <c r="B1136" s="209" t="s">
        <v>491</v>
      </c>
      <c r="C1136" s="226">
        <v>300008074001</v>
      </c>
      <c r="D1136" s="272" t="s">
        <v>493</v>
      </c>
      <c r="E1136" s="209">
        <v>0</v>
      </c>
      <c r="F1136" s="209">
        <v>0</v>
      </c>
      <c r="G1136" s="209">
        <v>0</v>
      </c>
      <c r="H1136" s="209">
        <v>0</v>
      </c>
      <c r="I1136" s="209">
        <v>0</v>
      </c>
      <c r="J1136" s="209">
        <v>0</v>
      </c>
      <c r="K1136" s="209">
        <v>62</v>
      </c>
    </row>
    <row r="1137" spans="1:11" ht="24.75" customHeight="1">
      <c r="A1137" s="208">
        <v>42657</v>
      </c>
      <c r="B1137" s="209" t="s">
        <v>491</v>
      </c>
      <c r="C1137" s="226">
        <v>300008183804</v>
      </c>
      <c r="D1137" s="272" t="s">
        <v>494</v>
      </c>
      <c r="E1137" s="209">
        <v>0</v>
      </c>
      <c r="F1137" s="209">
        <v>0</v>
      </c>
      <c r="G1137" s="209">
        <v>0</v>
      </c>
      <c r="H1137" s="209">
        <v>0</v>
      </c>
      <c r="I1137" s="209">
        <v>0</v>
      </c>
      <c r="J1137" s="209">
        <v>0</v>
      </c>
      <c r="K1137" s="209">
        <v>10</v>
      </c>
    </row>
    <row r="1138" spans="1:11" ht="24.75" customHeight="1">
      <c r="A1138" s="208">
        <v>42657</v>
      </c>
      <c r="B1138" s="209" t="s">
        <v>491</v>
      </c>
      <c r="C1138" s="226">
        <v>300008508327</v>
      </c>
      <c r="D1138" s="209" t="s">
        <v>501</v>
      </c>
      <c r="E1138" s="209">
        <v>0</v>
      </c>
      <c r="F1138" s="209">
        <v>1</v>
      </c>
      <c r="G1138" s="209">
        <v>1</v>
      </c>
      <c r="H1138" s="209">
        <v>0</v>
      </c>
      <c r="I1138" s="209">
        <v>1</v>
      </c>
      <c r="J1138" s="209">
        <v>1</v>
      </c>
      <c r="K1138" s="209">
        <v>1159</v>
      </c>
    </row>
    <row r="1139" spans="1:11" ht="24.75" customHeight="1">
      <c r="A1139" s="208">
        <v>42657</v>
      </c>
      <c r="B1139" s="209" t="s">
        <v>491</v>
      </c>
      <c r="C1139" s="226">
        <v>300008841062</v>
      </c>
      <c r="D1139" s="272" t="s">
        <v>277</v>
      </c>
      <c r="E1139" s="209">
        <v>0</v>
      </c>
      <c r="F1139" s="209">
        <v>5</v>
      </c>
      <c r="G1139" s="209">
        <v>5</v>
      </c>
      <c r="H1139" s="209">
        <v>0</v>
      </c>
      <c r="I1139" s="209">
        <v>3</v>
      </c>
      <c r="J1139" s="209">
        <v>3</v>
      </c>
      <c r="K1139" s="209">
        <v>2968</v>
      </c>
    </row>
    <row r="1140" spans="1:11" ht="24.75" customHeight="1">
      <c r="A1140" s="208">
        <v>42657</v>
      </c>
      <c r="B1140" s="209" t="s">
        <v>491</v>
      </c>
      <c r="C1140" s="226">
        <v>300008868585</v>
      </c>
      <c r="D1140" s="272" t="s">
        <v>495</v>
      </c>
      <c r="E1140" s="209">
        <v>0</v>
      </c>
      <c r="F1140" s="209">
        <v>6</v>
      </c>
      <c r="G1140" s="209">
        <v>6</v>
      </c>
      <c r="H1140" s="209">
        <v>0</v>
      </c>
      <c r="I1140" s="209">
        <v>2</v>
      </c>
      <c r="J1140" s="209">
        <v>2</v>
      </c>
      <c r="K1140" s="209">
        <v>1008</v>
      </c>
    </row>
    <row r="1141" spans="1:11" ht="24.75" customHeight="1">
      <c r="A1141" s="208">
        <v>42657</v>
      </c>
      <c r="B1141" s="209" t="s">
        <v>491</v>
      </c>
      <c r="C1141" s="226">
        <v>300008975991</v>
      </c>
      <c r="D1141" s="209" t="s">
        <v>496</v>
      </c>
      <c r="E1141" s="209">
        <v>0</v>
      </c>
      <c r="F1141" s="209">
        <v>0</v>
      </c>
      <c r="G1141" s="209">
        <v>0</v>
      </c>
      <c r="H1141" s="209">
        <v>0</v>
      </c>
      <c r="I1141" s="209">
        <v>0</v>
      </c>
      <c r="J1141" s="209">
        <v>0</v>
      </c>
      <c r="K1141" s="209">
        <v>6</v>
      </c>
    </row>
    <row r="1142" spans="1:11" ht="24.75" customHeight="1">
      <c r="A1142" s="208">
        <v>42657</v>
      </c>
      <c r="B1142" s="209" t="s">
        <v>491</v>
      </c>
      <c r="C1142" s="226">
        <v>300008993578</v>
      </c>
      <c r="D1142" s="272" t="s">
        <v>497</v>
      </c>
      <c r="E1142" s="209">
        <v>0</v>
      </c>
      <c r="F1142" s="209">
        <v>6</v>
      </c>
      <c r="G1142" s="209">
        <v>6</v>
      </c>
      <c r="H1142" s="209">
        <v>0</v>
      </c>
      <c r="I1142" s="209">
        <v>4</v>
      </c>
      <c r="J1142" s="209">
        <v>4</v>
      </c>
      <c r="K1142" s="209">
        <v>1592</v>
      </c>
    </row>
    <row r="1143" spans="1:11" ht="24.75" customHeight="1">
      <c r="A1143" s="208">
        <v>42657</v>
      </c>
      <c r="B1143" s="209" t="s">
        <v>491</v>
      </c>
      <c r="C1143" s="226">
        <v>300009016017</v>
      </c>
      <c r="D1143" s="272" t="s">
        <v>498</v>
      </c>
      <c r="E1143" s="209">
        <v>0</v>
      </c>
      <c r="F1143" s="209">
        <v>1</v>
      </c>
      <c r="G1143" s="209">
        <v>1</v>
      </c>
      <c r="H1143" s="209">
        <v>0</v>
      </c>
      <c r="I1143" s="209">
        <v>0</v>
      </c>
      <c r="J1143" s="209">
        <v>0</v>
      </c>
      <c r="K1143" s="209">
        <v>361</v>
      </c>
    </row>
    <row r="1144" spans="1:11" ht="24.75" customHeight="1">
      <c r="A1144" s="208">
        <v>42657</v>
      </c>
      <c r="B1144" s="209" t="s">
        <v>491</v>
      </c>
      <c r="C1144" s="226">
        <v>300009193471</v>
      </c>
      <c r="D1144" s="272" t="s">
        <v>502</v>
      </c>
      <c r="E1144" s="209">
        <v>0</v>
      </c>
      <c r="F1144" s="209">
        <v>3</v>
      </c>
      <c r="G1144" s="209">
        <v>3</v>
      </c>
      <c r="H1144" s="209">
        <v>0</v>
      </c>
      <c r="I1144" s="209">
        <v>2</v>
      </c>
      <c r="J1144" s="209">
        <v>2</v>
      </c>
      <c r="K1144" s="209">
        <v>824</v>
      </c>
    </row>
    <row r="1145" spans="1:11" ht="24.75" customHeight="1">
      <c r="A1145" s="208">
        <v>42657</v>
      </c>
      <c r="B1145" s="209" t="s">
        <v>491</v>
      </c>
      <c r="C1145" s="226">
        <v>300009197635</v>
      </c>
      <c r="D1145" s="272" t="s">
        <v>282</v>
      </c>
      <c r="E1145" s="209">
        <v>0</v>
      </c>
      <c r="F1145" s="209">
        <v>14</v>
      </c>
      <c r="G1145" s="209">
        <v>14</v>
      </c>
      <c r="H1145" s="209">
        <v>0</v>
      </c>
      <c r="I1145" s="209">
        <v>3</v>
      </c>
      <c r="J1145" s="209">
        <v>3</v>
      </c>
      <c r="K1145" s="209">
        <v>3121</v>
      </c>
    </row>
    <row r="1146" spans="1:11" ht="24.75" customHeight="1">
      <c r="A1146" s="208">
        <v>42657</v>
      </c>
      <c r="B1146" s="209" t="s">
        <v>491</v>
      </c>
      <c r="C1146" s="226">
        <v>300009228510</v>
      </c>
      <c r="D1146" s="272" t="s">
        <v>503</v>
      </c>
      <c r="E1146" s="209">
        <v>0</v>
      </c>
      <c r="F1146" s="209">
        <v>0</v>
      </c>
      <c r="G1146" s="209">
        <v>0</v>
      </c>
      <c r="H1146" s="209">
        <v>0</v>
      </c>
      <c r="I1146" s="209">
        <v>0</v>
      </c>
      <c r="J1146" s="209">
        <v>0</v>
      </c>
      <c r="K1146" s="209">
        <v>1</v>
      </c>
    </row>
    <row r="1147" spans="1:11" ht="24.75" customHeight="1">
      <c r="A1147" s="208">
        <v>42657</v>
      </c>
      <c r="B1147" s="209" t="s">
        <v>491</v>
      </c>
      <c r="C1147" s="226">
        <v>300009232016</v>
      </c>
      <c r="D1147" s="272" t="s">
        <v>499</v>
      </c>
      <c r="E1147" s="209">
        <v>0</v>
      </c>
      <c r="F1147" s="209">
        <v>4</v>
      </c>
      <c r="G1147" s="209">
        <v>4</v>
      </c>
      <c r="H1147" s="209">
        <v>0</v>
      </c>
      <c r="I1147" s="209">
        <v>4</v>
      </c>
      <c r="J1147" s="209">
        <v>4</v>
      </c>
      <c r="K1147" s="209">
        <v>2364</v>
      </c>
    </row>
    <row r="1148" spans="1:11" ht="24.75" customHeight="1">
      <c r="A1148" s="208">
        <v>42657</v>
      </c>
      <c r="B1148" s="209" t="s">
        <v>491</v>
      </c>
      <c r="C1148" s="226">
        <v>300009235974</v>
      </c>
      <c r="D1148" s="272" t="s">
        <v>187</v>
      </c>
      <c r="E1148" s="209">
        <v>0</v>
      </c>
      <c r="F1148" s="209">
        <v>0</v>
      </c>
      <c r="G1148" s="209">
        <v>0</v>
      </c>
      <c r="H1148" s="209">
        <v>0</v>
      </c>
      <c r="I1148" s="209">
        <v>0</v>
      </c>
      <c r="J1148" s="209">
        <v>0</v>
      </c>
      <c r="K1148" s="209">
        <v>0</v>
      </c>
    </row>
    <row r="1149" spans="1:11" ht="24.75" customHeight="1">
      <c r="A1149" s="208">
        <v>42657</v>
      </c>
      <c r="B1149" s="209" t="s">
        <v>491</v>
      </c>
      <c r="C1149" s="226">
        <v>300009358277</v>
      </c>
      <c r="D1149" s="272" t="s">
        <v>500</v>
      </c>
      <c r="E1149" s="209">
        <v>0</v>
      </c>
      <c r="F1149" s="209">
        <v>21</v>
      </c>
      <c r="G1149" s="209">
        <v>21</v>
      </c>
      <c r="H1149" s="209">
        <v>0</v>
      </c>
      <c r="I1149" s="209">
        <v>2</v>
      </c>
      <c r="J1149" s="209">
        <v>2</v>
      </c>
      <c r="K1149" s="209">
        <v>3350</v>
      </c>
    </row>
    <row r="1150" spans="1:11" ht="24.75" customHeight="1">
      <c r="A1150" s="208">
        <v>42657</v>
      </c>
      <c r="B1150" s="209" t="s">
        <v>491</v>
      </c>
      <c r="C1150" s="226">
        <v>300009374212</v>
      </c>
      <c r="D1150" s="272" t="s">
        <v>235</v>
      </c>
      <c r="E1150" s="209">
        <v>0</v>
      </c>
      <c r="F1150" s="209">
        <v>0</v>
      </c>
      <c r="G1150" s="209">
        <v>0</v>
      </c>
      <c r="H1150" s="209">
        <v>0</v>
      </c>
      <c r="I1150" s="209">
        <v>0</v>
      </c>
      <c r="J1150" s="209">
        <v>0</v>
      </c>
      <c r="K1150" s="209">
        <v>0</v>
      </c>
    </row>
    <row r="1151" spans="1:11" ht="24.75" customHeight="1">
      <c r="A1151" s="208">
        <v>42657</v>
      </c>
      <c r="B1151" s="209" t="s">
        <v>491</v>
      </c>
      <c r="C1151" s="226">
        <v>300009374215</v>
      </c>
      <c r="D1151" s="272" t="s">
        <v>236</v>
      </c>
      <c r="E1151" s="209">
        <v>0</v>
      </c>
      <c r="F1151" s="209">
        <v>2</v>
      </c>
      <c r="G1151" s="209">
        <v>2</v>
      </c>
      <c r="H1151" s="209">
        <v>0</v>
      </c>
      <c r="I1151" s="209">
        <v>0</v>
      </c>
      <c r="J1151" s="209">
        <v>0</v>
      </c>
      <c r="K1151" s="209">
        <v>0</v>
      </c>
    </row>
    <row r="1152" spans="1:11" ht="24.75" customHeight="1">
      <c r="A1152" s="208">
        <v>42657</v>
      </c>
      <c r="B1152" s="209" t="s">
        <v>491</v>
      </c>
      <c r="C1152" s="226">
        <v>300009410229</v>
      </c>
      <c r="D1152" s="272" t="s">
        <v>279</v>
      </c>
      <c r="E1152" s="209">
        <v>0</v>
      </c>
      <c r="F1152" s="209">
        <v>0</v>
      </c>
      <c r="G1152" s="209">
        <v>0</v>
      </c>
      <c r="H1152" s="209">
        <v>0</v>
      </c>
      <c r="I1152" s="209">
        <v>0</v>
      </c>
      <c r="J1152" s="209">
        <v>0</v>
      </c>
      <c r="K1152" s="209">
        <v>64</v>
      </c>
    </row>
    <row r="1153" spans="1:11" ht="24.75" customHeight="1">
      <c r="A1153" s="208">
        <v>42657</v>
      </c>
      <c r="B1153" s="209" t="s">
        <v>529</v>
      </c>
      <c r="C1153" s="226">
        <v>300009003496</v>
      </c>
      <c r="D1153" s="272" t="s">
        <v>546</v>
      </c>
      <c r="E1153" s="209">
        <v>0</v>
      </c>
      <c r="F1153" s="209">
        <v>0</v>
      </c>
      <c r="G1153" s="209">
        <v>0</v>
      </c>
      <c r="H1153" s="209" t="s">
        <v>242</v>
      </c>
      <c r="I1153" s="209" t="s">
        <v>242</v>
      </c>
      <c r="J1153" s="209" t="s">
        <v>242</v>
      </c>
      <c r="K1153" s="209">
        <v>0</v>
      </c>
    </row>
    <row r="1154" spans="1:11" ht="24.75" customHeight="1">
      <c r="A1154" s="208">
        <v>42657</v>
      </c>
      <c r="B1154" s="209" t="s">
        <v>529</v>
      </c>
      <c r="C1154" s="226">
        <v>300008467005</v>
      </c>
      <c r="D1154" s="272" t="s">
        <v>540</v>
      </c>
      <c r="E1154" s="209">
        <v>0</v>
      </c>
      <c r="F1154" s="209">
        <v>13</v>
      </c>
      <c r="G1154" s="209">
        <v>13</v>
      </c>
      <c r="H1154" s="209">
        <v>0</v>
      </c>
      <c r="I1154" s="209">
        <v>6</v>
      </c>
      <c r="J1154" s="209">
        <v>6</v>
      </c>
      <c r="K1154" s="209">
        <v>412</v>
      </c>
    </row>
    <row r="1155" spans="1:11" ht="24.75" customHeight="1">
      <c r="A1155" s="208">
        <v>42657</v>
      </c>
      <c r="B1155" s="209" t="s">
        <v>529</v>
      </c>
      <c r="C1155" s="226">
        <v>300009184067</v>
      </c>
      <c r="D1155" s="272" t="s">
        <v>233</v>
      </c>
      <c r="E1155" s="209">
        <v>0</v>
      </c>
      <c r="F1155" s="209">
        <v>0</v>
      </c>
      <c r="G1155" s="209">
        <v>0</v>
      </c>
      <c r="H1155" s="209">
        <v>0</v>
      </c>
      <c r="I1155" s="209">
        <v>0</v>
      </c>
      <c r="J1155" s="209">
        <v>0</v>
      </c>
      <c r="K1155" s="209">
        <v>68</v>
      </c>
    </row>
    <row r="1156" spans="1:11" ht="24.75" customHeight="1">
      <c r="A1156" s="208">
        <v>42657</v>
      </c>
      <c r="B1156" s="209" t="s">
        <v>529</v>
      </c>
      <c r="C1156" s="226">
        <v>300009190343</v>
      </c>
      <c r="D1156" s="272" t="s">
        <v>541</v>
      </c>
      <c r="E1156" s="209">
        <v>0</v>
      </c>
      <c r="F1156" s="209">
        <v>1</v>
      </c>
      <c r="G1156" s="209">
        <v>1</v>
      </c>
      <c r="H1156" s="209">
        <v>0</v>
      </c>
      <c r="I1156" s="209">
        <v>0</v>
      </c>
      <c r="J1156" s="209">
        <v>0</v>
      </c>
      <c r="K1156" s="209">
        <v>1513</v>
      </c>
    </row>
    <row r="1157" spans="1:11" ht="24.75" customHeight="1">
      <c r="A1157" s="208">
        <v>42657</v>
      </c>
      <c r="B1157" s="209" t="s">
        <v>529</v>
      </c>
      <c r="C1157" s="226">
        <v>300009190346</v>
      </c>
      <c r="D1157" s="272" t="s">
        <v>528</v>
      </c>
      <c r="E1157" s="209">
        <v>0</v>
      </c>
      <c r="F1157" s="209">
        <v>1</v>
      </c>
      <c r="G1157" s="209">
        <v>1</v>
      </c>
      <c r="H1157" s="209">
        <v>0</v>
      </c>
      <c r="I1157" s="209">
        <v>0</v>
      </c>
      <c r="J1157" s="209">
        <v>0</v>
      </c>
      <c r="K1157" s="209">
        <v>0</v>
      </c>
    </row>
    <row r="1158" spans="1:11" ht="24.75" customHeight="1">
      <c r="A1158" s="208">
        <v>42657</v>
      </c>
      <c r="B1158" s="209" t="s">
        <v>529</v>
      </c>
      <c r="C1158" s="226">
        <v>300009190385</v>
      </c>
      <c r="D1158" s="272" t="s">
        <v>538</v>
      </c>
      <c r="E1158" s="209">
        <v>0</v>
      </c>
      <c r="F1158" s="209">
        <v>0</v>
      </c>
      <c r="G1158" s="209">
        <v>0</v>
      </c>
      <c r="H1158" s="209">
        <v>0</v>
      </c>
      <c r="I1158" s="209">
        <v>0</v>
      </c>
      <c r="J1158" s="209">
        <v>0</v>
      </c>
      <c r="K1158" s="209">
        <v>499</v>
      </c>
    </row>
    <row r="1159" spans="1:11" ht="24.75" customHeight="1">
      <c r="A1159" s="208">
        <v>42657</v>
      </c>
      <c r="B1159" s="209" t="s">
        <v>529</v>
      </c>
      <c r="C1159" s="226">
        <v>300009191923</v>
      </c>
      <c r="D1159" s="272" t="s">
        <v>545</v>
      </c>
      <c r="E1159" s="209">
        <v>0</v>
      </c>
      <c r="F1159" s="209">
        <v>0</v>
      </c>
      <c r="G1159" s="209">
        <v>0</v>
      </c>
      <c r="H1159" s="209">
        <v>0</v>
      </c>
      <c r="I1159" s="209">
        <v>0</v>
      </c>
      <c r="J1159" s="209">
        <v>0</v>
      </c>
      <c r="K1159" s="209">
        <v>0</v>
      </c>
    </row>
    <row r="1160" spans="1:11" ht="24.75" customHeight="1">
      <c r="A1160" s="208">
        <v>42657</v>
      </c>
      <c r="B1160" s="209" t="s">
        <v>529</v>
      </c>
      <c r="C1160" s="226">
        <v>300009197635</v>
      </c>
      <c r="D1160" s="272" t="s">
        <v>282</v>
      </c>
      <c r="E1160" s="209">
        <v>0</v>
      </c>
      <c r="F1160" s="209">
        <v>4</v>
      </c>
      <c r="G1160" s="209">
        <v>4</v>
      </c>
      <c r="H1160" s="209">
        <v>0</v>
      </c>
      <c r="I1160" s="209">
        <v>1</v>
      </c>
      <c r="J1160" s="209">
        <v>1</v>
      </c>
      <c r="K1160" s="209">
        <v>2143</v>
      </c>
    </row>
    <row r="1161" spans="1:11" ht="24.75" customHeight="1">
      <c r="A1161" s="208">
        <v>42657</v>
      </c>
      <c r="B1161" s="209" t="s">
        <v>529</v>
      </c>
      <c r="C1161" s="226">
        <v>300009197814</v>
      </c>
      <c r="D1161" s="272" t="s">
        <v>533</v>
      </c>
      <c r="E1161" s="209">
        <v>0</v>
      </c>
      <c r="F1161" s="209">
        <v>4</v>
      </c>
      <c r="G1161" s="209">
        <v>4</v>
      </c>
      <c r="H1161" s="209">
        <v>0</v>
      </c>
      <c r="I1161" s="209">
        <v>3</v>
      </c>
      <c r="J1161" s="209">
        <v>3</v>
      </c>
      <c r="K1161" s="209">
        <v>2015</v>
      </c>
    </row>
    <row r="1162" spans="1:11" ht="24.75" customHeight="1">
      <c r="A1162" s="208">
        <v>42657</v>
      </c>
      <c r="B1162" s="209" t="s">
        <v>529</v>
      </c>
      <c r="C1162" s="226">
        <v>300009208033</v>
      </c>
      <c r="D1162" s="272" t="s">
        <v>548</v>
      </c>
      <c r="E1162" s="209">
        <v>0</v>
      </c>
      <c r="F1162" s="209">
        <v>0</v>
      </c>
      <c r="G1162" s="209">
        <v>0</v>
      </c>
      <c r="H1162" s="209">
        <v>0</v>
      </c>
      <c r="I1162" s="209">
        <v>0</v>
      </c>
      <c r="J1162" s="209">
        <v>0</v>
      </c>
      <c r="K1162" s="209">
        <v>1030</v>
      </c>
    </row>
    <row r="1163" spans="1:11" ht="24.75" customHeight="1">
      <c r="A1163" s="208">
        <v>42657</v>
      </c>
      <c r="B1163" s="209" t="s">
        <v>529</v>
      </c>
      <c r="C1163" s="226">
        <v>300009208675</v>
      </c>
      <c r="D1163" s="272" t="s">
        <v>535</v>
      </c>
      <c r="E1163" s="209">
        <v>0</v>
      </c>
      <c r="F1163" s="209">
        <v>0</v>
      </c>
      <c r="G1163" s="209">
        <v>0</v>
      </c>
      <c r="H1163" s="209">
        <v>0</v>
      </c>
      <c r="I1163" s="209">
        <v>0</v>
      </c>
      <c r="J1163" s="209">
        <v>0</v>
      </c>
      <c r="K1163" s="209">
        <v>1979</v>
      </c>
    </row>
    <row r="1164" spans="1:11" ht="24.75" customHeight="1">
      <c r="A1164" s="208">
        <v>42657</v>
      </c>
      <c r="B1164" s="209" t="s">
        <v>529</v>
      </c>
      <c r="C1164" s="226">
        <v>300009208680</v>
      </c>
      <c r="D1164" s="272" t="s">
        <v>532</v>
      </c>
      <c r="E1164" s="209">
        <v>1</v>
      </c>
      <c r="F1164" s="209">
        <v>4</v>
      </c>
      <c r="G1164" s="209">
        <v>4</v>
      </c>
      <c r="H1164" s="209">
        <v>0</v>
      </c>
      <c r="I1164" s="209">
        <v>1</v>
      </c>
      <c r="J1164" s="209">
        <v>1</v>
      </c>
      <c r="K1164" s="209">
        <v>2308</v>
      </c>
    </row>
    <row r="1165" spans="1:11" ht="24.75" customHeight="1">
      <c r="A1165" s="208">
        <v>42657</v>
      </c>
      <c r="B1165" s="209" t="s">
        <v>529</v>
      </c>
      <c r="C1165" s="226">
        <v>300009211922</v>
      </c>
      <c r="D1165" s="209" t="s">
        <v>523</v>
      </c>
      <c r="E1165" s="209">
        <v>0</v>
      </c>
      <c r="F1165" s="209">
        <v>0</v>
      </c>
      <c r="G1165" s="209">
        <v>0</v>
      </c>
      <c r="H1165" s="209">
        <v>0</v>
      </c>
      <c r="I1165" s="209">
        <v>0</v>
      </c>
      <c r="J1165" s="209">
        <v>0</v>
      </c>
      <c r="K1165" s="209">
        <v>79</v>
      </c>
    </row>
    <row r="1166" spans="1:11" ht="24.75" customHeight="1">
      <c r="A1166" s="208">
        <v>42657</v>
      </c>
      <c r="B1166" s="209" t="s">
        <v>529</v>
      </c>
      <c r="C1166" s="226">
        <v>300009212855</v>
      </c>
      <c r="D1166" s="272" t="s">
        <v>536</v>
      </c>
      <c r="E1166" s="209">
        <v>0</v>
      </c>
      <c r="F1166" s="209">
        <v>18</v>
      </c>
      <c r="G1166" s="209">
        <v>18</v>
      </c>
      <c r="H1166" s="209">
        <v>0</v>
      </c>
      <c r="I1166" s="209">
        <v>0</v>
      </c>
      <c r="J1166" s="209">
        <v>0</v>
      </c>
      <c r="K1166" s="209">
        <v>1222</v>
      </c>
    </row>
    <row r="1167" spans="1:11" ht="24.75" customHeight="1">
      <c r="A1167" s="208">
        <v>42657</v>
      </c>
      <c r="B1167" s="209" t="s">
        <v>529</v>
      </c>
      <c r="C1167" s="226">
        <v>300009232016</v>
      </c>
      <c r="D1167" s="272" t="s">
        <v>499</v>
      </c>
      <c r="E1167" s="209">
        <v>0</v>
      </c>
      <c r="F1167" s="209">
        <v>1</v>
      </c>
      <c r="G1167" s="209">
        <v>1</v>
      </c>
      <c r="H1167" s="209">
        <v>0</v>
      </c>
      <c r="I1167" s="209">
        <v>1</v>
      </c>
      <c r="J1167" s="209">
        <v>1</v>
      </c>
      <c r="K1167" s="209">
        <v>1675</v>
      </c>
    </row>
    <row r="1168" spans="1:11" ht="24.75" customHeight="1">
      <c r="A1168" s="208">
        <v>42657</v>
      </c>
      <c r="B1168" s="209" t="s">
        <v>529</v>
      </c>
      <c r="C1168" s="226">
        <v>300009240032</v>
      </c>
      <c r="D1168" s="272" t="s">
        <v>542</v>
      </c>
      <c r="E1168" s="209">
        <v>0</v>
      </c>
      <c r="F1168" s="209">
        <v>0</v>
      </c>
      <c r="G1168" s="209">
        <v>0</v>
      </c>
      <c r="H1168" s="209">
        <v>0</v>
      </c>
      <c r="I1168" s="209">
        <v>0</v>
      </c>
      <c r="J1168" s="209">
        <v>0</v>
      </c>
      <c r="K1168" s="209">
        <v>8</v>
      </c>
    </row>
    <row r="1169" spans="1:11" ht="24.75" customHeight="1">
      <c r="A1169" s="208">
        <v>42657</v>
      </c>
      <c r="B1169" s="209" t="s">
        <v>529</v>
      </c>
      <c r="C1169" s="226">
        <v>300009249957</v>
      </c>
      <c r="D1169" s="272" t="s">
        <v>537</v>
      </c>
      <c r="E1169" s="209">
        <v>0</v>
      </c>
      <c r="F1169" s="209">
        <v>2</v>
      </c>
      <c r="G1169" s="209">
        <v>2</v>
      </c>
      <c r="H1169" s="209">
        <v>0</v>
      </c>
      <c r="I1169" s="209">
        <v>2</v>
      </c>
      <c r="J1169" s="209">
        <v>2</v>
      </c>
      <c r="K1169" s="209">
        <v>1883</v>
      </c>
    </row>
    <row r="1170" spans="1:11" ht="24.75" customHeight="1">
      <c r="A1170" s="208">
        <v>42657</v>
      </c>
      <c r="B1170" s="209" t="s">
        <v>529</v>
      </c>
      <c r="C1170" s="226">
        <v>300009288214</v>
      </c>
      <c r="D1170" s="272" t="s">
        <v>547</v>
      </c>
      <c r="E1170" s="209">
        <v>0</v>
      </c>
      <c r="F1170" s="209">
        <v>0</v>
      </c>
      <c r="G1170" s="209">
        <v>0</v>
      </c>
      <c r="H1170" s="209">
        <v>0</v>
      </c>
      <c r="I1170" s="209">
        <v>0</v>
      </c>
      <c r="J1170" s="209">
        <v>0</v>
      </c>
      <c r="K1170" s="209">
        <v>0</v>
      </c>
    </row>
    <row r="1171" spans="1:11" ht="24.75" customHeight="1">
      <c r="A1171" s="208">
        <v>42657</v>
      </c>
      <c r="B1171" s="209" t="s">
        <v>529</v>
      </c>
      <c r="C1171" s="226">
        <v>300009288265</v>
      </c>
      <c r="D1171" s="272" t="s">
        <v>531</v>
      </c>
      <c r="E1171" s="209">
        <v>0</v>
      </c>
      <c r="F1171" s="209">
        <v>8</v>
      </c>
      <c r="G1171" s="209">
        <v>8</v>
      </c>
      <c r="H1171" s="209">
        <v>0</v>
      </c>
      <c r="I1171" s="209">
        <v>2</v>
      </c>
      <c r="J1171" s="209">
        <v>2</v>
      </c>
      <c r="K1171" s="209">
        <v>2255</v>
      </c>
    </row>
    <row r="1172" spans="1:11" ht="24.75" customHeight="1">
      <c r="A1172" s="208">
        <v>42657</v>
      </c>
      <c r="B1172" s="209" t="s">
        <v>529</v>
      </c>
      <c r="C1172" s="226">
        <v>300009290227</v>
      </c>
      <c r="D1172" s="272" t="s">
        <v>534</v>
      </c>
      <c r="E1172" s="209">
        <v>0</v>
      </c>
      <c r="F1172" s="209">
        <v>1</v>
      </c>
      <c r="G1172" s="209">
        <v>1</v>
      </c>
      <c r="H1172" s="209">
        <v>0</v>
      </c>
      <c r="I1172" s="209">
        <v>1</v>
      </c>
      <c r="J1172" s="209">
        <v>1</v>
      </c>
      <c r="K1172" s="209">
        <v>676</v>
      </c>
    </row>
    <row r="1173" spans="1:11" ht="24.75" customHeight="1">
      <c r="A1173" s="208">
        <v>42657</v>
      </c>
      <c r="B1173" s="209" t="s">
        <v>529</v>
      </c>
      <c r="C1173" s="226">
        <v>300009294244</v>
      </c>
      <c r="D1173" s="272" t="s">
        <v>539</v>
      </c>
      <c r="E1173" s="209">
        <v>0</v>
      </c>
      <c r="F1173" s="209">
        <v>7</v>
      </c>
      <c r="G1173" s="209">
        <v>7</v>
      </c>
      <c r="H1173" s="209">
        <v>0</v>
      </c>
      <c r="I1173" s="209">
        <v>2</v>
      </c>
      <c r="J1173" s="209">
        <v>2</v>
      </c>
      <c r="K1173" s="209">
        <v>1884</v>
      </c>
    </row>
    <row r="1174" spans="1:11" ht="24.75" customHeight="1">
      <c r="A1174" s="208">
        <v>42657</v>
      </c>
      <c r="B1174" s="209" t="s">
        <v>529</v>
      </c>
      <c r="C1174" s="226">
        <v>300009328320</v>
      </c>
      <c r="D1174" s="272" t="s">
        <v>543</v>
      </c>
      <c r="E1174" s="209">
        <v>0</v>
      </c>
      <c r="F1174" s="209">
        <v>0</v>
      </c>
      <c r="G1174" s="209">
        <v>0</v>
      </c>
      <c r="H1174" s="209">
        <v>0</v>
      </c>
      <c r="I1174" s="209">
        <v>0</v>
      </c>
      <c r="J1174" s="209">
        <v>0</v>
      </c>
      <c r="K1174" s="209">
        <v>49</v>
      </c>
    </row>
    <row r="1175" spans="1:11" ht="24.75" customHeight="1">
      <c r="A1175" s="208">
        <v>42657</v>
      </c>
      <c r="B1175" s="209" t="s">
        <v>529</v>
      </c>
      <c r="C1175" s="226">
        <v>300009406202</v>
      </c>
      <c r="D1175" s="272" t="s">
        <v>232</v>
      </c>
      <c r="E1175" s="209">
        <v>0</v>
      </c>
      <c r="F1175" s="209">
        <v>6</v>
      </c>
      <c r="G1175" s="209">
        <v>6</v>
      </c>
      <c r="H1175" s="209">
        <v>0</v>
      </c>
      <c r="I1175" s="209">
        <v>2</v>
      </c>
      <c r="J1175" s="209">
        <v>2</v>
      </c>
      <c r="K1175" s="209">
        <v>1367</v>
      </c>
    </row>
    <row r="1176" spans="1:11" ht="24.75" customHeight="1">
      <c r="A1176" s="208">
        <v>42657</v>
      </c>
      <c r="B1176" s="209" t="s">
        <v>529</v>
      </c>
      <c r="C1176" s="226">
        <v>300009822212</v>
      </c>
      <c r="D1176" s="272" t="s">
        <v>530</v>
      </c>
      <c r="E1176" s="209">
        <v>1</v>
      </c>
      <c r="F1176" s="209">
        <v>86</v>
      </c>
      <c r="G1176" s="209">
        <v>71.290000000000006</v>
      </c>
      <c r="H1176" s="209">
        <v>0</v>
      </c>
      <c r="I1176" s="209">
        <v>27</v>
      </c>
      <c r="J1176" s="209">
        <v>22.38</v>
      </c>
      <c r="K1176" s="209">
        <v>12064</v>
      </c>
    </row>
    <row r="1177" spans="1:11" ht="24.75" customHeight="1">
      <c r="A1177" s="208">
        <v>42657</v>
      </c>
      <c r="B1177" s="209" t="s">
        <v>529</v>
      </c>
      <c r="C1177" s="226">
        <v>300009972231</v>
      </c>
      <c r="D1177" s="272" t="s">
        <v>566</v>
      </c>
      <c r="E1177" s="209">
        <v>0</v>
      </c>
      <c r="F1177" s="209">
        <v>1</v>
      </c>
      <c r="G1177" s="209">
        <v>1</v>
      </c>
      <c r="H1177" s="209">
        <v>0</v>
      </c>
      <c r="I1177" s="209">
        <v>0</v>
      </c>
      <c r="J1177" s="209">
        <v>0</v>
      </c>
      <c r="K1177" s="209">
        <v>817</v>
      </c>
    </row>
    <row r="1178" spans="1:11" ht="24.75" customHeight="1">
      <c r="A1178" s="208">
        <v>42657</v>
      </c>
      <c r="B1178" s="209" t="s">
        <v>529</v>
      </c>
      <c r="C1178" s="226">
        <v>300009972233</v>
      </c>
      <c r="D1178" s="272" t="s">
        <v>544</v>
      </c>
      <c r="E1178" s="209">
        <v>0</v>
      </c>
      <c r="F1178" s="209">
        <v>3</v>
      </c>
      <c r="G1178" s="209">
        <v>3</v>
      </c>
      <c r="H1178" s="209">
        <v>0</v>
      </c>
      <c r="I1178" s="209">
        <v>3</v>
      </c>
      <c r="J1178" s="209">
        <v>3</v>
      </c>
      <c r="K1178" s="209">
        <v>2</v>
      </c>
    </row>
  </sheetData>
  <autoFilter ref="A1:K539"/>
  <phoneticPr fontId="1" type="noConversion"/>
  <dataValidations count="1">
    <dataValidation type="list" allowBlank="1" showInputMessage="1" showErrorMessage="1" sqref="B1:B1048576">
      <formula1>"魔谷,欧朋,广州骏伯,指尖互通"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24"/>
  <sheetViews>
    <sheetView zoomScaleNormal="100" workbookViewId="0">
      <pane ySplit="2" topLeftCell="A205" activePane="bottomLeft" state="frozen"/>
      <selection pane="bottomLeft" activeCell="A203" sqref="A203"/>
    </sheetView>
  </sheetViews>
  <sheetFormatPr defaultRowHeight="12.75"/>
  <cols>
    <col min="1" max="1" width="9.85546875" style="236" bestFit="1" customWidth="1"/>
    <col min="2" max="2" width="9.140625" style="236"/>
    <col min="3" max="3" width="13.42578125" style="237" customWidth="1"/>
    <col min="4" max="4" width="15.42578125" style="236" customWidth="1"/>
    <col min="5" max="11" width="9.140625" style="236"/>
  </cols>
  <sheetData>
    <row r="1" spans="1:11" s="47" customFormat="1" ht="42.75">
      <c r="A1" s="264" t="s">
        <v>475</v>
      </c>
      <c r="B1" s="265" t="s">
        <v>273</v>
      </c>
      <c r="C1" s="266" t="s">
        <v>178</v>
      </c>
      <c r="D1" s="267" t="s">
        <v>179</v>
      </c>
      <c r="E1" s="267" t="s">
        <v>180</v>
      </c>
      <c r="F1" s="267" t="s">
        <v>181</v>
      </c>
      <c r="G1" s="267" t="s">
        <v>182</v>
      </c>
      <c r="H1" s="267" t="s">
        <v>183</v>
      </c>
      <c r="I1" s="267" t="s">
        <v>184</v>
      </c>
      <c r="J1" s="267" t="s">
        <v>185</v>
      </c>
      <c r="K1" s="267" t="s">
        <v>186</v>
      </c>
    </row>
    <row r="2" spans="1:11">
      <c r="A2" s="260">
        <v>42644</v>
      </c>
      <c r="B2" s="236" t="s">
        <v>459</v>
      </c>
      <c r="C2" s="237">
        <v>300009358277</v>
      </c>
      <c r="D2" s="261" t="s">
        <v>458</v>
      </c>
      <c r="E2" s="236">
        <v>5</v>
      </c>
      <c r="F2" s="236">
        <v>5</v>
      </c>
      <c r="G2" s="236">
        <v>1</v>
      </c>
      <c r="H2" s="236">
        <v>1</v>
      </c>
      <c r="I2" s="236">
        <v>2136</v>
      </c>
      <c r="J2" s="236">
        <v>5</v>
      </c>
      <c r="K2" s="236">
        <v>1</v>
      </c>
    </row>
    <row r="3" spans="1:11">
      <c r="A3" s="260">
        <v>42645</v>
      </c>
      <c r="B3" s="260" t="s">
        <v>459</v>
      </c>
      <c r="C3" s="237">
        <v>300009358277</v>
      </c>
      <c r="D3" s="261" t="s">
        <v>458</v>
      </c>
      <c r="E3" s="236">
        <v>7</v>
      </c>
      <c r="F3" s="236">
        <v>13</v>
      </c>
      <c r="G3" s="236">
        <v>1</v>
      </c>
      <c r="H3" s="236">
        <v>3</v>
      </c>
      <c r="I3" s="236">
        <v>3591</v>
      </c>
      <c r="J3" s="236">
        <v>13</v>
      </c>
      <c r="K3" s="236">
        <v>3</v>
      </c>
    </row>
    <row r="4" spans="1:11">
      <c r="A4" s="260">
        <v>42646</v>
      </c>
      <c r="B4" s="260" t="s">
        <v>459</v>
      </c>
      <c r="C4" s="237">
        <v>300009358277</v>
      </c>
      <c r="D4" s="261" t="s">
        <v>458</v>
      </c>
      <c r="E4" s="236">
        <v>6</v>
      </c>
      <c r="F4" s="236">
        <v>19</v>
      </c>
      <c r="G4" s="236">
        <v>1</v>
      </c>
      <c r="H4" s="236">
        <v>4</v>
      </c>
      <c r="I4" s="236">
        <v>4848</v>
      </c>
      <c r="J4" s="236">
        <v>19</v>
      </c>
      <c r="K4" s="236">
        <v>4</v>
      </c>
    </row>
    <row r="5" spans="1:11">
      <c r="A5" s="260">
        <v>42647</v>
      </c>
      <c r="B5" s="260" t="s">
        <v>459</v>
      </c>
      <c r="C5" s="237">
        <v>300009358277</v>
      </c>
      <c r="D5" s="261" t="s">
        <v>458</v>
      </c>
      <c r="E5" s="236">
        <v>7</v>
      </c>
      <c r="F5" s="236">
        <v>27</v>
      </c>
      <c r="G5" s="236">
        <v>0</v>
      </c>
      <c r="H5" s="236">
        <v>5</v>
      </c>
      <c r="I5" s="236">
        <v>6046</v>
      </c>
      <c r="J5" s="236">
        <v>27</v>
      </c>
      <c r="K5" s="236">
        <v>5</v>
      </c>
    </row>
    <row r="6" spans="1:11">
      <c r="A6" s="260">
        <v>42648</v>
      </c>
      <c r="B6" s="260" t="s">
        <v>459</v>
      </c>
      <c r="C6" s="237">
        <v>300009358277</v>
      </c>
      <c r="D6" s="261" t="s">
        <v>458</v>
      </c>
      <c r="E6" s="236">
        <v>9</v>
      </c>
      <c r="F6" s="236">
        <v>36</v>
      </c>
      <c r="G6" s="236">
        <v>1</v>
      </c>
      <c r="H6" s="236">
        <v>6</v>
      </c>
      <c r="I6" s="236">
        <v>7216</v>
      </c>
      <c r="J6" s="236">
        <v>36</v>
      </c>
      <c r="K6" s="236">
        <v>6</v>
      </c>
    </row>
    <row r="7" spans="1:11">
      <c r="A7" s="260">
        <v>42649</v>
      </c>
      <c r="B7" s="260" t="s">
        <v>459</v>
      </c>
      <c r="C7" s="237">
        <v>300009358277</v>
      </c>
      <c r="D7" s="261" t="s">
        <v>458</v>
      </c>
      <c r="E7" s="236">
        <v>8</v>
      </c>
      <c r="F7" s="236">
        <v>44</v>
      </c>
      <c r="G7" s="236">
        <v>0</v>
      </c>
      <c r="H7" s="236">
        <v>7</v>
      </c>
      <c r="I7" s="236">
        <v>8289</v>
      </c>
      <c r="J7" s="236">
        <v>44</v>
      </c>
      <c r="K7" s="236">
        <v>7</v>
      </c>
    </row>
    <row r="8" spans="1:11">
      <c r="A8" s="260">
        <v>42650</v>
      </c>
      <c r="B8" s="260" t="s">
        <v>459</v>
      </c>
      <c r="C8" s="237">
        <v>300009358277</v>
      </c>
      <c r="D8" s="261" t="s">
        <v>458</v>
      </c>
      <c r="E8" s="236">
        <v>6</v>
      </c>
      <c r="F8" s="236">
        <v>50</v>
      </c>
      <c r="G8" s="236">
        <v>1</v>
      </c>
      <c r="H8" s="236">
        <v>8</v>
      </c>
      <c r="I8" s="236">
        <v>9322</v>
      </c>
      <c r="J8" s="236">
        <v>50</v>
      </c>
      <c r="K8" s="236">
        <v>8</v>
      </c>
    </row>
    <row r="9" spans="1:11">
      <c r="A9" s="260">
        <v>42644</v>
      </c>
      <c r="B9" s="236" t="s">
        <v>474</v>
      </c>
      <c r="C9" s="237">
        <v>300009480238</v>
      </c>
      <c r="D9" s="261" t="s">
        <v>263</v>
      </c>
      <c r="E9" s="236">
        <v>0</v>
      </c>
      <c r="F9" s="236">
        <v>0</v>
      </c>
      <c r="G9" s="236">
        <v>0</v>
      </c>
      <c r="H9" s="236">
        <v>0</v>
      </c>
      <c r="I9" s="236">
        <v>267</v>
      </c>
      <c r="J9" s="236">
        <v>0</v>
      </c>
      <c r="K9" s="236">
        <v>0</v>
      </c>
    </row>
    <row r="10" spans="1:11">
      <c r="A10" s="260">
        <v>42645</v>
      </c>
      <c r="B10" s="260" t="s">
        <v>474</v>
      </c>
      <c r="C10" s="237">
        <v>300009480238</v>
      </c>
      <c r="D10" s="261" t="s">
        <v>263</v>
      </c>
      <c r="E10" s="236">
        <v>0</v>
      </c>
      <c r="F10" s="236">
        <v>0</v>
      </c>
      <c r="G10" s="236">
        <v>0</v>
      </c>
      <c r="H10" s="236">
        <v>0</v>
      </c>
      <c r="I10" s="236">
        <v>558</v>
      </c>
      <c r="J10" s="236">
        <v>0</v>
      </c>
      <c r="K10" s="236">
        <v>0</v>
      </c>
    </row>
    <row r="11" spans="1:11">
      <c r="A11" s="260">
        <v>42646</v>
      </c>
      <c r="B11" s="260" t="s">
        <v>474</v>
      </c>
      <c r="C11" s="237">
        <v>300009480238</v>
      </c>
      <c r="D11" s="261" t="s">
        <v>263</v>
      </c>
      <c r="E11" s="236">
        <v>2</v>
      </c>
      <c r="F11" s="236">
        <v>2</v>
      </c>
      <c r="G11" s="236">
        <v>0</v>
      </c>
      <c r="H11" s="236">
        <v>0</v>
      </c>
      <c r="I11" s="236">
        <v>862</v>
      </c>
      <c r="J11" s="236">
        <v>2</v>
      </c>
      <c r="K11" s="236">
        <v>0</v>
      </c>
    </row>
    <row r="12" spans="1:11">
      <c r="A12" s="260">
        <v>42647</v>
      </c>
      <c r="B12" s="260" t="s">
        <v>474</v>
      </c>
      <c r="C12" s="237">
        <v>300009480238</v>
      </c>
      <c r="D12" s="261" t="s">
        <v>263</v>
      </c>
      <c r="E12" s="236">
        <v>2</v>
      </c>
      <c r="F12" s="236">
        <v>4</v>
      </c>
      <c r="G12" s="236">
        <v>0</v>
      </c>
      <c r="H12" s="236">
        <v>0</v>
      </c>
      <c r="I12" s="236">
        <v>1120</v>
      </c>
      <c r="J12" s="236">
        <v>4</v>
      </c>
      <c r="K12" s="236">
        <v>0</v>
      </c>
    </row>
    <row r="13" spans="1:11">
      <c r="A13" s="260">
        <v>42648</v>
      </c>
      <c r="B13" s="260" t="s">
        <v>474</v>
      </c>
      <c r="C13" s="237">
        <v>300009480238</v>
      </c>
      <c r="D13" s="261" t="s">
        <v>263</v>
      </c>
      <c r="E13" s="236">
        <v>2</v>
      </c>
      <c r="F13" s="236">
        <v>7</v>
      </c>
      <c r="G13" s="236">
        <v>0</v>
      </c>
      <c r="H13" s="236">
        <v>0</v>
      </c>
      <c r="I13" s="236">
        <v>1165</v>
      </c>
      <c r="J13" s="236">
        <v>7</v>
      </c>
      <c r="K13" s="236">
        <v>0</v>
      </c>
    </row>
    <row r="14" spans="1:11">
      <c r="A14" s="260">
        <v>42649</v>
      </c>
      <c r="B14" s="260" t="s">
        <v>474</v>
      </c>
      <c r="C14" s="237">
        <v>300009480238</v>
      </c>
      <c r="D14" s="261" t="s">
        <v>263</v>
      </c>
      <c r="E14" s="236">
        <v>5</v>
      </c>
      <c r="F14" s="236">
        <v>12</v>
      </c>
      <c r="G14" s="236">
        <v>2</v>
      </c>
      <c r="H14" s="236">
        <v>3</v>
      </c>
      <c r="I14" s="236">
        <v>1165</v>
      </c>
      <c r="J14" s="236">
        <v>12</v>
      </c>
      <c r="K14" s="236">
        <v>3</v>
      </c>
    </row>
    <row r="15" spans="1:11">
      <c r="A15" s="260">
        <v>42650</v>
      </c>
      <c r="B15" s="260" t="s">
        <v>474</v>
      </c>
      <c r="C15" s="237">
        <v>300009480238</v>
      </c>
      <c r="D15" s="261" t="s">
        <v>263</v>
      </c>
      <c r="E15" s="236">
        <v>0</v>
      </c>
      <c r="F15" s="236">
        <v>13</v>
      </c>
      <c r="G15" s="236">
        <v>0</v>
      </c>
      <c r="H15" s="236">
        <v>3</v>
      </c>
      <c r="I15" s="236">
        <v>1165</v>
      </c>
      <c r="J15" s="236">
        <v>13</v>
      </c>
      <c r="K15" s="236">
        <v>3</v>
      </c>
    </row>
    <row r="16" spans="1:11">
      <c r="A16" s="260">
        <v>42645</v>
      </c>
      <c r="B16" s="236" t="s">
        <v>193</v>
      </c>
      <c r="C16" s="237">
        <v>300008579657</v>
      </c>
      <c r="D16" s="261" t="s">
        <v>482</v>
      </c>
      <c r="E16" s="236">
        <v>0</v>
      </c>
      <c r="F16" s="236">
        <v>0</v>
      </c>
      <c r="G16" s="236">
        <v>0</v>
      </c>
      <c r="H16" s="236">
        <v>0</v>
      </c>
      <c r="I16" s="236">
        <v>0</v>
      </c>
      <c r="J16" s="236">
        <v>0</v>
      </c>
      <c r="K16" s="236">
        <v>0</v>
      </c>
    </row>
    <row r="17" spans="1:11">
      <c r="A17" s="260">
        <v>42645</v>
      </c>
      <c r="B17" s="236" t="s">
        <v>193</v>
      </c>
      <c r="C17" s="237">
        <v>300009000071</v>
      </c>
      <c r="D17" s="236" t="s">
        <v>483</v>
      </c>
      <c r="E17" s="236">
        <v>0</v>
      </c>
      <c r="F17" s="236">
        <v>0</v>
      </c>
      <c r="G17" s="236">
        <v>0</v>
      </c>
      <c r="H17" s="236">
        <v>0</v>
      </c>
      <c r="I17" s="236">
        <v>0</v>
      </c>
      <c r="J17" s="236">
        <v>0</v>
      </c>
      <c r="K17" s="236">
        <v>0</v>
      </c>
    </row>
    <row r="18" spans="1:11">
      <c r="A18" s="260">
        <v>42646</v>
      </c>
      <c r="B18" s="236" t="s">
        <v>193</v>
      </c>
      <c r="C18" s="237">
        <v>300008579657</v>
      </c>
      <c r="D18" s="261" t="s">
        <v>482</v>
      </c>
      <c r="E18" s="236">
        <v>0</v>
      </c>
      <c r="F18" s="236">
        <v>0</v>
      </c>
      <c r="G18" s="236">
        <v>0</v>
      </c>
      <c r="H18" s="236">
        <v>0</v>
      </c>
      <c r="I18" s="236">
        <v>0</v>
      </c>
      <c r="J18" s="236">
        <v>0</v>
      </c>
      <c r="K18" s="236">
        <v>0</v>
      </c>
    </row>
    <row r="19" spans="1:11">
      <c r="A19" s="260">
        <v>42646</v>
      </c>
      <c r="B19" s="236" t="s">
        <v>193</v>
      </c>
      <c r="C19" s="237">
        <v>300009000071</v>
      </c>
      <c r="D19" s="236" t="s">
        <v>483</v>
      </c>
      <c r="E19" s="236">
        <v>0</v>
      </c>
      <c r="F19" s="236">
        <v>0</v>
      </c>
      <c r="G19" s="236">
        <v>0</v>
      </c>
      <c r="H19" s="236">
        <v>0</v>
      </c>
      <c r="I19" s="236">
        <v>0</v>
      </c>
      <c r="J19" s="236">
        <v>0</v>
      </c>
      <c r="K19" s="236">
        <v>0</v>
      </c>
    </row>
    <row r="20" spans="1:11">
      <c r="A20" s="260">
        <v>42647</v>
      </c>
      <c r="B20" s="236" t="s">
        <v>193</v>
      </c>
      <c r="C20" s="237">
        <v>300008579657</v>
      </c>
      <c r="D20" s="261" t="s">
        <v>482</v>
      </c>
      <c r="E20" s="236">
        <v>0</v>
      </c>
      <c r="F20" s="236">
        <v>0</v>
      </c>
      <c r="G20" s="236">
        <v>0</v>
      </c>
      <c r="H20" s="236">
        <v>0</v>
      </c>
      <c r="I20" s="236">
        <v>0</v>
      </c>
      <c r="J20" s="236">
        <v>0</v>
      </c>
      <c r="K20" s="236">
        <v>0</v>
      </c>
    </row>
    <row r="21" spans="1:11">
      <c r="A21" s="260">
        <v>42647</v>
      </c>
      <c r="B21" s="236" t="s">
        <v>193</v>
      </c>
      <c r="C21" s="237">
        <v>300009000071</v>
      </c>
      <c r="D21" s="236" t="s">
        <v>483</v>
      </c>
      <c r="E21" s="236">
        <v>0</v>
      </c>
      <c r="F21" s="236">
        <v>0</v>
      </c>
      <c r="G21" s="236">
        <v>0</v>
      </c>
      <c r="H21" s="236">
        <v>0</v>
      </c>
      <c r="I21" s="236">
        <v>0</v>
      </c>
      <c r="J21" s="236">
        <v>0</v>
      </c>
      <c r="K21" s="236">
        <v>0</v>
      </c>
    </row>
    <row r="22" spans="1:11">
      <c r="A22" s="260">
        <v>42648</v>
      </c>
      <c r="B22" s="236" t="s">
        <v>193</v>
      </c>
      <c r="C22" s="237">
        <v>300008579657</v>
      </c>
      <c r="D22" s="261" t="s">
        <v>482</v>
      </c>
      <c r="E22" s="236">
        <v>0</v>
      </c>
      <c r="F22" s="236">
        <v>0</v>
      </c>
      <c r="G22" s="236">
        <v>0</v>
      </c>
      <c r="H22" s="236">
        <v>0</v>
      </c>
      <c r="I22" s="236">
        <v>0</v>
      </c>
      <c r="J22" s="236">
        <v>0</v>
      </c>
      <c r="K22" s="236">
        <v>0</v>
      </c>
    </row>
    <row r="23" spans="1:11">
      <c r="A23" s="260">
        <v>42648</v>
      </c>
      <c r="B23" s="236" t="s">
        <v>193</v>
      </c>
      <c r="C23" s="237">
        <v>300009000071</v>
      </c>
      <c r="D23" s="236" t="s">
        <v>483</v>
      </c>
      <c r="E23" s="236">
        <v>0</v>
      </c>
      <c r="F23" s="236">
        <v>0</v>
      </c>
      <c r="G23" s="236">
        <v>0</v>
      </c>
      <c r="H23" s="236">
        <v>0</v>
      </c>
      <c r="I23" s="236">
        <v>0</v>
      </c>
      <c r="J23" s="236">
        <v>0</v>
      </c>
      <c r="K23" s="236">
        <v>0</v>
      </c>
    </row>
    <row r="24" spans="1:11">
      <c r="A24" s="260">
        <v>42649</v>
      </c>
      <c r="B24" s="236" t="s">
        <v>193</v>
      </c>
      <c r="C24" s="237">
        <v>300008579657</v>
      </c>
      <c r="D24" s="261" t="s">
        <v>482</v>
      </c>
      <c r="E24" s="236">
        <v>0</v>
      </c>
      <c r="F24" s="236">
        <v>0</v>
      </c>
      <c r="G24" s="236">
        <v>0</v>
      </c>
      <c r="H24" s="236">
        <v>0</v>
      </c>
      <c r="I24" s="236">
        <v>0</v>
      </c>
      <c r="J24" s="236">
        <v>0</v>
      </c>
      <c r="K24" s="236">
        <v>0</v>
      </c>
    </row>
    <row r="25" spans="1:11">
      <c r="A25" s="260">
        <v>42649</v>
      </c>
      <c r="B25" s="236" t="s">
        <v>193</v>
      </c>
      <c r="C25" s="237">
        <v>300009000071</v>
      </c>
      <c r="D25" s="236" t="s">
        <v>483</v>
      </c>
      <c r="E25" s="236">
        <v>0</v>
      </c>
      <c r="F25" s="236">
        <v>0</v>
      </c>
      <c r="G25" s="236">
        <v>0</v>
      </c>
      <c r="H25" s="236">
        <v>0</v>
      </c>
      <c r="I25" s="236">
        <v>0</v>
      </c>
      <c r="J25" s="236">
        <v>0</v>
      </c>
      <c r="K25" s="236">
        <v>0</v>
      </c>
    </row>
    <row r="26" spans="1:11">
      <c r="A26" s="260">
        <v>42649</v>
      </c>
      <c r="B26" s="236" t="s">
        <v>193</v>
      </c>
      <c r="C26" s="237">
        <v>300009235971</v>
      </c>
      <c r="D26" s="261" t="s">
        <v>241</v>
      </c>
      <c r="E26" s="236">
        <v>0</v>
      </c>
      <c r="F26" s="236">
        <v>0</v>
      </c>
      <c r="G26" s="236">
        <v>0</v>
      </c>
      <c r="H26" s="236">
        <v>0</v>
      </c>
      <c r="I26" s="236">
        <v>0</v>
      </c>
      <c r="J26" s="236">
        <v>0</v>
      </c>
      <c r="K26" s="236">
        <v>0</v>
      </c>
    </row>
    <row r="27" spans="1:11">
      <c r="A27" s="260">
        <v>42650</v>
      </c>
      <c r="B27" s="236" t="s">
        <v>193</v>
      </c>
      <c r="C27" s="237">
        <v>300008579657</v>
      </c>
      <c r="D27" s="261" t="s">
        <v>482</v>
      </c>
      <c r="E27" s="236">
        <v>0</v>
      </c>
      <c r="F27" s="236">
        <v>0</v>
      </c>
      <c r="G27" s="236">
        <v>0</v>
      </c>
      <c r="H27" s="236">
        <v>0</v>
      </c>
      <c r="I27" s="236">
        <v>0</v>
      </c>
      <c r="J27" s="236">
        <v>0</v>
      </c>
      <c r="K27" s="236">
        <v>0</v>
      </c>
    </row>
    <row r="28" spans="1:11">
      <c r="A28" s="260">
        <v>42650</v>
      </c>
      <c r="B28" s="236" t="s">
        <v>193</v>
      </c>
      <c r="C28" s="237">
        <v>300009000071</v>
      </c>
      <c r="D28" s="236" t="s">
        <v>483</v>
      </c>
      <c r="E28" s="236">
        <v>0</v>
      </c>
      <c r="F28" s="236">
        <v>0</v>
      </c>
      <c r="G28" s="236">
        <v>0</v>
      </c>
      <c r="H28" s="236">
        <v>0</v>
      </c>
      <c r="I28" s="236">
        <v>0</v>
      </c>
      <c r="J28" s="236">
        <v>0</v>
      </c>
      <c r="K28" s="236">
        <v>0</v>
      </c>
    </row>
    <row r="29" spans="1:11">
      <c r="A29" s="260">
        <v>42650</v>
      </c>
      <c r="B29" s="236" t="s">
        <v>193</v>
      </c>
      <c r="C29" s="237">
        <v>300009235971</v>
      </c>
      <c r="D29" s="261" t="s">
        <v>241</v>
      </c>
      <c r="E29" s="236">
        <v>0</v>
      </c>
      <c r="F29" s="236">
        <v>0</v>
      </c>
      <c r="G29" s="236">
        <v>0</v>
      </c>
      <c r="H29" s="236">
        <v>0</v>
      </c>
      <c r="I29" s="236">
        <v>0</v>
      </c>
      <c r="J29" s="236">
        <v>0</v>
      </c>
      <c r="K29" s="236">
        <v>0</v>
      </c>
    </row>
    <row r="30" spans="1:11">
      <c r="A30" s="260">
        <v>42644</v>
      </c>
      <c r="B30" s="236" t="s">
        <v>227</v>
      </c>
      <c r="C30" s="237">
        <v>300009192151</v>
      </c>
      <c r="D30" s="261" t="s">
        <v>486</v>
      </c>
      <c r="E30" s="236">
        <v>0</v>
      </c>
      <c r="F30" s="236">
        <v>0</v>
      </c>
      <c r="G30" s="236">
        <v>0</v>
      </c>
      <c r="H30" s="236">
        <v>0</v>
      </c>
      <c r="I30" s="236">
        <v>171</v>
      </c>
      <c r="J30" s="236">
        <v>0</v>
      </c>
      <c r="K30" s="236">
        <v>0</v>
      </c>
    </row>
    <row r="31" spans="1:11">
      <c r="A31" s="260">
        <v>42645</v>
      </c>
      <c r="B31" s="236" t="s">
        <v>227</v>
      </c>
      <c r="C31" s="237">
        <v>300009192151</v>
      </c>
      <c r="D31" s="261" t="s">
        <v>486</v>
      </c>
      <c r="E31" s="236">
        <v>0</v>
      </c>
      <c r="F31" s="236">
        <v>0</v>
      </c>
      <c r="G31" s="236">
        <v>0</v>
      </c>
      <c r="H31" s="236">
        <v>0</v>
      </c>
      <c r="I31" s="236">
        <v>317</v>
      </c>
      <c r="J31" s="236">
        <v>0</v>
      </c>
      <c r="K31" s="236">
        <v>0</v>
      </c>
    </row>
    <row r="32" spans="1:11">
      <c r="A32" s="260">
        <v>42646</v>
      </c>
      <c r="B32" s="236" t="s">
        <v>227</v>
      </c>
      <c r="C32" s="237">
        <v>300009192151</v>
      </c>
      <c r="D32" s="261" t="s">
        <v>486</v>
      </c>
      <c r="E32" s="236">
        <v>0</v>
      </c>
      <c r="F32" s="236">
        <v>0</v>
      </c>
      <c r="G32" s="236">
        <v>0</v>
      </c>
      <c r="H32" s="236">
        <v>0</v>
      </c>
      <c r="I32" s="236">
        <v>463</v>
      </c>
      <c r="J32" s="236">
        <v>0</v>
      </c>
      <c r="K32" s="236">
        <v>0</v>
      </c>
    </row>
    <row r="33" spans="1:11">
      <c r="A33" s="260">
        <v>42647</v>
      </c>
      <c r="B33" s="236" t="s">
        <v>227</v>
      </c>
      <c r="C33" s="237">
        <v>300009192151</v>
      </c>
      <c r="D33" s="261" t="s">
        <v>486</v>
      </c>
      <c r="E33" s="236">
        <v>0</v>
      </c>
      <c r="F33" s="236">
        <v>0</v>
      </c>
      <c r="G33" s="236">
        <v>0</v>
      </c>
      <c r="H33" s="236">
        <v>0</v>
      </c>
      <c r="I33" s="236">
        <v>567</v>
      </c>
      <c r="J33" s="236">
        <v>0</v>
      </c>
      <c r="K33" s="236">
        <v>0</v>
      </c>
    </row>
    <row r="34" spans="1:11">
      <c r="A34" s="260">
        <v>42648</v>
      </c>
      <c r="B34" s="236" t="s">
        <v>227</v>
      </c>
      <c r="C34" s="237">
        <v>300009192151</v>
      </c>
      <c r="D34" s="261" t="s">
        <v>486</v>
      </c>
      <c r="E34" s="236">
        <v>0</v>
      </c>
      <c r="F34" s="236">
        <v>0</v>
      </c>
      <c r="G34" s="236">
        <v>0</v>
      </c>
      <c r="H34" s="236">
        <v>0</v>
      </c>
      <c r="I34" s="236">
        <v>709</v>
      </c>
      <c r="J34" s="236">
        <v>0</v>
      </c>
      <c r="K34" s="236">
        <v>0</v>
      </c>
    </row>
    <row r="35" spans="1:11">
      <c r="A35" s="260">
        <v>42649</v>
      </c>
      <c r="B35" s="236" t="s">
        <v>227</v>
      </c>
      <c r="C35" s="237">
        <v>300009192151</v>
      </c>
      <c r="D35" s="261" t="s">
        <v>486</v>
      </c>
      <c r="E35" s="236">
        <v>0</v>
      </c>
      <c r="F35" s="236">
        <v>0</v>
      </c>
      <c r="G35" s="236">
        <v>0</v>
      </c>
      <c r="H35" s="236">
        <v>0</v>
      </c>
      <c r="I35" s="236">
        <v>802</v>
      </c>
      <c r="J35" s="236">
        <v>0</v>
      </c>
      <c r="K35" s="236">
        <v>0</v>
      </c>
    </row>
    <row r="36" spans="1:11">
      <c r="A36" s="260">
        <v>42650</v>
      </c>
      <c r="B36" s="236" t="s">
        <v>227</v>
      </c>
      <c r="C36" s="237">
        <v>300009192151</v>
      </c>
      <c r="D36" s="261" t="s">
        <v>486</v>
      </c>
      <c r="E36" s="236">
        <v>0</v>
      </c>
      <c r="F36" s="236">
        <v>0</v>
      </c>
      <c r="G36" s="236">
        <v>0</v>
      </c>
      <c r="H36" s="236">
        <v>0</v>
      </c>
      <c r="I36" s="236">
        <v>956</v>
      </c>
      <c r="J36" s="236">
        <v>0</v>
      </c>
      <c r="K36" s="236">
        <v>0</v>
      </c>
    </row>
    <row r="37" spans="1:11">
      <c r="A37" s="260">
        <v>42644</v>
      </c>
      <c r="B37" s="236" t="s">
        <v>226</v>
      </c>
      <c r="C37" s="237">
        <v>300009185572</v>
      </c>
      <c r="D37" s="261" t="s">
        <v>237</v>
      </c>
      <c r="E37" s="236">
        <v>0</v>
      </c>
      <c r="F37" s="236">
        <v>0</v>
      </c>
      <c r="G37" s="236">
        <v>0</v>
      </c>
      <c r="H37" s="236">
        <v>0</v>
      </c>
      <c r="I37" s="236">
        <v>264</v>
      </c>
      <c r="J37" s="236">
        <v>0</v>
      </c>
      <c r="K37" s="236">
        <v>0</v>
      </c>
    </row>
    <row r="38" spans="1:11">
      <c r="A38" s="260">
        <v>42644</v>
      </c>
      <c r="B38" s="236" t="s">
        <v>226</v>
      </c>
      <c r="C38" s="237">
        <v>300009374212</v>
      </c>
      <c r="D38" s="261" t="s">
        <v>235</v>
      </c>
      <c r="E38" s="236">
        <v>0</v>
      </c>
      <c r="F38" s="236">
        <v>0</v>
      </c>
      <c r="G38" s="236">
        <v>0</v>
      </c>
      <c r="H38" s="236">
        <v>0</v>
      </c>
      <c r="I38" s="236">
        <v>208</v>
      </c>
      <c r="J38" s="236">
        <v>0</v>
      </c>
      <c r="K38" s="236">
        <v>0</v>
      </c>
    </row>
    <row r="39" spans="1:11">
      <c r="A39" s="260">
        <v>42644</v>
      </c>
      <c r="B39" s="236" t="s">
        <v>226</v>
      </c>
      <c r="C39" s="237">
        <v>300009406201</v>
      </c>
      <c r="D39" s="261" t="s">
        <v>234</v>
      </c>
      <c r="E39" s="236">
        <v>0</v>
      </c>
      <c r="F39" s="236">
        <v>0</v>
      </c>
      <c r="G39" s="236">
        <v>0</v>
      </c>
      <c r="H39" s="236">
        <v>0</v>
      </c>
      <c r="I39" s="236">
        <v>133</v>
      </c>
      <c r="J39" s="236">
        <v>0</v>
      </c>
      <c r="K39" s="236">
        <v>0</v>
      </c>
    </row>
    <row r="40" spans="1:11">
      <c r="A40" s="260">
        <v>42644</v>
      </c>
      <c r="B40" s="236" t="s">
        <v>226</v>
      </c>
      <c r="C40" s="237">
        <v>300009406202</v>
      </c>
      <c r="D40" s="261" t="s">
        <v>232</v>
      </c>
      <c r="E40" s="236">
        <v>1</v>
      </c>
      <c r="F40" s="236">
        <v>1</v>
      </c>
      <c r="G40" s="236">
        <v>0</v>
      </c>
      <c r="H40" s="236">
        <v>0</v>
      </c>
      <c r="I40" s="236">
        <v>0</v>
      </c>
      <c r="J40" s="236">
        <v>1</v>
      </c>
      <c r="K40" s="236">
        <v>0</v>
      </c>
    </row>
    <row r="41" spans="1:11">
      <c r="A41" s="260">
        <v>42645</v>
      </c>
      <c r="B41" s="236" t="s">
        <v>226</v>
      </c>
      <c r="C41" s="237">
        <v>300009406201</v>
      </c>
      <c r="D41" s="261" t="s">
        <v>234</v>
      </c>
      <c r="E41" s="236">
        <v>1</v>
      </c>
      <c r="F41" s="236">
        <v>1</v>
      </c>
      <c r="G41" s="236">
        <v>1</v>
      </c>
      <c r="H41" s="236">
        <v>1</v>
      </c>
      <c r="I41" s="236">
        <v>244</v>
      </c>
      <c r="J41" s="236">
        <v>1</v>
      </c>
      <c r="K41" s="236">
        <v>1</v>
      </c>
    </row>
    <row r="42" spans="1:11">
      <c r="A42" s="260">
        <v>42645</v>
      </c>
      <c r="B42" s="236" t="s">
        <v>226</v>
      </c>
      <c r="C42" s="237">
        <v>300009185572</v>
      </c>
      <c r="D42" s="261" t="s">
        <v>237</v>
      </c>
      <c r="E42" s="236">
        <v>3</v>
      </c>
      <c r="F42" s="236">
        <v>3</v>
      </c>
      <c r="G42" s="236">
        <v>0</v>
      </c>
      <c r="H42" s="236">
        <v>0</v>
      </c>
      <c r="I42" s="236">
        <v>571</v>
      </c>
      <c r="J42" s="236">
        <v>3</v>
      </c>
      <c r="K42" s="236">
        <v>0</v>
      </c>
    </row>
    <row r="43" spans="1:11">
      <c r="A43" s="260">
        <v>42645</v>
      </c>
      <c r="B43" s="236" t="s">
        <v>226</v>
      </c>
      <c r="C43" s="237">
        <v>300009374212</v>
      </c>
      <c r="D43" s="261" t="s">
        <v>235</v>
      </c>
      <c r="E43" s="236">
        <v>0</v>
      </c>
      <c r="F43" s="236">
        <v>0</v>
      </c>
      <c r="G43" s="236">
        <v>0</v>
      </c>
      <c r="H43" s="236">
        <v>0</v>
      </c>
      <c r="I43" s="236">
        <v>394</v>
      </c>
      <c r="J43" s="236">
        <v>0</v>
      </c>
      <c r="K43" s="236">
        <v>0</v>
      </c>
    </row>
    <row r="44" spans="1:11">
      <c r="A44" s="260">
        <v>42645</v>
      </c>
      <c r="B44" s="236" t="s">
        <v>226</v>
      </c>
      <c r="C44" s="237">
        <v>300009406202</v>
      </c>
      <c r="D44" s="261" t="s">
        <v>232</v>
      </c>
      <c r="E44" s="236">
        <v>0</v>
      </c>
      <c r="F44" s="236">
        <v>1</v>
      </c>
      <c r="G44" s="236">
        <v>0</v>
      </c>
      <c r="H44" s="236">
        <v>0</v>
      </c>
      <c r="I44" s="236">
        <v>0</v>
      </c>
      <c r="J44" s="236">
        <v>1</v>
      </c>
      <c r="K44" s="236">
        <v>0</v>
      </c>
    </row>
    <row r="45" spans="1:11">
      <c r="A45" s="260">
        <v>42646</v>
      </c>
      <c r="B45" s="236" t="s">
        <v>226</v>
      </c>
      <c r="C45" s="237">
        <v>300009406201</v>
      </c>
      <c r="D45" s="261" t="s">
        <v>234</v>
      </c>
      <c r="E45" s="236">
        <v>2</v>
      </c>
      <c r="F45" s="236">
        <v>3</v>
      </c>
      <c r="G45" s="236">
        <v>0</v>
      </c>
      <c r="H45" s="236">
        <v>1</v>
      </c>
      <c r="I45" s="236">
        <v>388</v>
      </c>
      <c r="J45" s="236">
        <v>3</v>
      </c>
      <c r="K45" s="236">
        <v>1</v>
      </c>
    </row>
    <row r="46" spans="1:11">
      <c r="A46" s="260">
        <v>42646</v>
      </c>
      <c r="B46" s="236" t="s">
        <v>226</v>
      </c>
      <c r="C46" s="237">
        <v>300009185572</v>
      </c>
      <c r="D46" s="261" t="s">
        <v>237</v>
      </c>
      <c r="E46" s="236">
        <v>3</v>
      </c>
      <c r="F46" s="236">
        <v>6</v>
      </c>
      <c r="G46" s="236">
        <v>0</v>
      </c>
      <c r="H46" s="236">
        <v>0</v>
      </c>
      <c r="I46" s="236">
        <v>798</v>
      </c>
      <c r="J46" s="236">
        <v>6</v>
      </c>
      <c r="K46" s="236">
        <v>0</v>
      </c>
    </row>
    <row r="47" spans="1:11">
      <c r="A47" s="260">
        <v>42646</v>
      </c>
      <c r="B47" s="236" t="s">
        <v>226</v>
      </c>
      <c r="C47" s="237">
        <v>300009374212</v>
      </c>
      <c r="D47" s="261" t="s">
        <v>235</v>
      </c>
      <c r="E47" s="236">
        <v>0</v>
      </c>
      <c r="F47" s="236">
        <v>0</v>
      </c>
      <c r="G47" s="236">
        <v>0</v>
      </c>
      <c r="H47" s="236">
        <v>0</v>
      </c>
      <c r="I47" s="236">
        <v>563</v>
      </c>
      <c r="J47" s="236">
        <v>0</v>
      </c>
      <c r="K47" s="236">
        <v>0</v>
      </c>
    </row>
    <row r="48" spans="1:11">
      <c r="A48" s="260">
        <v>42646</v>
      </c>
      <c r="B48" s="236" t="s">
        <v>226</v>
      </c>
      <c r="C48" s="237">
        <v>300009406202</v>
      </c>
      <c r="D48" s="261" t="s">
        <v>232</v>
      </c>
      <c r="E48" s="236">
        <v>0</v>
      </c>
      <c r="F48" s="236">
        <v>1</v>
      </c>
      <c r="G48" s="236">
        <v>0</v>
      </c>
      <c r="H48" s="236">
        <v>0</v>
      </c>
      <c r="I48" s="236">
        <v>0</v>
      </c>
      <c r="J48" s="236">
        <v>1</v>
      </c>
      <c r="K48" s="236">
        <v>0</v>
      </c>
    </row>
    <row r="49" spans="1:11">
      <c r="A49" s="260">
        <v>42647</v>
      </c>
      <c r="B49" s="236" t="s">
        <v>226</v>
      </c>
      <c r="C49" s="237">
        <v>300009185572</v>
      </c>
      <c r="D49" s="261" t="s">
        <v>237</v>
      </c>
      <c r="E49" s="236">
        <v>2</v>
      </c>
      <c r="F49" s="236">
        <v>9</v>
      </c>
      <c r="G49" s="236">
        <v>1</v>
      </c>
      <c r="H49" s="236">
        <v>1</v>
      </c>
      <c r="I49" s="236">
        <v>909</v>
      </c>
      <c r="J49" s="236">
        <v>9</v>
      </c>
      <c r="K49" s="236">
        <v>1</v>
      </c>
    </row>
    <row r="50" spans="1:11">
      <c r="A50" s="260">
        <v>42647</v>
      </c>
      <c r="B50" s="236" t="s">
        <v>226</v>
      </c>
      <c r="C50" s="237">
        <v>300009406201</v>
      </c>
      <c r="D50" s="261" t="s">
        <v>234</v>
      </c>
      <c r="E50" s="236">
        <v>0</v>
      </c>
      <c r="F50" s="236">
        <v>3</v>
      </c>
      <c r="G50" s="236">
        <v>0</v>
      </c>
      <c r="H50" s="236">
        <v>1</v>
      </c>
      <c r="I50" s="236">
        <v>501</v>
      </c>
      <c r="J50" s="236">
        <v>3</v>
      </c>
      <c r="K50" s="236">
        <v>1</v>
      </c>
    </row>
    <row r="51" spans="1:11">
      <c r="A51" s="260">
        <v>42647</v>
      </c>
      <c r="B51" s="236" t="s">
        <v>226</v>
      </c>
      <c r="C51" s="237">
        <v>300009374212</v>
      </c>
      <c r="D51" s="261" t="s">
        <v>235</v>
      </c>
      <c r="E51" s="236">
        <v>2</v>
      </c>
      <c r="F51" s="236">
        <v>2</v>
      </c>
      <c r="G51" s="236">
        <v>0</v>
      </c>
      <c r="H51" s="236">
        <v>0</v>
      </c>
      <c r="I51" s="236">
        <v>684</v>
      </c>
      <c r="J51" s="236">
        <v>2</v>
      </c>
      <c r="K51" s="236">
        <v>0</v>
      </c>
    </row>
    <row r="52" spans="1:11">
      <c r="A52" s="260">
        <v>42647</v>
      </c>
      <c r="B52" s="236" t="s">
        <v>226</v>
      </c>
      <c r="C52" s="237">
        <v>300009406202</v>
      </c>
      <c r="D52" s="261" t="s">
        <v>232</v>
      </c>
      <c r="E52" s="236">
        <v>0</v>
      </c>
      <c r="F52" s="236">
        <v>1</v>
      </c>
      <c r="G52" s="236">
        <v>0</v>
      </c>
      <c r="H52" s="236">
        <v>0</v>
      </c>
      <c r="I52" s="236">
        <v>0</v>
      </c>
      <c r="J52" s="236">
        <v>1</v>
      </c>
      <c r="K52" s="236">
        <v>0</v>
      </c>
    </row>
    <row r="53" spans="1:11">
      <c r="A53" s="260">
        <v>42648</v>
      </c>
      <c r="B53" s="236" t="s">
        <v>226</v>
      </c>
      <c r="C53" s="237">
        <v>300009185572</v>
      </c>
      <c r="D53" s="261" t="s">
        <v>237</v>
      </c>
      <c r="E53" s="236">
        <v>0</v>
      </c>
      <c r="F53" s="236">
        <v>9</v>
      </c>
      <c r="G53" s="236">
        <v>0</v>
      </c>
      <c r="H53" s="236">
        <v>1</v>
      </c>
      <c r="I53" s="236">
        <v>978</v>
      </c>
      <c r="J53" s="236">
        <v>9</v>
      </c>
      <c r="K53" s="236">
        <v>1</v>
      </c>
    </row>
    <row r="54" spans="1:11">
      <c r="A54" s="260">
        <v>42648</v>
      </c>
      <c r="B54" s="236" t="s">
        <v>226</v>
      </c>
      <c r="C54" s="237">
        <v>300009406201</v>
      </c>
      <c r="D54" s="261" t="s">
        <v>234</v>
      </c>
      <c r="E54" s="236">
        <v>0</v>
      </c>
      <c r="F54" s="236">
        <v>3</v>
      </c>
      <c r="G54" s="236">
        <v>0</v>
      </c>
      <c r="H54" s="236">
        <v>1</v>
      </c>
      <c r="I54" s="236">
        <v>564</v>
      </c>
      <c r="J54" s="236">
        <v>3</v>
      </c>
      <c r="K54" s="236">
        <v>1</v>
      </c>
    </row>
    <row r="55" spans="1:11">
      <c r="A55" s="260">
        <v>42648</v>
      </c>
      <c r="B55" s="236" t="s">
        <v>226</v>
      </c>
      <c r="C55" s="237">
        <v>300009374212</v>
      </c>
      <c r="D55" s="261" t="s">
        <v>235</v>
      </c>
      <c r="E55" s="236">
        <v>0</v>
      </c>
      <c r="F55" s="236">
        <v>3</v>
      </c>
      <c r="G55" s="236">
        <v>0</v>
      </c>
      <c r="H55" s="236">
        <v>0</v>
      </c>
      <c r="I55" s="236">
        <v>684</v>
      </c>
      <c r="J55" s="236">
        <v>3</v>
      </c>
      <c r="K55" s="236">
        <v>0</v>
      </c>
    </row>
    <row r="56" spans="1:11">
      <c r="A56" s="260">
        <v>42648</v>
      </c>
      <c r="B56" s="236" t="s">
        <v>226</v>
      </c>
      <c r="C56" s="237">
        <v>300009406202</v>
      </c>
      <c r="D56" s="261" t="s">
        <v>232</v>
      </c>
      <c r="E56" s="236">
        <v>0</v>
      </c>
      <c r="F56" s="236">
        <v>1</v>
      </c>
      <c r="G56" s="236">
        <v>0</v>
      </c>
      <c r="H56" s="236">
        <v>0</v>
      </c>
      <c r="I56" s="236">
        <v>0</v>
      </c>
      <c r="J56" s="236">
        <v>1</v>
      </c>
      <c r="K56" s="236">
        <v>0</v>
      </c>
    </row>
    <row r="57" spans="1:11">
      <c r="A57" s="260">
        <v>42649</v>
      </c>
      <c r="B57" s="236" t="s">
        <v>226</v>
      </c>
      <c r="C57" s="237">
        <v>300009185572</v>
      </c>
      <c r="D57" s="261" t="s">
        <v>237</v>
      </c>
      <c r="E57" s="236">
        <v>0</v>
      </c>
      <c r="F57" s="236">
        <v>9</v>
      </c>
      <c r="G57" s="236">
        <v>0</v>
      </c>
      <c r="H57" s="236">
        <v>1</v>
      </c>
      <c r="I57" s="236">
        <v>1048</v>
      </c>
      <c r="J57" s="236">
        <v>9</v>
      </c>
      <c r="K57" s="236">
        <v>1</v>
      </c>
    </row>
    <row r="58" spans="1:11">
      <c r="A58" s="260">
        <v>42649</v>
      </c>
      <c r="B58" s="236" t="s">
        <v>226</v>
      </c>
      <c r="C58" s="237">
        <v>300009406201</v>
      </c>
      <c r="D58" s="261" t="s">
        <v>234</v>
      </c>
      <c r="E58" s="236">
        <v>0</v>
      </c>
      <c r="F58" s="236">
        <v>3</v>
      </c>
      <c r="G58" s="236">
        <v>0</v>
      </c>
      <c r="H58" s="236">
        <v>1</v>
      </c>
      <c r="I58" s="236">
        <v>627</v>
      </c>
      <c r="J58" s="236">
        <v>3</v>
      </c>
      <c r="K58" s="236">
        <v>1</v>
      </c>
    </row>
    <row r="59" spans="1:11">
      <c r="A59" s="260">
        <v>42649</v>
      </c>
      <c r="B59" s="236" t="s">
        <v>226</v>
      </c>
      <c r="C59" s="237">
        <v>300009374212</v>
      </c>
      <c r="D59" s="261" t="s">
        <v>235</v>
      </c>
      <c r="E59" s="236">
        <v>0</v>
      </c>
      <c r="F59" s="236">
        <v>3</v>
      </c>
      <c r="G59" s="236">
        <v>0</v>
      </c>
      <c r="H59" s="236">
        <v>0</v>
      </c>
      <c r="I59" s="236">
        <v>684</v>
      </c>
      <c r="J59" s="236">
        <v>3</v>
      </c>
      <c r="K59" s="236">
        <v>0</v>
      </c>
    </row>
    <row r="60" spans="1:11">
      <c r="A60" s="260">
        <v>42649</v>
      </c>
      <c r="B60" s="236" t="s">
        <v>226</v>
      </c>
      <c r="C60" s="237">
        <v>300009374215</v>
      </c>
      <c r="D60" s="261" t="s">
        <v>236</v>
      </c>
      <c r="E60" s="236">
        <v>0</v>
      </c>
      <c r="F60" s="236">
        <v>0</v>
      </c>
      <c r="G60" s="236">
        <v>0</v>
      </c>
      <c r="H60" s="236">
        <v>0</v>
      </c>
      <c r="I60" s="236">
        <v>0</v>
      </c>
      <c r="J60" s="236">
        <v>0</v>
      </c>
      <c r="K60" s="236">
        <v>0</v>
      </c>
    </row>
    <row r="61" spans="1:11">
      <c r="A61" s="260">
        <v>42649</v>
      </c>
      <c r="B61" s="236" t="s">
        <v>226</v>
      </c>
      <c r="C61" s="237">
        <v>300009406202</v>
      </c>
      <c r="D61" s="261" t="s">
        <v>232</v>
      </c>
      <c r="E61" s="236">
        <v>0</v>
      </c>
      <c r="F61" s="236">
        <v>1</v>
      </c>
      <c r="G61" s="236">
        <v>0</v>
      </c>
      <c r="H61" s="236">
        <v>0</v>
      </c>
      <c r="I61" s="236">
        <v>0</v>
      </c>
      <c r="J61" s="236">
        <v>1</v>
      </c>
      <c r="K61" s="236">
        <v>0</v>
      </c>
    </row>
    <row r="62" spans="1:11">
      <c r="A62" s="260">
        <v>42650</v>
      </c>
      <c r="B62" s="236" t="s">
        <v>226</v>
      </c>
      <c r="C62" s="237">
        <v>300009185572</v>
      </c>
      <c r="D62" s="261" t="s">
        <v>237</v>
      </c>
      <c r="E62" s="236">
        <v>1</v>
      </c>
      <c r="F62" s="236">
        <v>11</v>
      </c>
      <c r="G62" s="236">
        <v>0</v>
      </c>
      <c r="H62" s="236">
        <v>1</v>
      </c>
      <c r="I62" s="236">
        <v>1100</v>
      </c>
      <c r="J62" s="236">
        <v>11</v>
      </c>
      <c r="K62" s="236">
        <v>1</v>
      </c>
    </row>
    <row r="63" spans="1:11">
      <c r="A63" s="260">
        <v>42650</v>
      </c>
      <c r="B63" s="236" t="s">
        <v>226</v>
      </c>
      <c r="C63" s="237">
        <v>300009406202</v>
      </c>
      <c r="D63" s="261" t="s">
        <v>232</v>
      </c>
      <c r="E63" s="236">
        <v>0</v>
      </c>
      <c r="F63" s="236">
        <v>2</v>
      </c>
      <c r="G63" s="236">
        <v>0</v>
      </c>
      <c r="H63" s="236">
        <v>1</v>
      </c>
      <c r="I63" s="236">
        <v>0</v>
      </c>
      <c r="J63" s="236">
        <v>2</v>
      </c>
      <c r="K63" s="236">
        <v>1</v>
      </c>
    </row>
    <row r="64" spans="1:11">
      <c r="A64" s="260">
        <v>42650</v>
      </c>
      <c r="B64" s="236" t="s">
        <v>226</v>
      </c>
      <c r="C64" s="237">
        <v>300009406201</v>
      </c>
      <c r="D64" s="261" t="s">
        <v>234</v>
      </c>
      <c r="E64" s="236">
        <v>0</v>
      </c>
      <c r="F64" s="236">
        <v>4</v>
      </c>
      <c r="G64" s="236">
        <v>0</v>
      </c>
      <c r="H64" s="236">
        <v>1</v>
      </c>
      <c r="I64" s="236">
        <v>692</v>
      </c>
      <c r="J64" s="236">
        <v>4</v>
      </c>
      <c r="K64" s="236">
        <v>1</v>
      </c>
    </row>
    <row r="65" spans="1:11">
      <c r="A65" s="260">
        <v>42650</v>
      </c>
      <c r="B65" s="236" t="s">
        <v>226</v>
      </c>
      <c r="C65" s="237">
        <v>300009374212</v>
      </c>
      <c r="D65" s="261" t="s">
        <v>235</v>
      </c>
      <c r="E65" s="236">
        <v>0</v>
      </c>
      <c r="F65" s="236">
        <v>3</v>
      </c>
      <c r="G65" s="236">
        <v>0</v>
      </c>
      <c r="H65" s="236">
        <v>0</v>
      </c>
      <c r="I65" s="236">
        <v>684</v>
      </c>
      <c r="J65" s="236">
        <v>3</v>
      </c>
      <c r="K65" s="236">
        <v>0</v>
      </c>
    </row>
    <row r="66" spans="1:11">
      <c r="A66" s="260">
        <v>42650</v>
      </c>
      <c r="B66" s="236" t="s">
        <v>226</v>
      </c>
      <c r="C66" s="237">
        <v>300009374215</v>
      </c>
      <c r="D66" s="261" t="s">
        <v>236</v>
      </c>
      <c r="E66" s="236">
        <v>0</v>
      </c>
      <c r="F66" s="236">
        <v>1</v>
      </c>
      <c r="G66" s="236">
        <v>0</v>
      </c>
      <c r="H66" s="236">
        <v>0</v>
      </c>
      <c r="I66" s="236">
        <v>0</v>
      </c>
      <c r="J66" s="236">
        <v>1</v>
      </c>
      <c r="K66" s="236">
        <v>0</v>
      </c>
    </row>
    <row r="67" spans="1:11">
      <c r="A67" s="260">
        <v>42644</v>
      </c>
      <c r="B67" s="236" t="s">
        <v>554</v>
      </c>
      <c r="C67" s="237">
        <v>300009608232</v>
      </c>
      <c r="D67" s="261" t="s">
        <v>552</v>
      </c>
      <c r="E67" s="236">
        <v>8</v>
      </c>
      <c r="F67" s="236">
        <v>8</v>
      </c>
      <c r="G67" s="236">
        <v>6</v>
      </c>
      <c r="H67" s="236">
        <v>6</v>
      </c>
      <c r="I67" s="236">
        <v>72</v>
      </c>
      <c r="J67" s="236">
        <v>8</v>
      </c>
      <c r="K67" s="236">
        <v>6</v>
      </c>
    </row>
    <row r="68" spans="1:11">
      <c r="A68" s="260">
        <v>42644</v>
      </c>
      <c r="B68" s="236" t="s">
        <v>554</v>
      </c>
      <c r="C68" s="237">
        <v>300009574234</v>
      </c>
      <c r="D68" s="261" t="s">
        <v>553</v>
      </c>
      <c r="E68" s="236">
        <v>0</v>
      </c>
      <c r="F68" s="236">
        <v>0</v>
      </c>
      <c r="G68" s="236">
        <v>0</v>
      </c>
      <c r="H68" s="236">
        <v>0</v>
      </c>
      <c r="I68" s="236">
        <v>20</v>
      </c>
      <c r="J68" s="236">
        <v>0</v>
      </c>
      <c r="K68" s="236">
        <v>0</v>
      </c>
    </row>
    <row r="69" spans="1:11">
      <c r="A69" s="260">
        <v>42645</v>
      </c>
      <c r="B69" s="236" t="s">
        <v>554</v>
      </c>
      <c r="C69" s="237">
        <v>300009608232</v>
      </c>
      <c r="D69" s="261" t="s">
        <v>552</v>
      </c>
      <c r="E69" s="236">
        <v>2</v>
      </c>
      <c r="F69" s="236">
        <v>11</v>
      </c>
      <c r="G69" s="236">
        <v>1</v>
      </c>
      <c r="H69" s="236">
        <v>7</v>
      </c>
      <c r="I69" s="236">
        <v>72</v>
      </c>
      <c r="J69" s="236">
        <v>11</v>
      </c>
      <c r="K69" s="236">
        <v>7</v>
      </c>
    </row>
    <row r="70" spans="1:11">
      <c r="A70" s="260">
        <v>42645</v>
      </c>
      <c r="B70" s="236" t="s">
        <v>554</v>
      </c>
      <c r="C70" s="237">
        <v>300008849022</v>
      </c>
      <c r="D70" s="261" t="s">
        <v>555</v>
      </c>
      <c r="E70" s="236">
        <v>1</v>
      </c>
      <c r="F70" s="236">
        <v>1</v>
      </c>
      <c r="G70" s="236">
        <v>1</v>
      </c>
      <c r="H70" s="236">
        <v>1</v>
      </c>
      <c r="I70" s="236">
        <v>0</v>
      </c>
      <c r="J70" s="236">
        <v>1</v>
      </c>
      <c r="K70" s="236">
        <v>1</v>
      </c>
    </row>
    <row r="71" spans="1:11">
      <c r="A71" s="260">
        <v>42645</v>
      </c>
      <c r="B71" s="236" t="s">
        <v>554</v>
      </c>
      <c r="C71" s="237">
        <v>300009574234</v>
      </c>
      <c r="D71" s="261" t="s">
        <v>553</v>
      </c>
      <c r="E71" s="236">
        <v>0</v>
      </c>
      <c r="F71" s="236">
        <v>0</v>
      </c>
      <c r="G71" s="236">
        <v>0</v>
      </c>
      <c r="H71" s="236">
        <v>0</v>
      </c>
      <c r="I71" s="236">
        <v>33</v>
      </c>
      <c r="J71" s="236">
        <v>0</v>
      </c>
      <c r="K71" s="236">
        <v>0</v>
      </c>
    </row>
    <row r="72" spans="1:11">
      <c r="A72" s="260">
        <v>42646</v>
      </c>
      <c r="B72" s="236" t="s">
        <v>554</v>
      </c>
      <c r="C72" s="237">
        <v>300009608232</v>
      </c>
      <c r="D72" s="261" t="s">
        <v>552</v>
      </c>
      <c r="E72" s="236">
        <v>0</v>
      </c>
      <c r="F72" s="236">
        <v>11</v>
      </c>
      <c r="G72" s="236">
        <v>0</v>
      </c>
      <c r="H72" s="236">
        <v>7</v>
      </c>
      <c r="I72" s="236">
        <v>72</v>
      </c>
      <c r="J72" s="236">
        <v>11</v>
      </c>
      <c r="K72" s="236">
        <v>7</v>
      </c>
    </row>
    <row r="73" spans="1:11">
      <c r="A73" s="260">
        <v>42646</v>
      </c>
      <c r="B73" s="236" t="s">
        <v>554</v>
      </c>
      <c r="C73" s="237">
        <v>300008849022</v>
      </c>
      <c r="D73" s="261" t="s">
        <v>555</v>
      </c>
      <c r="E73" s="236">
        <v>0</v>
      </c>
      <c r="F73" s="236">
        <v>1</v>
      </c>
      <c r="G73" s="236">
        <v>0</v>
      </c>
      <c r="H73" s="236">
        <v>1</v>
      </c>
      <c r="I73" s="236">
        <v>0</v>
      </c>
      <c r="J73" s="236">
        <v>1</v>
      </c>
      <c r="K73" s="236">
        <v>1</v>
      </c>
    </row>
    <row r="74" spans="1:11">
      <c r="A74" s="260">
        <v>42646</v>
      </c>
      <c r="B74" s="236" t="s">
        <v>554</v>
      </c>
      <c r="C74" s="237">
        <v>300009574234</v>
      </c>
      <c r="D74" s="261" t="s">
        <v>553</v>
      </c>
      <c r="E74" s="236">
        <v>0</v>
      </c>
      <c r="F74" s="236">
        <v>0</v>
      </c>
      <c r="G74" s="236">
        <v>0</v>
      </c>
      <c r="H74" s="236">
        <v>0</v>
      </c>
      <c r="I74" s="236">
        <v>47</v>
      </c>
      <c r="J74" s="236">
        <v>0</v>
      </c>
      <c r="K74" s="236">
        <v>0</v>
      </c>
    </row>
    <row r="75" spans="1:11">
      <c r="A75" s="260">
        <v>42647</v>
      </c>
      <c r="B75" s="236" t="s">
        <v>554</v>
      </c>
      <c r="C75" s="237">
        <v>300009608232</v>
      </c>
      <c r="D75" s="261" t="s">
        <v>552</v>
      </c>
      <c r="E75" s="236">
        <v>0</v>
      </c>
      <c r="F75" s="236">
        <v>11</v>
      </c>
      <c r="G75" s="236">
        <v>0</v>
      </c>
      <c r="H75" s="236">
        <v>7</v>
      </c>
      <c r="I75" s="236">
        <v>72</v>
      </c>
      <c r="J75" s="236">
        <v>11</v>
      </c>
      <c r="K75" s="236">
        <v>7</v>
      </c>
    </row>
    <row r="76" spans="1:11">
      <c r="A76" s="260">
        <v>42647</v>
      </c>
      <c r="B76" s="236" t="s">
        <v>554</v>
      </c>
      <c r="C76" s="237">
        <v>300008849022</v>
      </c>
      <c r="D76" s="261" t="s">
        <v>555</v>
      </c>
      <c r="E76" s="236">
        <v>0</v>
      </c>
      <c r="F76" s="236">
        <v>1</v>
      </c>
      <c r="G76" s="236">
        <v>0</v>
      </c>
      <c r="H76" s="236">
        <v>1</v>
      </c>
      <c r="I76" s="236">
        <v>0</v>
      </c>
      <c r="J76" s="236">
        <v>1</v>
      </c>
      <c r="K76" s="236">
        <v>1</v>
      </c>
    </row>
    <row r="77" spans="1:11">
      <c r="A77" s="260">
        <v>42647</v>
      </c>
      <c r="B77" s="236" t="s">
        <v>554</v>
      </c>
      <c r="C77" s="237">
        <v>300009574234</v>
      </c>
      <c r="D77" s="261" t="s">
        <v>553</v>
      </c>
      <c r="E77" s="236">
        <v>0</v>
      </c>
      <c r="F77" s="236">
        <v>0</v>
      </c>
      <c r="G77" s="236">
        <v>0</v>
      </c>
      <c r="H77" s="236">
        <v>0</v>
      </c>
      <c r="I77" s="236">
        <v>61</v>
      </c>
      <c r="J77" s="236">
        <v>0</v>
      </c>
      <c r="K77" s="236">
        <v>0</v>
      </c>
    </row>
    <row r="78" spans="1:11">
      <c r="A78" s="260">
        <v>42648</v>
      </c>
      <c r="B78" s="236" t="s">
        <v>554</v>
      </c>
      <c r="C78" s="237">
        <v>300009608232</v>
      </c>
      <c r="D78" s="261" t="s">
        <v>552</v>
      </c>
      <c r="E78" s="236">
        <v>3</v>
      </c>
      <c r="F78" s="236">
        <v>15</v>
      </c>
      <c r="G78" s="236">
        <v>3</v>
      </c>
      <c r="H78" s="236">
        <v>10</v>
      </c>
      <c r="I78" s="236">
        <v>72</v>
      </c>
      <c r="J78" s="236">
        <v>15</v>
      </c>
      <c r="K78" s="236">
        <v>10</v>
      </c>
    </row>
    <row r="79" spans="1:11">
      <c r="A79" s="260">
        <v>42648</v>
      </c>
      <c r="B79" s="236" t="s">
        <v>554</v>
      </c>
      <c r="C79" s="237">
        <v>300008849022</v>
      </c>
      <c r="D79" s="261" t="s">
        <v>555</v>
      </c>
      <c r="E79" s="236">
        <v>0</v>
      </c>
      <c r="F79" s="236">
        <v>1</v>
      </c>
      <c r="G79" s="236">
        <v>0</v>
      </c>
      <c r="H79" s="236">
        <v>1</v>
      </c>
      <c r="I79" s="236">
        <v>0</v>
      </c>
      <c r="J79" s="236">
        <v>1</v>
      </c>
      <c r="K79" s="236">
        <v>1</v>
      </c>
    </row>
    <row r="80" spans="1:11">
      <c r="A80" s="260">
        <v>42648</v>
      </c>
      <c r="B80" s="236" t="s">
        <v>554</v>
      </c>
      <c r="C80" s="237">
        <v>300009574234</v>
      </c>
      <c r="D80" s="261" t="s">
        <v>553</v>
      </c>
      <c r="E80" s="236">
        <v>1</v>
      </c>
      <c r="F80" s="236">
        <v>1</v>
      </c>
      <c r="G80" s="236">
        <v>1</v>
      </c>
      <c r="H80" s="236">
        <v>1</v>
      </c>
      <c r="I80" s="236">
        <v>71</v>
      </c>
      <c r="J80" s="236">
        <v>1</v>
      </c>
      <c r="K80" s="236">
        <v>1</v>
      </c>
    </row>
    <row r="81" spans="1:11">
      <c r="A81" s="260">
        <v>42648</v>
      </c>
      <c r="B81" s="236" t="s">
        <v>554</v>
      </c>
      <c r="C81" s="237">
        <v>300008844447</v>
      </c>
      <c r="D81" s="261" t="s">
        <v>556</v>
      </c>
      <c r="E81" s="236">
        <v>0</v>
      </c>
      <c r="F81" s="236">
        <v>0</v>
      </c>
      <c r="G81" s="236">
        <v>0</v>
      </c>
      <c r="H81" s="236">
        <v>0</v>
      </c>
      <c r="I81" s="236">
        <v>0</v>
      </c>
      <c r="J81" s="236">
        <v>0</v>
      </c>
      <c r="K81" s="236">
        <v>0</v>
      </c>
    </row>
    <row r="82" spans="1:11">
      <c r="A82" s="260">
        <v>42648</v>
      </c>
      <c r="B82" s="236" t="s">
        <v>554</v>
      </c>
      <c r="C82" s="237">
        <v>300009190198</v>
      </c>
      <c r="D82" s="261" t="s">
        <v>557</v>
      </c>
      <c r="E82" s="236">
        <v>0</v>
      </c>
      <c r="F82" s="236">
        <v>0</v>
      </c>
      <c r="G82" s="236">
        <v>0</v>
      </c>
      <c r="H82" s="236">
        <v>0</v>
      </c>
      <c r="I82" s="236">
        <v>0</v>
      </c>
      <c r="J82" s="236">
        <v>0</v>
      </c>
      <c r="K82" s="236">
        <v>0</v>
      </c>
    </row>
    <row r="83" spans="1:11">
      <c r="A83" s="260">
        <v>42649</v>
      </c>
      <c r="B83" s="236" t="s">
        <v>554</v>
      </c>
      <c r="C83" s="237">
        <v>300009608232</v>
      </c>
      <c r="D83" s="261" t="s">
        <v>552</v>
      </c>
      <c r="E83" s="236">
        <v>0</v>
      </c>
      <c r="F83" s="236">
        <v>16</v>
      </c>
      <c r="G83" s="236">
        <v>0</v>
      </c>
      <c r="H83" s="236">
        <v>11</v>
      </c>
      <c r="I83" s="236">
        <v>72</v>
      </c>
      <c r="J83" s="236">
        <v>16</v>
      </c>
      <c r="K83" s="236">
        <v>11</v>
      </c>
    </row>
    <row r="84" spans="1:11">
      <c r="A84" s="260">
        <v>42649</v>
      </c>
      <c r="B84" s="236" t="s">
        <v>554</v>
      </c>
      <c r="C84" s="237">
        <v>300008849022</v>
      </c>
      <c r="D84" s="261" t="s">
        <v>555</v>
      </c>
      <c r="E84" s="236">
        <v>0</v>
      </c>
      <c r="F84" s="236">
        <v>1</v>
      </c>
      <c r="G84" s="236">
        <v>0</v>
      </c>
      <c r="H84" s="236">
        <v>1</v>
      </c>
      <c r="I84" s="236">
        <v>0</v>
      </c>
      <c r="J84" s="236">
        <v>1</v>
      </c>
      <c r="K84" s="236">
        <v>1</v>
      </c>
    </row>
    <row r="85" spans="1:11">
      <c r="A85" s="260">
        <v>42649</v>
      </c>
      <c r="B85" s="236" t="s">
        <v>554</v>
      </c>
      <c r="C85" s="237">
        <v>300009574234</v>
      </c>
      <c r="D85" s="261" t="s">
        <v>553</v>
      </c>
      <c r="E85" s="236">
        <v>0</v>
      </c>
      <c r="F85" s="236">
        <v>1</v>
      </c>
      <c r="G85" s="236">
        <v>0</v>
      </c>
      <c r="H85" s="236">
        <v>1</v>
      </c>
      <c r="I85" s="236">
        <v>81</v>
      </c>
      <c r="J85" s="236">
        <v>1</v>
      </c>
      <c r="K85" s="236">
        <v>1</v>
      </c>
    </row>
    <row r="86" spans="1:11">
      <c r="A86" s="260">
        <v>42649</v>
      </c>
      <c r="B86" s="236" t="s">
        <v>554</v>
      </c>
      <c r="C86" s="237">
        <v>300008844447</v>
      </c>
      <c r="D86" s="261" t="s">
        <v>556</v>
      </c>
      <c r="E86" s="236">
        <v>0</v>
      </c>
      <c r="F86" s="236">
        <v>1</v>
      </c>
      <c r="G86" s="236">
        <v>0</v>
      </c>
      <c r="H86" s="236">
        <v>0</v>
      </c>
      <c r="I86" s="236">
        <v>0</v>
      </c>
      <c r="J86" s="236">
        <v>1</v>
      </c>
      <c r="K86" s="236">
        <v>0</v>
      </c>
    </row>
    <row r="87" spans="1:11">
      <c r="A87" s="260">
        <v>42649</v>
      </c>
      <c r="B87" s="236" t="s">
        <v>554</v>
      </c>
      <c r="C87" s="237">
        <v>300009190198</v>
      </c>
      <c r="D87" s="261" t="s">
        <v>557</v>
      </c>
      <c r="E87" s="236">
        <v>0</v>
      </c>
      <c r="F87" s="236">
        <v>0</v>
      </c>
      <c r="G87" s="236">
        <v>0</v>
      </c>
      <c r="H87" s="236">
        <v>0</v>
      </c>
      <c r="I87" s="236">
        <v>0</v>
      </c>
      <c r="J87" s="236">
        <v>0</v>
      </c>
      <c r="K87" s="236">
        <v>0</v>
      </c>
    </row>
    <row r="88" spans="1:11">
      <c r="A88" s="260">
        <v>42650</v>
      </c>
      <c r="B88" s="236" t="s">
        <v>554</v>
      </c>
      <c r="C88" s="237">
        <v>300009608232</v>
      </c>
      <c r="D88" s="261" t="s">
        <v>552</v>
      </c>
      <c r="E88" s="236">
        <v>0</v>
      </c>
      <c r="F88" s="236">
        <v>16</v>
      </c>
      <c r="G88" s="236">
        <v>0</v>
      </c>
      <c r="H88" s="236">
        <v>11</v>
      </c>
      <c r="I88" s="236">
        <v>72</v>
      </c>
      <c r="J88" s="236">
        <v>16</v>
      </c>
      <c r="K88" s="236">
        <v>11</v>
      </c>
    </row>
    <row r="89" spans="1:11">
      <c r="A89" s="260">
        <v>42650</v>
      </c>
      <c r="B89" s="236" t="s">
        <v>554</v>
      </c>
      <c r="C89" s="237">
        <v>300008849022</v>
      </c>
      <c r="D89" s="261" t="s">
        <v>555</v>
      </c>
      <c r="E89" s="236">
        <v>0</v>
      </c>
      <c r="F89" s="236">
        <v>1</v>
      </c>
      <c r="G89" s="236">
        <v>0</v>
      </c>
      <c r="H89" s="236">
        <v>1</v>
      </c>
      <c r="I89" s="236">
        <v>0</v>
      </c>
      <c r="J89" s="236">
        <v>1</v>
      </c>
      <c r="K89" s="236">
        <v>1</v>
      </c>
    </row>
    <row r="90" spans="1:11">
      <c r="A90" s="260">
        <v>42650</v>
      </c>
      <c r="B90" s="236" t="s">
        <v>554</v>
      </c>
      <c r="C90" s="237">
        <v>300009574234</v>
      </c>
      <c r="D90" s="261" t="s">
        <v>553</v>
      </c>
      <c r="E90" s="236">
        <v>0</v>
      </c>
      <c r="F90" s="236">
        <v>1</v>
      </c>
      <c r="G90" s="236">
        <v>0</v>
      </c>
      <c r="H90" s="236">
        <v>1</v>
      </c>
      <c r="I90" s="236">
        <v>88</v>
      </c>
      <c r="J90" s="236">
        <v>1</v>
      </c>
      <c r="K90" s="236">
        <v>1</v>
      </c>
    </row>
    <row r="91" spans="1:11">
      <c r="A91" s="260">
        <v>42650</v>
      </c>
      <c r="B91" s="236" t="s">
        <v>554</v>
      </c>
      <c r="C91" s="237">
        <v>300008844447</v>
      </c>
      <c r="D91" s="261" t="s">
        <v>556</v>
      </c>
      <c r="E91" s="236">
        <v>1</v>
      </c>
      <c r="F91" s="236">
        <v>2</v>
      </c>
      <c r="G91" s="236">
        <v>0</v>
      </c>
      <c r="H91" s="236">
        <v>0</v>
      </c>
      <c r="I91" s="236">
        <v>0</v>
      </c>
      <c r="J91" s="236">
        <v>2</v>
      </c>
      <c r="K91" s="236">
        <v>0</v>
      </c>
    </row>
    <row r="92" spans="1:11">
      <c r="A92" s="260">
        <v>42650</v>
      </c>
      <c r="B92" s="236" t="s">
        <v>554</v>
      </c>
      <c r="C92" s="237">
        <v>300009190198</v>
      </c>
      <c r="D92" s="261" t="s">
        <v>557</v>
      </c>
      <c r="E92" s="236">
        <v>0</v>
      </c>
      <c r="F92" s="236">
        <v>0</v>
      </c>
      <c r="G92" s="236">
        <v>0</v>
      </c>
      <c r="H92" s="236">
        <v>0</v>
      </c>
      <c r="I92" s="236">
        <v>0</v>
      </c>
      <c r="J92" s="236">
        <v>0</v>
      </c>
      <c r="K92" s="236">
        <v>0</v>
      </c>
    </row>
    <row r="93" spans="1:11">
      <c r="A93" s="260">
        <v>42651</v>
      </c>
      <c r="B93" s="236" t="s">
        <v>554</v>
      </c>
      <c r="C93" s="237">
        <v>300009608232</v>
      </c>
      <c r="D93" s="261" t="s">
        <v>552</v>
      </c>
      <c r="E93" s="236">
        <v>0</v>
      </c>
      <c r="F93" s="236">
        <v>16</v>
      </c>
      <c r="G93" s="236">
        <v>0</v>
      </c>
      <c r="H93" s="236">
        <v>11</v>
      </c>
      <c r="I93" s="236">
        <v>72</v>
      </c>
      <c r="J93" s="236">
        <v>16</v>
      </c>
      <c r="K93" s="236">
        <v>11</v>
      </c>
    </row>
    <row r="94" spans="1:11">
      <c r="A94" s="260">
        <v>42651</v>
      </c>
      <c r="B94" s="236" t="s">
        <v>554</v>
      </c>
      <c r="C94" s="237">
        <v>300008849022</v>
      </c>
      <c r="D94" s="261" t="s">
        <v>555</v>
      </c>
      <c r="E94" s="236">
        <v>0</v>
      </c>
      <c r="F94" s="236">
        <v>1</v>
      </c>
      <c r="G94" s="236">
        <v>0</v>
      </c>
      <c r="H94" s="236">
        <v>1</v>
      </c>
      <c r="I94" s="236">
        <v>0</v>
      </c>
      <c r="J94" s="236">
        <v>1</v>
      </c>
      <c r="K94" s="236">
        <v>1</v>
      </c>
    </row>
    <row r="95" spans="1:11">
      <c r="A95" s="260">
        <v>42651</v>
      </c>
      <c r="B95" s="236" t="s">
        <v>554</v>
      </c>
      <c r="C95" s="237">
        <v>300009574234</v>
      </c>
      <c r="D95" s="261" t="s">
        <v>553</v>
      </c>
      <c r="E95" s="236">
        <v>0</v>
      </c>
      <c r="F95" s="236">
        <v>1</v>
      </c>
      <c r="G95" s="236">
        <v>0</v>
      </c>
      <c r="H95" s="236">
        <v>1</v>
      </c>
      <c r="I95" s="236">
        <v>111</v>
      </c>
      <c r="J95" s="236">
        <v>1</v>
      </c>
      <c r="K95" s="236">
        <v>1</v>
      </c>
    </row>
    <row r="96" spans="1:11">
      <c r="A96" s="260">
        <v>42651</v>
      </c>
      <c r="B96" s="236" t="s">
        <v>554</v>
      </c>
      <c r="C96" s="237">
        <v>300008844447</v>
      </c>
      <c r="D96" s="261" t="s">
        <v>556</v>
      </c>
      <c r="E96" s="236">
        <v>0</v>
      </c>
      <c r="F96" s="236">
        <v>2</v>
      </c>
      <c r="G96" s="236">
        <v>0</v>
      </c>
      <c r="H96" s="236">
        <v>0</v>
      </c>
      <c r="I96" s="236">
        <v>0</v>
      </c>
      <c r="J96" s="236">
        <v>2</v>
      </c>
      <c r="K96" s="236">
        <v>0</v>
      </c>
    </row>
    <row r="97" spans="1:11">
      <c r="A97" s="260">
        <v>42651</v>
      </c>
      <c r="B97" s="236" t="s">
        <v>554</v>
      </c>
      <c r="C97" s="237">
        <v>300009190198</v>
      </c>
      <c r="D97" s="261" t="s">
        <v>557</v>
      </c>
      <c r="E97" s="236">
        <v>0</v>
      </c>
      <c r="F97" s="236">
        <v>0</v>
      </c>
      <c r="G97" s="236">
        <v>0</v>
      </c>
      <c r="H97" s="236">
        <v>0</v>
      </c>
      <c r="I97" s="236">
        <v>0</v>
      </c>
      <c r="J97" s="236">
        <v>0</v>
      </c>
      <c r="K97" s="236">
        <v>0</v>
      </c>
    </row>
    <row r="98" spans="1:11">
      <c r="A98" s="260">
        <v>42651</v>
      </c>
      <c r="B98" s="236" t="s">
        <v>226</v>
      </c>
      <c r="C98" s="237">
        <v>300009185572</v>
      </c>
      <c r="D98" s="261" t="s">
        <v>237</v>
      </c>
      <c r="E98" s="236">
        <v>1</v>
      </c>
      <c r="F98" s="236">
        <v>12</v>
      </c>
      <c r="G98" s="236">
        <v>0</v>
      </c>
      <c r="H98" s="236">
        <v>1</v>
      </c>
      <c r="I98" s="236">
        <v>1205</v>
      </c>
      <c r="J98" s="236">
        <v>12</v>
      </c>
      <c r="K98" s="236">
        <v>1</v>
      </c>
    </row>
    <row r="99" spans="1:11">
      <c r="A99" s="260">
        <v>42651</v>
      </c>
      <c r="B99" s="236" t="s">
        <v>226</v>
      </c>
      <c r="C99" s="237">
        <v>300009406202</v>
      </c>
      <c r="D99" s="261" t="s">
        <v>232</v>
      </c>
      <c r="E99" s="236">
        <v>0</v>
      </c>
      <c r="F99" s="236">
        <v>2</v>
      </c>
      <c r="G99" s="236">
        <v>0</v>
      </c>
      <c r="H99" s="236">
        <v>1</v>
      </c>
      <c r="I99" s="236">
        <v>113</v>
      </c>
      <c r="J99" s="236">
        <v>2</v>
      </c>
      <c r="K99" s="236">
        <v>1</v>
      </c>
    </row>
    <row r="100" spans="1:11">
      <c r="A100" s="260">
        <v>42651</v>
      </c>
      <c r="B100" s="236" t="s">
        <v>226</v>
      </c>
      <c r="C100" s="237">
        <v>300009406201</v>
      </c>
      <c r="D100" s="261" t="s">
        <v>234</v>
      </c>
      <c r="E100" s="236">
        <v>0</v>
      </c>
      <c r="F100" s="236">
        <v>4</v>
      </c>
      <c r="G100" s="236">
        <v>0</v>
      </c>
      <c r="H100" s="236">
        <v>1</v>
      </c>
      <c r="I100" s="236">
        <v>809</v>
      </c>
      <c r="J100" s="236">
        <v>4</v>
      </c>
      <c r="K100" s="236">
        <v>1</v>
      </c>
    </row>
    <row r="101" spans="1:11">
      <c r="A101" s="260">
        <v>42651</v>
      </c>
      <c r="B101" s="236" t="s">
        <v>226</v>
      </c>
      <c r="C101" s="237">
        <v>300009374212</v>
      </c>
      <c r="D101" s="261" t="s">
        <v>235</v>
      </c>
      <c r="E101" s="236">
        <v>0</v>
      </c>
      <c r="F101" s="236">
        <v>3</v>
      </c>
      <c r="G101" s="236">
        <v>0</v>
      </c>
      <c r="H101" s="236">
        <v>0</v>
      </c>
      <c r="I101" s="236">
        <v>684</v>
      </c>
      <c r="J101" s="236">
        <v>3</v>
      </c>
      <c r="K101" s="236">
        <v>0</v>
      </c>
    </row>
    <row r="102" spans="1:11">
      <c r="A102" s="260">
        <v>42651</v>
      </c>
      <c r="B102" s="236" t="s">
        <v>226</v>
      </c>
      <c r="C102" s="237">
        <v>300009374215</v>
      </c>
      <c r="D102" s="261" t="s">
        <v>236</v>
      </c>
      <c r="E102" s="236">
        <v>0</v>
      </c>
      <c r="F102" s="236">
        <v>1</v>
      </c>
      <c r="G102" s="236">
        <v>0</v>
      </c>
      <c r="H102" s="236">
        <v>0</v>
      </c>
      <c r="I102" s="236">
        <v>0</v>
      </c>
      <c r="J102" s="236">
        <v>1</v>
      </c>
      <c r="K102" s="236">
        <v>0</v>
      </c>
    </row>
    <row r="103" spans="1:11">
      <c r="A103" s="260">
        <v>42651</v>
      </c>
      <c r="B103" s="260" t="s">
        <v>474</v>
      </c>
      <c r="C103" s="237">
        <v>300009480238</v>
      </c>
      <c r="D103" s="261" t="s">
        <v>263</v>
      </c>
      <c r="E103" s="236">
        <v>1</v>
      </c>
      <c r="F103" s="236">
        <v>15</v>
      </c>
      <c r="G103" s="236">
        <v>0</v>
      </c>
      <c r="H103" s="236">
        <v>3</v>
      </c>
      <c r="I103" s="236">
        <v>1165</v>
      </c>
      <c r="J103" s="236">
        <v>15</v>
      </c>
      <c r="K103" s="236">
        <v>3</v>
      </c>
    </row>
    <row r="104" spans="1:11">
      <c r="A104" s="260">
        <v>42651</v>
      </c>
      <c r="B104" s="236" t="s">
        <v>459</v>
      </c>
      <c r="C104" s="237">
        <v>300009358277</v>
      </c>
      <c r="D104" s="261" t="s">
        <v>458</v>
      </c>
      <c r="E104" s="236">
        <v>5</v>
      </c>
      <c r="F104" s="236">
        <v>56</v>
      </c>
      <c r="G104" s="236">
        <v>0</v>
      </c>
      <c r="H104" s="236">
        <v>9</v>
      </c>
      <c r="I104" s="236">
        <v>10156</v>
      </c>
      <c r="J104" s="236">
        <v>55.14</v>
      </c>
      <c r="K104" s="236">
        <v>8.86</v>
      </c>
    </row>
    <row r="105" spans="1:11">
      <c r="A105" s="260">
        <v>42651</v>
      </c>
      <c r="B105" s="236" t="s">
        <v>227</v>
      </c>
      <c r="C105" s="237">
        <v>300009192151</v>
      </c>
      <c r="D105" s="261" t="s">
        <v>486</v>
      </c>
      <c r="E105" s="236">
        <v>0</v>
      </c>
      <c r="F105" s="236">
        <v>0</v>
      </c>
      <c r="G105" s="236">
        <v>0</v>
      </c>
      <c r="H105" s="236">
        <v>0</v>
      </c>
      <c r="I105" s="236">
        <v>1138</v>
      </c>
      <c r="J105" s="236">
        <v>0</v>
      </c>
      <c r="K105" s="236">
        <v>0</v>
      </c>
    </row>
    <row r="106" spans="1:11">
      <c r="A106" s="260">
        <v>42651</v>
      </c>
      <c r="B106" s="236" t="s">
        <v>193</v>
      </c>
      <c r="C106" s="237">
        <v>300008244937</v>
      </c>
      <c r="D106" s="261" t="s">
        <v>272</v>
      </c>
      <c r="E106" s="236">
        <v>0</v>
      </c>
      <c r="F106" s="236">
        <v>0</v>
      </c>
      <c r="G106" s="236">
        <v>0</v>
      </c>
      <c r="H106" s="236">
        <v>0</v>
      </c>
      <c r="I106" s="236">
        <v>0</v>
      </c>
      <c r="J106" s="236">
        <v>0</v>
      </c>
      <c r="K106" s="236">
        <v>0</v>
      </c>
    </row>
    <row r="107" spans="1:11">
      <c r="A107" s="260">
        <v>42651</v>
      </c>
      <c r="B107" s="236" t="s">
        <v>193</v>
      </c>
      <c r="C107" s="237">
        <v>300008579657</v>
      </c>
      <c r="D107" s="261" t="s">
        <v>482</v>
      </c>
      <c r="E107" s="236">
        <v>0</v>
      </c>
      <c r="F107" s="236">
        <v>0</v>
      </c>
      <c r="G107" s="236">
        <v>0</v>
      </c>
      <c r="H107" s="236">
        <v>0</v>
      </c>
      <c r="I107" s="236">
        <v>0</v>
      </c>
      <c r="J107" s="236">
        <v>0</v>
      </c>
      <c r="K107" s="236">
        <v>0</v>
      </c>
    </row>
    <row r="108" spans="1:11">
      <c r="A108" s="260">
        <v>42651</v>
      </c>
      <c r="B108" s="236" t="s">
        <v>193</v>
      </c>
      <c r="C108" s="237">
        <v>300009000071</v>
      </c>
      <c r="D108" s="236" t="s">
        <v>483</v>
      </c>
      <c r="E108" s="236">
        <v>0</v>
      </c>
      <c r="F108" s="236">
        <v>1</v>
      </c>
      <c r="G108" s="236">
        <v>0</v>
      </c>
      <c r="H108" s="236">
        <v>0</v>
      </c>
      <c r="I108" s="236">
        <v>0</v>
      </c>
      <c r="J108" s="236">
        <v>1</v>
      </c>
      <c r="K108" s="236">
        <v>0</v>
      </c>
    </row>
    <row r="109" spans="1:11">
      <c r="A109" s="260">
        <v>42651</v>
      </c>
      <c r="B109" s="236" t="s">
        <v>193</v>
      </c>
      <c r="C109" s="237">
        <v>300009235971</v>
      </c>
      <c r="D109" s="261" t="s">
        <v>241</v>
      </c>
      <c r="E109" s="236">
        <v>0</v>
      </c>
      <c r="F109" s="236">
        <v>0</v>
      </c>
      <c r="G109" s="236">
        <v>0</v>
      </c>
      <c r="H109" s="236">
        <v>0</v>
      </c>
      <c r="I109" s="236">
        <v>0</v>
      </c>
      <c r="J109" s="236">
        <v>0</v>
      </c>
      <c r="K109" s="236">
        <v>0</v>
      </c>
    </row>
    <row r="110" spans="1:11">
      <c r="A110" s="260">
        <v>42652</v>
      </c>
      <c r="B110" s="236" t="s">
        <v>459</v>
      </c>
      <c r="C110" s="237">
        <v>300009358277</v>
      </c>
      <c r="D110" s="261" t="s">
        <v>458</v>
      </c>
      <c r="E110" s="236">
        <v>13</v>
      </c>
      <c r="F110" s="236">
        <v>69</v>
      </c>
      <c r="G110" s="236">
        <v>1</v>
      </c>
      <c r="H110" s="236">
        <v>10</v>
      </c>
      <c r="I110" s="236">
        <v>10822</v>
      </c>
      <c r="J110" s="236">
        <v>63.76</v>
      </c>
      <c r="K110" s="236">
        <v>9.24</v>
      </c>
    </row>
    <row r="111" spans="1:11">
      <c r="A111" s="260">
        <v>42652</v>
      </c>
      <c r="B111" s="236" t="s">
        <v>474</v>
      </c>
      <c r="C111" s="237">
        <v>300009480238</v>
      </c>
      <c r="D111" s="261" t="s">
        <v>263</v>
      </c>
      <c r="E111" s="236">
        <v>0</v>
      </c>
      <c r="F111" s="236">
        <v>16</v>
      </c>
      <c r="G111" s="236">
        <v>0</v>
      </c>
      <c r="H111" s="236">
        <v>3</v>
      </c>
      <c r="I111" s="236">
        <v>1165</v>
      </c>
      <c r="J111" s="236">
        <v>16</v>
      </c>
      <c r="K111" s="236">
        <v>3</v>
      </c>
    </row>
    <row r="112" spans="1:11">
      <c r="A112" s="260">
        <v>42652</v>
      </c>
      <c r="B112" s="236" t="s">
        <v>193</v>
      </c>
      <c r="C112" s="237">
        <v>300008244937</v>
      </c>
      <c r="D112" s="261" t="s">
        <v>272</v>
      </c>
      <c r="E112" s="236">
        <v>0</v>
      </c>
      <c r="F112" s="236">
        <v>0</v>
      </c>
      <c r="G112" s="236">
        <v>0</v>
      </c>
      <c r="H112" s="236">
        <v>0</v>
      </c>
      <c r="I112" s="236">
        <v>0</v>
      </c>
      <c r="J112" s="236">
        <v>0</v>
      </c>
      <c r="K112" s="236">
        <v>0</v>
      </c>
    </row>
    <row r="113" spans="1:11">
      <c r="A113" s="260">
        <v>42652</v>
      </c>
      <c r="B113" s="236" t="s">
        <v>193</v>
      </c>
      <c r="C113" s="237">
        <v>300008579657</v>
      </c>
      <c r="D113" s="261" t="s">
        <v>482</v>
      </c>
      <c r="E113" s="236">
        <v>0</v>
      </c>
      <c r="F113" s="236">
        <v>0</v>
      </c>
      <c r="G113" s="236">
        <v>0</v>
      </c>
      <c r="H113" s="236">
        <v>0</v>
      </c>
      <c r="I113" s="236">
        <v>0</v>
      </c>
      <c r="J113" s="236">
        <v>0</v>
      </c>
      <c r="K113" s="236">
        <v>0</v>
      </c>
    </row>
    <row r="114" spans="1:11">
      <c r="A114" s="260">
        <v>42652</v>
      </c>
      <c r="B114" s="236" t="s">
        <v>193</v>
      </c>
      <c r="C114" s="237">
        <v>300009000071</v>
      </c>
      <c r="D114" s="236" t="s">
        <v>483</v>
      </c>
      <c r="E114" s="236">
        <v>0</v>
      </c>
      <c r="F114" s="236">
        <v>1</v>
      </c>
      <c r="G114" s="236">
        <v>0</v>
      </c>
      <c r="H114" s="236">
        <v>0</v>
      </c>
      <c r="I114" s="236">
        <v>0</v>
      </c>
      <c r="J114" s="236">
        <v>1</v>
      </c>
      <c r="K114" s="236">
        <v>0</v>
      </c>
    </row>
    <row r="115" spans="1:11">
      <c r="A115" s="260">
        <v>42652</v>
      </c>
      <c r="B115" s="236" t="s">
        <v>193</v>
      </c>
      <c r="C115" s="237">
        <v>300009235971</v>
      </c>
      <c r="D115" s="261" t="s">
        <v>241</v>
      </c>
      <c r="E115" s="236">
        <v>0</v>
      </c>
      <c r="F115" s="236">
        <v>0</v>
      </c>
      <c r="G115" s="236">
        <v>0</v>
      </c>
      <c r="H115" s="236">
        <v>0</v>
      </c>
      <c r="I115" s="236">
        <v>0</v>
      </c>
      <c r="J115" s="236">
        <v>0</v>
      </c>
      <c r="K115" s="236">
        <v>0</v>
      </c>
    </row>
    <row r="116" spans="1:11">
      <c r="A116" s="260">
        <v>42652</v>
      </c>
      <c r="B116" s="236" t="s">
        <v>227</v>
      </c>
      <c r="C116" s="237">
        <v>300009192151</v>
      </c>
      <c r="D116" s="261" t="s">
        <v>486</v>
      </c>
      <c r="E116" s="236">
        <v>1</v>
      </c>
      <c r="F116" s="236">
        <v>1</v>
      </c>
      <c r="G116" s="236">
        <v>0</v>
      </c>
      <c r="H116" s="236">
        <v>0</v>
      </c>
      <c r="I116" s="236">
        <v>1307</v>
      </c>
      <c r="J116" s="236">
        <v>1</v>
      </c>
      <c r="K116" s="236">
        <v>0</v>
      </c>
    </row>
    <row r="117" spans="1:11">
      <c r="A117" s="260">
        <v>42652</v>
      </c>
      <c r="B117" s="236" t="s">
        <v>226</v>
      </c>
      <c r="C117" s="237">
        <v>300009185572</v>
      </c>
      <c r="D117" s="261" t="s">
        <v>237</v>
      </c>
      <c r="E117" s="236">
        <v>0</v>
      </c>
      <c r="F117" s="236">
        <v>13</v>
      </c>
      <c r="G117" s="236">
        <v>0</v>
      </c>
      <c r="H117" s="236">
        <v>1</v>
      </c>
      <c r="I117" s="236">
        <v>1483</v>
      </c>
      <c r="J117" s="236">
        <v>13</v>
      </c>
      <c r="K117" s="236">
        <v>1</v>
      </c>
    </row>
    <row r="118" spans="1:11">
      <c r="A118" s="260">
        <v>42652</v>
      </c>
      <c r="B118" s="236" t="s">
        <v>226</v>
      </c>
      <c r="C118" s="237">
        <v>300009406202</v>
      </c>
      <c r="D118" s="261" t="s">
        <v>232</v>
      </c>
      <c r="E118" s="236">
        <v>0</v>
      </c>
      <c r="F118" s="236">
        <v>2</v>
      </c>
      <c r="G118" s="236">
        <v>0</v>
      </c>
      <c r="H118" s="236">
        <v>1</v>
      </c>
      <c r="I118" s="236">
        <v>419</v>
      </c>
      <c r="J118" s="236">
        <v>2</v>
      </c>
      <c r="K118" s="236">
        <v>1</v>
      </c>
    </row>
    <row r="119" spans="1:11">
      <c r="A119" s="260">
        <v>42652</v>
      </c>
      <c r="B119" s="236" t="s">
        <v>226</v>
      </c>
      <c r="C119" s="237">
        <v>300009406201</v>
      </c>
      <c r="D119" s="261" t="s">
        <v>234</v>
      </c>
      <c r="E119" s="236">
        <v>0</v>
      </c>
      <c r="F119" s="236">
        <v>5</v>
      </c>
      <c r="G119" s="236">
        <v>0</v>
      </c>
      <c r="H119" s="236">
        <v>1</v>
      </c>
      <c r="I119" s="236">
        <v>1115</v>
      </c>
      <c r="J119" s="236">
        <v>5</v>
      </c>
      <c r="K119" s="236">
        <v>1</v>
      </c>
    </row>
    <row r="120" spans="1:11">
      <c r="A120" s="260">
        <v>42652</v>
      </c>
      <c r="B120" s="236" t="s">
        <v>226</v>
      </c>
      <c r="C120" s="237">
        <v>300009374212</v>
      </c>
      <c r="D120" s="261" t="s">
        <v>235</v>
      </c>
      <c r="E120" s="236">
        <v>0</v>
      </c>
      <c r="F120" s="236">
        <v>3</v>
      </c>
      <c r="G120" s="236">
        <v>0</v>
      </c>
      <c r="H120" s="236">
        <v>0</v>
      </c>
      <c r="I120" s="236">
        <v>684</v>
      </c>
      <c r="J120" s="236">
        <v>3</v>
      </c>
      <c r="K120" s="236">
        <v>0</v>
      </c>
    </row>
    <row r="121" spans="1:11">
      <c r="A121" s="260">
        <v>42652</v>
      </c>
      <c r="B121" s="236" t="s">
        <v>226</v>
      </c>
      <c r="C121" s="237">
        <v>300009374215</v>
      </c>
      <c r="D121" s="261" t="s">
        <v>236</v>
      </c>
      <c r="E121" s="236">
        <v>0</v>
      </c>
      <c r="F121" s="236">
        <v>1</v>
      </c>
      <c r="G121" s="236">
        <v>0</v>
      </c>
      <c r="H121" s="236">
        <v>0</v>
      </c>
      <c r="I121" s="236">
        <v>0</v>
      </c>
      <c r="J121" s="236">
        <v>1</v>
      </c>
      <c r="K121" s="236">
        <v>0</v>
      </c>
    </row>
    <row r="122" spans="1:11">
      <c r="A122" s="260">
        <v>42652</v>
      </c>
      <c r="B122" s="236" t="s">
        <v>554</v>
      </c>
      <c r="C122" s="237">
        <v>300009608232</v>
      </c>
      <c r="D122" s="236" t="s">
        <v>552</v>
      </c>
      <c r="E122" s="236">
        <v>1</v>
      </c>
      <c r="F122" s="236">
        <v>17</v>
      </c>
      <c r="G122" s="236">
        <v>0</v>
      </c>
      <c r="H122" s="236">
        <v>12</v>
      </c>
      <c r="I122" s="236">
        <v>72</v>
      </c>
      <c r="J122" s="236">
        <v>17</v>
      </c>
      <c r="K122" s="236">
        <v>12</v>
      </c>
    </row>
    <row r="123" spans="1:11">
      <c r="A123" s="260">
        <v>42652</v>
      </c>
      <c r="B123" s="236" t="s">
        <v>554</v>
      </c>
      <c r="C123" s="237">
        <v>300008844447</v>
      </c>
      <c r="D123" s="236" t="s">
        <v>556</v>
      </c>
      <c r="E123" s="236">
        <v>0</v>
      </c>
      <c r="F123" s="236">
        <v>2</v>
      </c>
      <c r="G123" s="236">
        <v>0</v>
      </c>
      <c r="H123" s="236">
        <v>1</v>
      </c>
      <c r="I123" s="236">
        <v>0</v>
      </c>
      <c r="J123" s="236">
        <v>2</v>
      </c>
      <c r="K123" s="236">
        <v>1</v>
      </c>
    </row>
    <row r="124" spans="1:11">
      <c r="A124" s="260">
        <v>42652</v>
      </c>
      <c r="B124" s="236" t="s">
        <v>554</v>
      </c>
      <c r="C124" s="237">
        <v>300009574234</v>
      </c>
      <c r="D124" s="236" t="s">
        <v>553</v>
      </c>
      <c r="E124" s="236">
        <v>0</v>
      </c>
      <c r="F124" s="236">
        <v>1</v>
      </c>
      <c r="G124" s="236">
        <v>0</v>
      </c>
      <c r="H124" s="236">
        <v>1</v>
      </c>
      <c r="I124" s="236">
        <v>350</v>
      </c>
      <c r="J124" s="236">
        <v>1</v>
      </c>
      <c r="K124" s="236">
        <v>1</v>
      </c>
    </row>
    <row r="125" spans="1:11">
      <c r="A125" s="260">
        <v>42652</v>
      </c>
      <c r="B125" s="236" t="s">
        <v>554</v>
      </c>
      <c r="C125" s="237">
        <v>300008849022</v>
      </c>
      <c r="D125" s="236" t="s">
        <v>555</v>
      </c>
      <c r="E125" s="236">
        <v>0</v>
      </c>
      <c r="F125" s="236">
        <v>1</v>
      </c>
      <c r="G125" s="236">
        <v>0</v>
      </c>
      <c r="H125" s="236">
        <v>1</v>
      </c>
      <c r="I125" s="236">
        <v>0</v>
      </c>
      <c r="J125" s="236">
        <v>1</v>
      </c>
      <c r="K125" s="236">
        <v>1</v>
      </c>
    </row>
    <row r="126" spans="1:11">
      <c r="A126" s="260">
        <v>42652</v>
      </c>
      <c r="B126" s="236" t="s">
        <v>554</v>
      </c>
      <c r="C126" s="237">
        <v>300009190198</v>
      </c>
      <c r="D126" s="236" t="s">
        <v>557</v>
      </c>
      <c r="E126" s="236">
        <v>0</v>
      </c>
      <c r="F126" s="236">
        <v>0</v>
      </c>
      <c r="G126" s="236">
        <v>0</v>
      </c>
      <c r="H126" s="236">
        <v>0</v>
      </c>
      <c r="I126" s="236">
        <v>0</v>
      </c>
      <c r="J126" s="236">
        <v>0</v>
      </c>
      <c r="K126" s="236">
        <v>0</v>
      </c>
    </row>
    <row r="127" spans="1:11">
      <c r="A127" s="260">
        <v>42652</v>
      </c>
      <c r="B127" s="236" t="s">
        <v>554</v>
      </c>
      <c r="C127" s="237">
        <v>300009714303</v>
      </c>
      <c r="D127" s="236" t="s">
        <v>562</v>
      </c>
      <c r="E127" s="236">
        <v>0</v>
      </c>
      <c r="F127" s="236">
        <v>0</v>
      </c>
      <c r="G127" s="236">
        <v>0</v>
      </c>
      <c r="H127" s="236">
        <v>0</v>
      </c>
      <c r="I127" s="236">
        <v>83</v>
      </c>
      <c r="J127" s="236">
        <v>0</v>
      </c>
      <c r="K127" s="236">
        <v>0</v>
      </c>
    </row>
    <row r="128" spans="1:11">
      <c r="A128" s="260">
        <v>42653</v>
      </c>
      <c r="B128" s="281" t="s">
        <v>564</v>
      </c>
      <c r="C128" s="237">
        <v>300009358277</v>
      </c>
      <c r="D128" s="261" t="s">
        <v>458</v>
      </c>
      <c r="E128" s="236">
        <v>12</v>
      </c>
      <c r="F128" s="236">
        <v>82</v>
      </c>
      <c r="G128" s="236">
        <v>0</v>
      </c>
      <c r="H128" s="236">
        <v>11</v>
      </c>
      <c r="I128" s="236">
        <v>11316</v>
      </c>
      <c r="J128" s="236">
        <v>72.459999999999994</v>
      </c>
      <c r="K128" s="236">
        <v>9.7200000000000006</v>
      </c>
    </row>
    <row r="129" spans="1:11">
      <c r="A129" s="260">
        <v>42653</v>
      </c>
      <c r="B129" s="236" t="s">
        <v>474</v>
      </c>
      <c r="C129" s="237">
        <v>300009480238</v>
      </c>
      <c r="D129" s="261" t="s">
        <v>263</v>
      </c>
      <c r="E129" s="236">
        <v>1</v>
      </c>
      <c r="F129" s="236">
        <v>17</v>
      </c>
      <c r="G129" s="236">
        <v>0</v>
      </c>
      <c r="H129" s="236">
        <v>3</v>
      </c>
      <c r="I129" s="236">
        <v>1165</v>
      </c>
      <c r="J129" s="236">
        <v>17</v>
      </c>
      <c r="K129" s="236">
        <v>3</v>
      </c>
    </row>
    <row r="130" spans="1:11">
      <c r="A130" s="260">
        <v>42653</v>
      </c>
      <c r="B130" s="236" t="s">
        <v>193</v>
      </c>
      <c r="C130" s="237">
        <v>300008579657</v>
      </c>
      <c r="D130" s="261" t="s">
        <v>482</v>
      </c>
      <c r="E130" s="236">
        <v>0</v>
      </c>
      <c r="F130" s="236">
        <v>1</v>
      </c>
      <c r="G130" s="236">
        <v>0</v>
      </c>
      <c r="H130" s="236">
        <v>1</v>
      </c>
      <c r="I130" s="236">
        <v>0</v>
      </c>
      <c r="J130" s="236">
        <v>1</v>
      </c>
      <c r="K130" s="236">
        <v>1</v>
      </c>
    </row>
    <row r="131" spans="1:11">
      <c r="A131" s="260">
        <v>42653</v>
      </c>
      <c r="B131" s="236" t="s">
        <v>193</v>
      </c>
      <c r="C131" s="237">
        <v>300008244937</v>
      </c>
      <c r="D131" s="261" t="s">
        <v>272</v>
      </c>
      <c r="E131" s="236">
        <v>0</v>
      </c>
      <c r="F131" s="236">
        <v>0</v>
      </c>
      <c r="G131" s="236">
        <v>0</v>
      </c>
      <c r="H131" s="236">
        <v>0</v>
      </c>
      <c r="I131" s="236">
        <v>0</v>
      </c>
      <c r="J131" s="236">
        <v>0</v>
      </c>
      <c r="K131" s="236">
        <v>0</v>
      </c>
    </row>
    <row r="132" spans="1:11">
      <c r="A132" s="260">
        <v>42653</v>
      </c>
      <c r="B132" s="236" t="s">
        <v>193</v>
      </c>
      <c r="C132" s="237">
        <v>300009000071</v>
      </c>
      <c r="D132" s="236" t="s">
        <v>483</v>
      </c>
      <c r="E132" s="236">
        <v>0</v>
      </c>
      <c r="F132" s="236">
        <v>1</v>
      </c>
      <c r="G132" s="236">
        <v>0</v>
      </c>
      <c r="H132" s="236">
        <v>0</v>
      </c>
      <c r="I132" s="236">
        <v>0</v>
      </c>
      <c r="J132" s="236">
        <v>1</v>
      </c>
      <c r="K132" s="236">
        <v>0</v>
      </c>
    </row>
    <row r="133" spans="1:11">
      <c r="A133" s="260">
        <v>42653</v>
      </c>
      <c r="B133" s="236" t="s">
        <v>193</v>
      </c>
      <c r="C133" s="237">
        <v>300009235971</v>
      </c>
      <c r="D133" s="261" t="s">
        <v>241</v>
      </c>
      <c r="E133" s="236">
        <v>0</v>
      </c>
      <c r="F133" s="236">
        <v>0</v>
      </c>
      <c r="G133" s="236">
        <v>0</v>
      </c>
      <c r="H133" s="236">
        <v>0</v>
      </c>
      <c r="I133" s="236">
        <v>0</v>
      </c>
      <c r="J133" s="236">
        <v>0</v>
      </c>
      <c r="K133" s="236">
        <v>0</v>
      </c>
    </row>
    <row r="134" spans="1:11">
      <c r="A134" s="260">
        <v>42653</v>
      </c>
      <c r="B134" s="236" t="s">
        <v>227</v>
      </c>
      <c r="C134" s="237">
        <v>300009192151</v>
      </c>
      <c r="D134" s="261" t="s">
        <v>486</v>
      </c>
      <c r="E134" s="236">
        <v>0</v>
      </c>
      <c r="F134" s="236">
        <v>1</v>
      </c>
      <c r="G134" s="236">
        <v>0</v>
      </c>
      <c r="H134" s="236">
        <v>0</v>
      </c>
      <c r="I134" s="236">
        <v>1465</v>
      </c>
      <c r="J134" s="236">
        <v>1</v>
      </c>
      <c r="K134" s="236">
        <v>0</v>
      </c>
    </row>
    <row r="135" spans="1:11">
      <c r="A135" s="260">
        <v>42653</v>
      </c>
      <c r="B135" s="236" t="s">
        <v>226</v>
      </c>
      <c r="C135" s="237">
        <v>300009185572</v>
      </c>
      <c r="D135" s="261" t="s">
        <v>237</v>
      </c>
      <c r="E135" s="236">
        <v>1</v>
      </c>
      <c r="F135" s="236">
        <v>15</v>
      </c>
      <c r="G135" s="236">
        <v>1</v>
      </c>
      <c r="H135" s="236">
        <v>3</v>
      </c>
      <c r="I135" s="236">
        <v>1723</v>
      </c>
      <c r="J135" s="236">
        <v>15</v>
      </c>
      <c r="K135" s="236">
        <v>3</v>
      </c>
    </row>
    <row r="136" spans="1:11">
      <c r="A136" s="260">
        <v>42653</v>
      </c>
      <c r="B136" s="236" t="s">
        <v>226</v>
      </c>
      <c r="C136" s="237">
        <v>300009406201</v>
      </c>
      <c r="D136" s="261" t="s">
        <v>234</v>
      </c>
      <c r="E136" s="236">
        <v>2</v>
      </c>
      <c r="F136" s="236">
        <v>8</v>
      </c>
      <c r="G136" s="236">
        <v>1</v>
      </c>
      <c r="H136" s="236">
        <v>2</v>
      </c>
      <c r="I136" s="236">
        <v>1328</v>
      </c>
      <c r="J136" s="236">
        <v>8</v>
      </c>
      <c r="K136" s="236">
        <v>2</v>
      </c>
    </row>
    <row r="137" spans="1:11">
      <c r="A137" s="260">
        <v>42653</v>
      </c>
      <c r="B137" s="236" t="s">
        <v>226</v>
      </c>
      <c r="C137" s="237">
        <v>300009406202</v>
      </c>
      <c r="D137" s="261" t="s">
        <v>232</v>
      </c>
      <c r="E137" s="236">
        <v>1</v>
      </c>
      <c r="F137" s="236">
        <v>3</v>
      </c>
      <c r="G137" s="236">
        <v>0</v>
      </c>
      <c r="H137" s="236">
        <v>1</v>
      </c>
      <c r="I137" s="236">
        <v>684</v>
      </c>
      <c r="J137" s="236">
        <v>3</v>
      </c>
      <c r="K137" s="236">
        <v>1</v>
      </c>
    </row>
    <row r="138" spans="1:11">
      <c r="A138" s="260">
        <v>42653</v>
      </c>
      <c r="B138" s="236" t="s">
        <v>226</v>
      </c>
      <c r="C138" s="237">
        <v>300009374212</v>
      </c>
      <c r="D138" s="261" t="s">
        <v>235</v>
      </c>
      <c r="E138" s="236">
        <v>0</v>
      </c>
      <c r="F138" s="236">
        <v>3</v>
      </c>
      <c r="G138" s="236">
        <v>0</v>
      </c>
      <c r="H138" s="236">
        <v>0</v>
      </c>
      <c r="I138" s="236">
        <v>684</v>
      </c>
      <c r="J138" s="236">
        <v>3</v>
      </c>
      <c r="K138" s="236">
        <v>0</v>
      </c>
    </row>
    <row r="139" spans="1:11">
      <c r="A139" s="260">
        <v>42653</v>
      </c>
      <c r="B139" s="236" t="s">
        <v>226</v>
      </c>
      <c r="C139" s="237">
        <v>300009374215</v>
      </c>
      <c r="D139" s="261" t="s">
        <v>236</v>
      </c>
      <c r="E139" s="236">
        <v>0</v>
      </c>
      <c r="F139" s="236">
        <v>1</v>
      </c>
      <c r="G139" s="236">
        <v>0</v>
      </c>
      <c r="H139" s="236">
        <v>0</v>
      </c>
      <c r="I139" s="236">
        <v>0</v>
      </c>
      <c r="J139" s="236">
        <v>1</v>
      </c>
      <c r="K139" s="236">
        <v>0</v>
      </c>
    </row>
    <row r="140" spans="1:11">
      <c r="A140" s="260">
        <v>42653</v>
      </c>
      <c r="B140" s="236" t="s">
        <v>554</v>
      </c>
      <c r="C140" s="237">
        <v>300009608232</v>
      </c>
      <c r="D140" s="261" t="s">
        <v>552</v>
      </c>
      <c r="E140" s="236">
        <v>0</v>
      </c>
      <c r="F140" s="236">
        <v>17</v>
      </c>
      <c r="G140" s="236">
        <v>0</v>
      </c>
      <c r="H140" s="236">
        <v>12</v>
      </c>
      <c r="I140" s="236">
        <v>72</v>
      </c>
      <c r="J140" s="236">
        <v>17</v>
      </c>
      <c r="K140" s="236">
        <v>12</v>
      </c>
    </row>
    <row r="141" spans="1:11">
      <c r="A141" s="260">
        <v>42653</v>
      </c>
      <c r="B141" s="236" t="s">
        <v>554</v>
      </c>
      <c r="C141" s="237">
        <v>300008844447</v>
      </c>
      <c r="D141" s="261" t="s">
        <v>556</v>
      </c>
      <c r="E141" s="236">
        <v>0</v>
      </c>
      <c r="F141" s="236">
        <v>3</v>
      </c>
      <c r="G141" s="236">
        <v>0</v>
      </c>
      <c r="H141" s="236">
        <v>2</v>
      </c>
      <c r="I141" s="236">
        <v>0</v>
      </c>
      <c r="J141" s="236">
        <v>3</v>
      </c>
      <c r="K141" s="236">
        <v>2</v>
      </c>
    </row>
    <row r="142" spans="1:11">
      <c r="A142" s="260">
        <v>42653</v>
      </c>
      <c r="B142" s="236" t="s">
        <v>554</v>
      </c>
      <c r="C142" s="237">
        <v>300008849022</v>
      </c>
      <c r="D142" s="261" t="s">
        <v>555</v>
      </c>
      <c r="E142" s="236">
        <v>0</v>
      </c>
      <c r="F142" s="236">
        <v>1</v>
      </c>
      <c r="G142" s="236">
        <v>0</v>
      </c>
      <c r="H142" s="236">
        <v>1</v>
      </c>
      <c r="I142" s="236">
        <v>0</v>
      </c>
      <c r="J142" s="236">
        <v>1</v>
      </c>
      <c r="K142" s="236">
        <v>1</v>
      </c>
    </row>
    <row r="143" spans="1:11">
      <c r="A143" s="260">
        <v>42653</v>
      </c>
      <c r="B143" s="236" t="s">
        <v>554</v>
      </c>
      <c r="C143" s="237">
        <v>300009574234</v>
      </c>
      <c r="D143" s="261" t="s">
        <v>553</v>
      </c>
      <c r="E143" s="236">
        <v>0</v>
      </c>
      <c r="F143" s="236">
        <v>1</v>
      </c>
      <c r="G143" s="236">
        <v>0</v>
      </c>
      <c r="H143" s="236">
        <v>1</v>
      </c>
      <c r="I143" s="236">
        <v>627</v>
      </c>
      <c r="J143" s="236">
        <v>1</v>
      </c>
      <c r="K143" s="236">
        <v>1</v>
      </c>
    </row>
    <row r="144" spans="1:11">
      <c r="A144" s="260">
        <v>42653</v>
      </c>
      <c r="B144" s="236" t="s">
        <v>554</v>
      </c>
      <c r="C144" s="237">
        <v>300008859997</v>
      </c>
      <c r="D144" s="261" t="s">
        <v>565</v>
      </c>
      <c r="E144" s="236">
        <v>0</v>
      </c>
      <c r="F144" s="236">
        <v>0</v>
      </c>
      <c r="G144" s="236">
        <v>0</v>
      </c>
      <c r="H144" s="236">
        <v>0</v>
      </c>
      <c r="I144" s="236">
        <v>33</v>
      </c>
      <c r="J144" s="236">
        <v>0</v>
      </c>
      <c r="K144" s="236">
        <v>0</v>
      </c>
    </row>
    <row r="145" spans="1:11">
      <c r="A145" s="260">
        <v>42653</v>
      </c>
      <c r="B145" s="236" t="s">
        <v>554</v>
      </c>
      <c r="C145" s="237">
        <v>300009190198</v>
      </c>
      <c r="D145" s="261" t="s">
        <v>557</v>
      </c>
      <c r="E145" s="236">
        <v>1</v>
      </c>
      <c r="F145" s="236">
        <v>1</v>
      </c>
      <c r="G145" s="236">
        <v>0</v>
      </c>
      <c r="H145" s="236">
        <v>0</v>
      </c>
      <c r="I145" s="236">
        <v>0</v>
      </c>
      <c r="J145" s="236">
        <v>1</v>
      </c>
      <c r="K145" s="236">
        <v>0</v>
      </c>
    </row>
    <row r="146" spans="1:11">
      <c r="A146" s="260">
        <v>42653</v>
      </c>
      <c r="B146" s="236" t="s">
        <v>554</v>
      </c>
      <c r="C146" s="237">
        <v>300009714303</v>
      </c>
      <c r="D146" s="261" t="s">
        <v>562</v>
      </c>
      <c r="E146" s="236">
        <v>0</v>
      </c>
      <c r="F146" s="236">
        <v>0</v>
      </c>
      <c r="G146" s="236">
        <v>0</v>
      </c>
      <c r="H146" s="236">
        <v>0</v>
      </c>
      <c r="I146" s="236">
        <v>214</v>
      </c>
      <c r="J146" s="236">
        <v>0</v>
      </c>
      <c r="K146" s="236">
        <v>0</v>
      </c>
    </row>
    <row r="147" spans="1:11">
      <c r="A147" s="260">
        <v>42654</v>
      </c>
      <c r="B147" s="236" t="s">
        <v>459</v>
      </c>
      <c r="C147" s="237">
        <v>300009358277</v>
      </c>
      <c r="D147" s="261" t="s">
        <v>458</v>
      </c>
      <c r="E147" s="236">
        <v>10</v>
      </c>
      <c r="F147" s="236">
        <v>93</v>
      </c>
      <c r="G147" s="236">
        <v>2</v>
      </c>
      <c r="H147" s="236">
        <v>13</v>
      </c>
      <c r="I147" s="236">
        <v>11814</v>
      </c>
      <c r="J147" s="236">
        <v>78.72</v>
      </c>
      <c r="K147" s="236">
        <v>11</v>
      </c>
    </row>
    <row r="148" spans="1:11">
      <c r="A148" s="260">
        <v>42654</v>
      </c>
      <c r="B148" s="236" t="s">
        <v>474</v>
      </c>
      <c r="C148" s="237">
        <v>300009480238</v>
      </c>
      <c r="D148" s="261" t="s">
        <v>263</v>
      </c>
      <c r="E148" s="236">
        <v>2</v>
      </c>
      <c r="F148" s="236">
        <v>19</v>
      </c>
      <c r="G148" s="236">
        <v>0</v>
      </c>
      <c r="H148" s="236">
        <v>3</v>
      </c>
      <c r="I148" s="236">
        <v>1165</v>
      </c>
      <c r="J148" s="236">
        <v>19</v>
      </c>
      <c r="K148" s="236">
        <v>3</v>
      </c>
    </row>
    <row r="149" spans="1:11">
      <c r="A149" s="260">
        <v>42654</v>
      </c>
      <c r="B149" s="236" t="s">
        <v>193</v>
      </c>
      <c r="C149" s="237">
        <v>300008579657</v>
      </c>
      <c r="D149" s="261" t="s">
        <v>482</v>
      </c>
      <c r="E149" s="236">
        <v>0</v>
      </c>
      <c r="F149" s="236">
        <v>1</v>
      </c>
      <c r="G149" s="236">
        <v>0</v>
      </c>
      <c r="H149" s="236">
        <v>1</v>
      </c>
      <c r="I149" s="236">
        <v>0</v>
      </c>
      <c r="J149" s="236">
        <v>1</v>
      </c>
      <c r="K149" s="236">
        <v>1</v>
      </c>
    </row>
    <row r="150" spans="1:11">
      <c r="A150" s="260">
        <v>42654</v>
      </c>
      <c r="B150" s="236" t="s">
        <v>193</v>
      </c>
      <c r="C150" s="237">
        <v>300008244937</v>
      </c>
      <c r="D150" s="261" t="s">
        <v>272</v>
      </c>
      <c r="E150" s="236">
        <v>0</v>
      </c>
      <c r="F150" s="236">
        <v>0</v>
      </c>
      <c r="G150" s="236">
        <v>0</v>
      </c>
      <c r="H150" s="236">
        <v>0</v>
      </c>
      <c r="I150" s="236">
        <v>0</v>
      </c>
      <c r="J150" s="236">
        <v>0</v>
      </c>
      <c r="K150" s="236">
        <v>0</v>
      </c>
    </row>
    <row r="151" spans="1:11">
      <c r="A151" s="260">
        <v>42654</v>
      </c>
      <c r="B151" s="236" t="s">
        <v>193</v>
      </c>
      <c r="C151" s="237">
        <v>300009000071</v>
      </c>
      <c r="D151" s="236" t="s">
        <v>483</v>
      </c>
      <c r="E151" s="236">
        <v>0</v>
      </c>
      <c r="F151" s="236">
        <v>1</v>
      </c>
      <c r="G151" s="236">
        <v>0</v>
      </c>
      <c r="H151" s="236">
        <v>0</v>
      </c>
      <c r="I151" s="236">
        <v>0</v>
      </c>
      <c r="J151" s="236">
        <v>1</v>
      </c>
      <c r="K151" s="236">
        <v>0</v>
      </c>
    </row>
    <row r="152" spans="1:11">
      <c r="A152" s="260">
        <v>42654</v>
      </c>
      <c r="B152" s="236" t="s">
        <v>193</v>
      </c>
      <c r="C152" s="237">
        <v>300009235971</v>
      </c>
      <c r="D152" s="261" t="s">
        <v>241</v>
      </c>
      <c r="E152" s="236">
        <v>0</v>
      </c>
      <c r="F152" s="236">
        <v>0</v>
      </c>
      <c r="G152" s="236">
        <v>0</v>
      </c>
      <c r="H152" s="236">
        <v>0</v>
      </c>
      <c r="I152" s="236">
        <v>0</v>
      </c>
      <c r="J152" s="236">
        <v>0</v>
      </c>
      <c r="K152" s="236">
        <v>0</v>
      </c>
    </row>
    <row r="153" spans="1:11">
      <c r="A153" s="260">
        <v>42654</v>
      </c>
      <c r="B153" s="236" t="s">
        <v>227</v>
      </c>
      <c r="C153" s="237">
        <v>300009192151</v>
      </c>
      <c r="D153" s="261" t="s">
        <v>486</v>
      </c>
      <c r="E153" s="236">
        <v>0</v>
      </c>
      <c r="F153" s="236">
        <v>2</v>
      </c>
      <c r="G153" s="236">
        <v>0</v>
      </c>
      <c r="H153" s="236">
        <v>0</v>
      </c>
      <c r="I153" s="236">
        <v>1603</v>
      </c>
      <c r="J153" s="236">
        <v>2</v>
      </c>
      <c r="K153" s="236">
        <v>0</v>
      </c>
    </row>
    <row r="154" spans="1:11">
      <c r="A154" s="260">
        <v>42654</v>
      </c>
      <c r="B154" s="236" t="s">
        <v>226</v>
      </c>
      <c r="C154" s="237">
        <v>300009185572</v>
      </c>
      <c r="D154" s="261" t="s">
        <v>237</v>
      </c>
      <c r="E154" s="236">
        <v>1</v>
      </c>
      <c r="F154" s="236">
        <v>16</v>
      </c>
      <c r="G154" s="236">
        <v>0</v>
      </c>
      <c r="H154" s="236">
        <v>3</v>
      </c>
      <c r="I154" s="236">
        <v>1734</v>
      </c>
      <c r="J154" s="236">
        <v>16</v>
      </c>
      <c r="K154" s="236">
        <v>3</v>
      </c>
    </row>
    <row r="155" spans="1:11">
      <c r="A155" s="260">
        <v>42654</v>
      </c>
      <c r="B155" s="236" t="s">
        <v>226</v>
      </c>
      <c r="C155" s="237">
        <v>300009406201</v>
      </c>
      <c r="D155" s="261" t="s">
        <v>234</v>
      </c>
      <c r="E155" s="236">
        <v>0</v>
      </c>
      <c r="F155" s="236">
        <v>8</v>
      </c>
      <c r="G155" s="236">
        <v>0</v>
      </c>
      <c r="H155" s="236">
        <v>2</v>
      </c>
      <c r="I155" s="236">
        <v>1603</v>
      </c>
      <c r="J155" s="236">
        <v>8</v>
      </c>
      <c r="K155" s="236">
        <v>2</v>
      </c>
    </row>
    <row r="156" spans="1:11">
      <c r="A156" s="260">
        <v>42654</v>
      </c>
      <c r="B156" s="236" t="s">
        <v>226</v>
      </c>
      <c r="C156" s="237">
        <v>300009406202</v>
      </c>
      <c r="D156" s="261" t="s">
        <v>232</v>
      </c>
      <c r="E156" s="236">
        <v>1</v>
      </c>
      <c r="F156" s="236">
        <v>4</v>
      </c>
      <c r="G156" s="236">
        <v>0</v>
      </c>
      <c r="H156" s="236">
        <v>1</v>
      </c>
      <c r="I156" s="236">
        <v>944</v>
      </c>
      <c r="J156" s="236">
        <v>4</v>
      </c>
      <c r="K156" s="236">
        <v>1</v>
      </c>
    </row>
    <row r="157" spans="1:11">
      <c r="A157" s="260">
        <v>42654</v>
      </c>
      <c r="B157" s="236" t="s">
        <v>226</v>
      </c>
      <c r="C157" s="237">
        <v>300009374212</v>
      </c>
      <c r="D157" s="261" t="s">
        <v>235</v>
      </c>
      <c r="E157" s="236">
        <v>0</v>
      </c>
      <c r="F157" s="236">
        <v>3</v>
      </c>
      <c r="G157" s="236">
        <v>0</v>
      </c>
      <c r="H157" s="236">
        <v>0</v>
      </c>
      <c r="I157" s="236">
        <v>684</v>
      </c>
      <c r="J157" s="236">
        <v>3</v>
      </c>
      <c r="K157" s="236">
        <v>0</v>
      </c>
    </row>
    <row r="158" spans="1:11">
      <c r="A158" s="260">
        <v>42654</v>
      </c>
      <c r="B158" s="236" t="s">
        <v>226</v>
      </c>
      <c r="C158" s="237">
        <v>300009374215</v>
      </c>
      <c r="D158" s="261" t="s">
        <v>236</v>
      </c>
      <c r="E158" s="236">
        <v>0</v>
      </c>
      <c r="F158" s="236">
        <v>1</v>
      </c>
      <c r="G158" s="236">
        <v>0</v>
      </c>
      <c r="H158" s="236">
        <v>0</v>
      </c>
      <c r="I158" s="236">
        <v>0</v>
      </c>
      <c r="J158" s="236">
        <v>1</v>
      </c>
      <c r="K158" s="236">
        <v>0</v>
      </c>
    </row>
    <row r="159" spans="1:11">
      <c r="A159" s="260">
        <v>42654</v>
      </c>
      <c r="B159" s="236" t="s">
        <v>554</v>
      </c>
      <c r="C159" s="237">
        <v>300009608232</v>
      </c>
      <c r="D159" s="261" t="s">
        <v>552</v>
      </c>
      <c r="E159" s="236">
        <v>0</v>
      </c>
      <c r="F159" s="236">
        <v>17</v>
      </c>
      <c r="G159" s="236">
        <v>0</v>
      </c>
      <c r="H159" s="236">
        <v>12</v>
      </c>
      <c r="I159" s="236">
        <v>72</v>
      </c>
      <c r="J159" s="236">
        <v>17</v>
      </c>
      <c r="K159" s="236">
        <v>12</v>
      </c>
    </row>
    <row r="160" spans="1:11">
      <c r="A160" s="260">
        <v>42654</v>
      </c>
      <c r="B160" s="236" t="s">
        <v>554</v>
      </c>
      <c r="C160" s="237">
        <v>300008844447</v>
      </c>
      <c r="D160" s="261" t="s">
        <v>556</v>
      </c>
      <c r="E160" s="236">
        <v>0</v>
      </c>
      <c r="F160" s="236">
        <v>3</v>
      </c>
      <c r="G160" s="236">
        <v>0</v>
      </c>
      <c r="H160" s="236">
        <v>2</v>
      </c>
      <c r="I160" s="236">
        <v>0</v>
      </c>
      <c r="J160" s="236">
        <v>3</v>
      </c>
      <c r="K160" s="236">
        <v>2</v>
      </c>
    </row>
    <row r="161" spans="1:11">
      <c r="A161" s="260">
        <v>42654</v>
      </c>
      <c r="B161" s="236" t="s">
        <v>554</v>
      </c>
      <c r="C161" s="237">
        <v>300008849022</v>
      </c>
      <c r="D161" s="261" t="s">
        <v>555</v>
      </c>
      <c r="E161" s="236">
        <v>0</v>
      </c>
      <c r="F161" s="236">
        <v>1</v>
      </c>
      <c r="G161" s="236">
        <v>0</v>
      </c>
      <c r="H161" s="236">
        <v>1</v>
      </c>
      <c r="I161" s="236">
        <v>0</v>
      </c>
      <c r="J161" s="236">
        <v>1</v>
      </c>
      <c r="K161" s="236">
        <v>1</v>
      </c>
    </row>
    <row r="162" spans="1:11">
      <c r="A162" s="260">
        <v>42654</v>
      </c>
      <c r="B162" s="236" t="s">
        <v>554</v>
      </c>
      <c r="C162" s="237">
        <v>300009574234</v>
      </c>
      <c r="D162" s="261" t="s">
        <v>553</v>
      </c>
      <c r="E162" s="236">
        <v>0</v>
      </c>
      <c r="F162" s="236">
        <v>1</v>
      </c>
      <c r="G162" s="236">
        <v>0</v>
      </c>
      <c r="H162" s="236">
        <v>1</v>
      </c>
      <c r="I162" s="236">
        <v>904</v>
      </c>
      <c r="J162" s="236">
        <v>1</v>
      </c>
      <c r="K162" s="236">
        <v>1</v>
      </c>
    </row>
    <row r="163" spans="1:11">
      <c r="A163" s="260">
        <v>42654</v>
      </c>
      <c r="B163" s="236" t="s">
        <v>554</v>
      </c>
      <c r="C163" s="237">
        <v>300008859997</v>
      </c>
      <c r="D163" s="261" t="s">
        <v>565</v>
      </c>
      <c r="E163" s="236">
        <v>0</v>
      </c>
      <c r="F163" s="236">
        <v>0</v>
      </c>
      <c r="G163" s="236">
        <v>0</v>
      </c>
      <c r="H163" s="236">
        <v>0</v>
      </c>
      <c r="I163" s="236">
        <v>143</v>
      </c>
      <c r="J163" s="236">
        <v>0</v>
      </c>
      <c r="K163" s="236">
        <v>0</v>
      </c>
    </row>
    <row r="164" spans="1:11">
      <c r="A164" s="260">
        <v>42654</v>
      </c>
      <c r="B164" s="236" t="s">
        <v>554</v>
      </c>
      <c r="C164" s="237">
        <v>300009190198</v>
      </c>
      <c r="D164" s="261" t="s">
        <v>557</v>
      </c>
      <c r="E164" s="236">
        <v>0</v>
      </c>
      <c r="F164" s="236">
        <v>1</v>
      </c>
      <c r="G164" s="236">
        <v>0</v>
      </c>
      <c r="H164" s="236">
        <v>0</v>
      </c>
      <c r="I164" s="236">
        <v>0</v>
      </c>
      <c r="J164" s="236">
        <v>1</v>
      </c>
      <c r="K164" s="236">
        <v>0</v>
      </c>
    </row>
    <row r="165" spans="1:11">
      <c r="A165" s="260">
        <v>42654</v>
      </c>
      <c r="B165" s="236" t="s">
        <v>554</v>
      </c>
      <c r="C165" s="237">
        <v>300009714303</v>
      </c>
      <c r="D165" s="261" t="s">
        <v>562</v>
      </c>
      <c r="E165" s="236">
        <v>0</v>
      </c>
      <c r="F165" s="236">
        <v>0</v>
      </c>
      <c r="G165" s="236">
        <v>0</v>
      </c>
      <c r="H165" s="236">
        <v>0</v>
      </c>
      <c r="I165" s="236">
        <v>352</v>
      </c>
      <c r="J165" s="236">
        <v>0</v>
      </c>
      <c r="K165" s="236">
        <v>0</v>
      </c>
    </row>
    <row r="166" spans="1:11">
      <c r="A166" s="260">
        <v>42655</v>
      </c>
      <c r="B166" s="236" t="s">
        <v>459</v>
      </c>
      <c r="C166" s="237">
        <v>300009358277</v>
      </c>
      <c r="D166" s="261" t="s">
        <v>458</v>
      </c>
      <c r="E166" s="236">
        <v>8</v>
      </c>
      <c r="F166" s="236">
        <v>102</v>
      </c>
      <c r="G166" s="236">
        <v>1</v>
      </c>
      <c r="H166" s="236">
        <v>15</v>
      </c>
      <c r="I166" s="236">
        <v>12292</v>
      </c>
      <c r="J166" s="236">
        <v>82.98</v>
      </c>
      <c r="K166" s="236">
        <v>12.2</v>
      </c>
    </row>
    <row r="167" spans="1:11">
      <c r="A167" s="260">
        <v>42655</v>
      </c>
      <c r="B167" s="236" t="s">
        <v>474</v>
      </c>
      <c r="C167" s="237">
        <v>300009480238</v>
      </c>
      <c r="D167" s="261" t="s">
        <v>263</v>
      </c>
      <c r="E167" s="236">
        <v>2</v>
      </c>
      <c r="F167" s="236">
        <v>21</v>
      </c>
      <c r="G167" s="236">
        <v>0</v>
      </c>
      <c r="H167" s="236">
        <v>3</v>
      </c>
      <c r="I167" s="236">
        <v>1165</v>
      </c>
      <c r="J167" s="236">
        <v>21</v>
      </c>
      <c r="K167" s="236">
        <v>3</v>
      </c>
    </row>
    <row r="168" spans="1:11">
      <c r="A168" s="260">
        <v>42655</v>
      </c>
      <c r="B168" s="236" t="s">
        <v>193</v>
      </c>
      <c r="C168" s="237">
        <v>300008579657</v>
      </c>
      <c r="D168" s="261" t="s">
        <v>482</v>
      </c>
      <c r="E168" s="236">
        <v>0</v>
      </c>
      <c r="F168" s="236">
        <v>1</v>
      </c>
      <c r="G168" s="236">
        <v>0</v>
      </c>
      <c r="H168" s="236">
        <v>1</v>
      </c>
      <c r="I168" s="236">
        <v>0</v>
      </c>
      <c r="J168" s="236">
        <v>1</v>
      </c>
      <c r="K168" s="236">
        <v>1</v>
      </c>
    </row>
    <row r="169" spans="1:11">
      <c r="A169" s="260">
        <v>42655</v>
      </c>
      <c r="B169" s="236" t="s">
        <v>193</v>
      </c>
      <c r="C169" s="237">
        <v>300008244937</v>
      </c>
      <c r="D169" s="261" t="s">
        <v>272</v>
      </c>
      <c r="E169" s="236">
        <v>0</v>
      </c>
      <c r="F169" s="236">
        <v>0</v>
      </c>
      <c r="G169" s="236">
        <v>0</v>
      </c>
      <c r="H169" s="236">
        <v>0</v>
      </c>
      <c r="I169" s="236">
        <v>0</v>
      </c>
      <c r="J169" s="236">
        <v>0</v>
      </c>
      <c r="K169" s="236">
        <v>0</v>
      </c>
    </row>
    <row r="170" spans="1:11">
      <c r="A170" s="260">
        <v>42655</v>
      </c>
      <c r="B170" s="236" t="s">
        <v>193</v>
      </c>
      <c r="C170" s="237">
        <v>300009000071</v>
      </c>
      <c r="D170" s="236" t="s">
        <v>483</v>
      </c>
      <c r="E170" s="236">
        <v>0</v>
      </c>
      <c r="F170" s="236">
        <v>1</v>
      </c>
      <c r="G170" s="236">
        <v>0</v>
      </c>
      <c r="H170" s="236">
        <v>0</v>
      </c>
      <c r="I170" s="236">
        <v>0</v>
      </c>
      <c r="J170" s="236">
        <v>1</v>
      </c>
      <c r="K170" s="236">
        <v>0</v>
      </c>
    </row>
    <row r="171" spans="1:11">
      <c r="A171" s="260">
        <v>42655</v>
      </c>
      <c r="B171" s="236" t="s">
        <v>193</v>
      </c>
      <c r="C171" s="237">
        <v>300009235971</v>
      </c>
      <c r="D171" s="261" t="s">
        <v>241</v>
      </c>
      <c r="E171" s="236">
        <v>0</v>
      </c>
      <c r="F171" s="236">
        <v>0</v>
      </c>
      <c r="G171" s="236">
        <v>0</v>
      </c>
      <c r="H171" s="236">
        <v>0</v>
      </c>
      <c r="I171" s="236">
        <v>0</v>
      </c>
      <c r="J171" s="236">
        <v>0</v>
      </c>
      <c r="K171" s="236">
        <v>0</v>
      </c>
    </row>
    <row r="172" spans="1:11">
      <c r="A172" s="260">
        <v>42655</v>
      </c>
      <c r="B172" s="236" t="s">
        <v>227</v>
      </c>
      <c r="C172" s="237">
        <v>300009192151</v>
      </c>
      <c r="D172" s="261" t="s">
        <v>486</v>
      </c>
      <c r="E172" s="236">
        <v>1</v>
      </c>
      <c r="F172" s="236">
        <v>3</v>
      </c>
      <c r="G172" s="236">
        <v>0</v>
      </c>
      <c r="H172" s="236">
        <v>0</v>
      </c>
      <c r="I172" s="236">
        <v>1762</v>
      </c>
      <c r="J172" s="236">
        <v>3</v>
      </c>
      <c r="K172" s="236">
        <v>0</v>
      </c>
    </row>
    <row r="173" spans="1:11">
      <c r="A173" s="260">
        <v>42655</v>
      </c>
      <c r="B173" s="236" t="s">
        <v>226</v>
      </c>
      <c r="C173" s="237">
        <v>300009185572</v>
      </c>
      <c r="D173" s="261" t="s">
        <v>237</v>
      </c>
      <c r="E173" s="236">
        <v>1</v>
      </c>
      <c r="F173" s="236">
        <v>18</v>
      </c>
      <c r="G173" s="236">
        <v>0</v>
      </c>
      <c r="H173" s="236">
        <v>3</v>
      </c>
      <c r="I173" s="236">
        <v>1734</v>
      </c>
      <c r="J173" s="236">
        <v>18</v>
      </c>
      <c r="K173" s="236">
        <v>3</v>
      </c>
    </row>
    <row r="174" spans="1:11">
      <c r="A174" s="260">
        <v>42655</v>
      </c>
      <c r="B174" s="236" t="s">
        <v>226</v>
      </c>
      <c r="C174" s="237">
        <v>300009406201</v>
      </c>
      <c r="D174" s="261" t="s">
        <v>234</v>
      </c>
      <c r="E174" s="236">
        <v>0</v>
      </c>
      <c r="F174" s="236">
        <v>8</v>
      </c>
      <c r="G174" s="236">
        <v>0</v>
      </c>
      <c r="H174" s="236">
        <v>2</v>
      </c>
      <c r="I174" s="236">
        <v>1836</v>
      </c>
      <c r="J174" s="236">
        <v>8</v>
      </c>
      <c r="K174" s="236">
        <v>2</v>
      </c>
    </row>
    <row r="175" spans="1:11">
      <c r="A175" s="260">
        <v>42655</v>
      </c>
      <c r="B175" s="236" t="s">
        <v>226</v>
      </c>
      <c r="C175" s="237">
        <v>300009406202</v>
      </c>
      <c r="D175" s="261" t="s">
        <v>232</v>
      </c>
      <c r="E175" s="236">
        <v>0</v>
      </c>
      <c r="F175" s="236">
        <v>4</v>
      </c>
      <c r="G175" s="236">
        <v>0</v>
      </c>
      <c r="H175" s="236">
        <v>1</v>
      </c>
      <c r="I175" s="236">
        <v>1194</v>
      </c>
      <c r="J175" s="236">
        <v>4</v>
      </c>
      <c r="K175" s="236">
        <v>1</v>
      </c>
    </row>
    <row r="176" spans="1:11">
      <c r="A176" s="260">
        <v>42655</v>
      </c>
      <c r="B176" s="236" t="s">
        <v>226</v>
      </c>
      <c r="C176" s="237">
        <v>300009374212</v>
      </c>
      <c r="D176" s="261" t="s">
        <v>235</v>
      </c>
      <c r="E176" s="236">
        <v>0</v>
      </c>
      <c r="F176" s="236">
        <v>3</v>
      </c>
      <c r="G176" s="236">
        <v>0</v>
      </c>
      <c r="H176" s="236">
        <v>0</v>
      </c>
      <c r="I176" s="236">
        <v>684</v>
      </c>
      <c r="J176" s="236">
        <v>3</v>
      </c>
      <c r="K176" s="236">
        <v>0</v>
      </c>
    </row>
    <row r="177" spans="1:11">
      <c r="A177" s="260">
        <v>42655</v>
      </c>
      <c r="B177" s="236" t="s">
        <v>226</v>
      </c>
      <c r="C177" s="237">
        <v>300009374215</v>
      </c>
      <c r="D177" s="261" t="s">
        <v>236</v>
      </c>
      <c r="E177" s="236">
        <v>0</v>
      </c>
      <c r="F177" s="236">
        <v>1</v>
      </c>
      <c r="G177" s="236">
        <v>0</v>
      </c>
      <c r="H177" s="236">
        <v>0</v>
      </c>
      <c r="I177" s="236">
        <v>0</v>
      </c>
      <c r="J177" s="236">
        <v>1</v>
      </c>
      <c r="K177" s="236">
        <v>0</v>
      </c>
    </row>
    <row r="178" spans="1:11">
      <c r="A178" s="260">
        <v>42655</v>
      </c>
      <c r="B178" s="236" t="s">
        <v>554</v>
      </c>
      <c r="C178" s="237">
        <v>300009608232</v>
      </c>
      <c r="D178" s="261" t="s">
        <v>552</v>
      </c>
      <c r="E178" s="236">
        <v>0</v>
      </c>
      <c r="F178" s="236">
        <v>18</v>
      </c>
      <c r="G178" s="236">
        <v>0</v>
      </c>
      <c r="H178" s="236">
        <v>12</v>
      </c>
      <c r="I178" s="236">
        <v>73</v>
      </c>
      <c r="J178" s="236">
        <v>18</v>
      </c>
      <c r="K178" s="236">
        <v>12</v>
      </c>
    </row>
    <row r="179" spans="1:11">
      <c r="A179" s="260">
        <v>42655</v>
      </c>
      <c r="B179" s="236" t="s">
        <v>554</v>
      </c>
      <c r="C179" s="237">
        <v>300008844447</v>
      </c>
      <c r="D179" s="261" t="s">
        <v>556</v>
      </c>
      <c r="E179" s="236">
        <v>0</v>
      </c>
      <c r="F179" s="236">
        <v>3</v>
      </c>
      <c r="G179" s="236">
        <v>0</v>
      </c>
      <c r="H179" s="236">
        <v>2</v>
      </c>
      <c r="I179" s="236">
        <v>0</v>
      </c>
      <c r="J179" s="236">
        <v>3</v>
      </c>
      <c r="K179" s="236">
        <v>2</v>
      </c>
    </row>
    <row r="180" spans="1:11">
      <c r="A180" s="260">
        <v>42655</v>
      </c>
      <c r="B180" s="236" t="s">
        <v>554</v>
      </c>
      <c r="C180" s="237">
        <v>300009574234</v>
      </c>
      <c r="D180" s="261" t="s">
        <v>553</v>
      </c>
      <c r="E180" s="236">
        <v>2</v>
      </c>
      <c r="F180" s="236">
        <v>3</v>
      </c>
      <c r="G180" s="236">
        <v>1</v>
      </c>
      <c r="H180" s="236">
        <v>2</v>
      </c>
      <c r="I180" s="236">
        <v>1203</v>
      </c>
      <c r="J180" s="236">
        <v>3</v>
      </c>
      <c r="K180" s="236">
        <v>2</v>
      </c>
    </row>
    <row r="181" spans="1:11">
      <c r="A181" s="260">
        <v>42655</v>
      </c>
      <c r="B181" s="236" t="s">
        <v>554</v>
      </c>
      <c r="C181" s="237">
        <v>300008849022</v>
      </c>
      <c r="D181" s="261" t="s">
        <v>555</v>
      </c>
      <c r="E181" s="236">
        <v>0</v>
      </c>
      <c r="F181" s="236">
        <v>1</v>
      </c>
      <c r="G181" s="236">
        <v>0</v>
      </c>
      <c r="H181" s="236">
        <v>1</v>
      </c>
      <c r="I181" s="236">
        <v>0</v>
      </c>
      <c r="J181" s="236">
        <v>1</v>
      </c>
      <c r="K181" s="236">
        <v>1</v>
      </c>
    </row>
    <row r="182" spans="1:11">
      <c r="A182" s="260">
        <v>42655</v>
      </c>
      <c r="B182" s="236" t="s">
        <v>554</v>
      </c>
      <c r="C182" s="237">
        <v>300008859997</v>
      </c>
      <c r="D182" s="261" t="s">
        <v>565</v>
      </c>
      <c r="E182" s="236">
        <v>1</v>
      </c>
      <c r="F182" s="236">
        <v>1</v>
      </c>
      <c r="G182" s="236">
        <v>1</v>
      </c>
      <c r="H182" s="236">
        <v>1</v>
      </c>
      <c r="I182" s="236">
        <v>294</v>
      </c>
      <c r="J182" s="236">
        <v>1</v>
      </c>
      <c r="K182" s="236">
        <v>1</v>
      </c>
    </row>
    <row r="183" spans="1:11">
      <c r="A183" s="260">
        <v>42655</v>
      </c>
      <c r="B183" s="236" t="s">
        <v>554</v>
      </c>
      <c r="C183" s="237">
        <v>300009190198</v>
      </c>
      <c r="D183" s="261" t="s">
        <v>557</v>
      </c>
      <c r="E183" s="236">
        <v>0</v>
      </c>
      <c r="F183" s="236">
        <v>1</v>
      </c>
      <c r="G183" s="236">
        <v>0</v>
      </c>
      <c r="H183" s="236">
        <v>0</v>
      </c>
      <c r="I183" s="236">
        <v>0</v>
      </c>
      <c r="J183" s="236">
        <v>1</v>
      </c>
      <c r="K183" s="236">
        <v>0</v>
      </c>
    </row>
    <row r="184" spans="1:11">
      <c r="A184" s="260">
        <v>42655</v>
      </c>
      <c r="B184" s="236" t="s">
        <v>554</v>
      </c>
      <c r="C184" s="237">
        <v>300009714303</v>
      </c>
      <c r="D184" s="261" t="s">
        <v>562</v>
      </c>
      <c r="E184" s="236">
        <v>0</v>
      </c>
      <c r="F184" s="236">
        <v>0</v>
      </c>
      <c r="G184" s="236">
        <v>0</v>
      </c>
      <c r="H184" s="236">
        <v>0</v>
      </c>
      <c r="I184" s="236">
        <v>514</v>
      </c>
      <c r="J184" s="236">
        <v>0</v>
      </c>
      <c r="K184" s="236">
        <v>0</v>
      </c>
    </row>
    <row r="185" spans="1:11">
      <c r="A185" s="260">
        <v>42656</v>
      </c>
      <c r="B185" s="236" t="s">
        <v>459</v>
      </c>
      <c r="C185" s="237">
        <v>300009358277</v>
      </c>
      <c r="D185" s="261" t="s">
        <v>458</v>
      </c>
      <c r="E185" s="236">
        <v>7</v>
      </c>
      <c r="F185" s="236">
        <v>109</v>
      </c>
      <c r="G185" s="236">
        <v>0</v>
      </c>
      <c r="H185" s="236">
        <v>15</v>
      </c>
      <c r="I185" s="236">
        <v>12657</v>
      </c>
      <c r="J185" s="236">
        <v>86.12</v>
      </c>
      <c r="K185" s="236">
        <v>11.85</v>
      </c>
    </row>
    <row r="186" spans="1:11">
      <c r="A186" s="260">
        <v>42656</v>
      </c>
      <c r="B186" s="236" t="s">
        <v>474</v>
      </c>
      <c r="C186" s="237">
        <v>300009480238</v>
      </c>
      <c r="D186" s="261" t="s">
        <v>263</v>
      </c>
      <c r="E186" s="236">
        <v>0</v>
      </c>
      <c r="F186" s="236">
        <v>22</v>
      </c>
      <c r="G186" s="236">
        <v>0</v>
      </c>
      <c r="H186" s="236">
        <v>3</v>
      </c>
      <c r="I186" s="236">
        <v>1169</v>
      </c>
      <c r="J186" s="236">
        <v>22</v>
      </c>
      <c r="K186" s="236">
        <v>3</v>
      </c>
    </row>
    <row r="187" spans="1:11">
      <c r="A187" s="260">
        <v>42656</v>
      </c>
      <c r="B187" s="236" t="s">
        <v>193</v>
      </c>
      <c r="C187" s="237">
        <v>300008579657</v>
      </c>
      <c r="D187" s="261" t="s">
        <v>482</v>
      </c>
      <c r="E187" s="236">
        <v>0</v>
      </c>
      <c r="F187" s="236">
        <v>1</v>
      </c>
      <c r="G187" s="236">
        <v>0</v>
      </c>
      <c r="H187" s="236">
        <v>1</v>
      </c>
      <c r="I187" s="236">
        <v>0</v>
      </c>
      <c r="J187" s="236">
        <v>1</v>
      </c>
      <c r="K187" s="236">
        <v>1</v>
      </c>
    </row>
    <row r="188" spans="1:11">
      <c r="A188" s="260">
        <v>42656</v>
      </c>
      <c r="B188" s="236" t="s">
        <v>193</v>
      </c>
      <c r="C188" s="237">
        <v>300009000071</v>
      </c>
      <c r="D188" s="236" t="s">
        <v>483</v>
      </c>
      <c r="E188" s="236">
        <v>0</v>
      </c>
      <c r="F188" s="236">
        <v>1</v>
      </c>
      <c r="G188" s="236">
        <v>0</v>
      </c>
      <c r="H188" s="236">
        <v>1</v>
      </c>
      <c r="I188" s="236">
        <v>0</v>
      </c>
      <c r="J188" s="236">
        <v>1</v>
      </c>
      <c r="K188" s="236">
        <v>1</v>
      </c>
    </row>
    <row r="189" spans="1:11">
      <c r="A189" s="260">
        <v>42656</v>
      </c>
      <c r="B189" s="236" t="s">
        <v>193</v>
      </c>
      <c r="C189" s="237">
        <v>300008244937</v>
      </c>
      <c r="D189" s="261" t="s">
        <v>272</v>
      </c>
      <c r="E189" s="236">
        <v>0</v>
      </c>
      <c r="F189" s="236">
        <v>1</v>
      </c>
      <c r="G189" s="236">
        <v>0</v>
      </c>
      <c r="H189" s="236">
        <v>0</v>
      </c>
      <c r="I189" s="236">
        <v>0</v>
      </c>
      <c r="J189" s="236">
        <v>1</v>
      </c>
      <c r="K189" s="236">
        <v>0</v>
      </c>
    </row>
    <row r="190" spans="1:11">
      <c r="A190" s="260">
        <v>42656</v>
      </c>
      <c r="B190" s="236" t="s">
        <v>193</v>
      </c>
      <c r="C190" s="237">
        <v>300009235971</v>
      </c>
      <c r="D190" s="261" t="s">
        <v>241</v>
      </c>
      <c r="E190" s="236">
        <v>0</v>
      </c>
      <c r="F190" s="236">
        <v>0</v>
      </c>
      <c r="G190" s="236">
        <v>0</v>
      </c>
      <c r="H190" s="236">
        <v>0</v>
      </c>
      <c r="I190" s="236">
        <v>0</v>
      </c>
      <c r="J190" s="236">
        <v>0</v>
      </c>
      <c r="K190" s="236">
        <v>0</v>
      </c>
    </row>
    <row r="191" spans="1:11">
      <c r="A191" s="260">
        <v>42656</v>
      </c>
      <c r="B191" s="236" t="s">
        <v>227</v>
      </c>
      <c r="C191" s="237">
        <v>300009192151</v>
      </c>
      <c r="D191" s="261" t="s">
        <v>486</v>
      </c>
      <c r="E191" s="236">
        <v>2</v>
      </c>
      <c r="F191" s="236">
        <v>5</v>
      </c>
      <c r="G191" s="236">
        <v>1</v>
      </c>
      <c r="H191" s="236">
        <v>1</v>
      </c>
      <c r="I191" s="236">
        <v>1932</v>
      </c>
      <c r="J191" s="236">
        <v>5</v>
      </c>
      <c r="K191" s="236">
        <v>1</v>
      </c>
    </row>
    <row r="192" spans="1:11">
      <c r="A192" s="260">
        <v>42656</v>
      </c>
      <c r="B192" s="236" t="s">
        <v>226</v>
      </c>
      <c r="C192" s="237">
        <v>300009406201</v>
      </c>
      <c r="D192" s="261" t="s">
        <v>234</v>
      </c>
      <c r="E192" s="236">
        <v>1</v>
      </c>
      <c r="F192" s="236">
        <v>10</v>
      </c>
      <c r="G192" s="236">
        <v>1</v>
      </c>
      <c r="H192" s="236">
        <v>4</v>
      </c>
      <c r="I192" s="236">
        <v>1915</v>
      </c>
      <c r="J192" s="236">
        <v>10</v>
      </c>
      <c r="K192" s="236">
        <v>4</v>
      </c>
    </row>
    <row r="193" spans="1:11">
      <c r="A193" s="260">
        <v>42656</v>
      </c>
      <c r="B193" s="236" t="s">
        <v>226</v>
      </c>
      <c r="C193" s="237">
        <v>300009185572</v>
      </c>
      <c r="D193" s="261" t="s">
        <v>237</v>
      </c>
      <c r="E193" s="236">
        <v>0</v>
      </c>
      <c r="F193" s="236">
        <v>18</v>
      </c>
      <c r="G193" s="236">
        <v>0</v>
      </c>
      <c r="H193" s="236">
        <v>3</v>
      </c>
      <c r="I193" s="236">
        <v>1734</v>
      </c>
      <c r="J193" s="236">
        <v>18</v>
      </c>
      <c r="K193" s="236">
        <v>3</v>
      </c>
    </row>
    <row r="194" spans="1:11">
      <c r="A194" s="260">
        <v>42656</v>
      </c>
      <c r="B194" s="236" t="s">
        <v>226</v>
      </c>
      <c r="C194" s="237">
        <v>300009406202</v>
      </c>
      <c r="D194" s="261" t="s">
        <v>232</v>
      </c>
      <c r="E194" s="236">
        <v>1</v>
      </c>
      <c r="F194" s="236">
        <v>6</v>
      </c>
      <c r="G194" s="236">
        <v>0</v>
      </c>
      <c r="H194" s="236">
        <v>2</v>
      </c>
      <c r="I194" s="236">
        <v>1266</v>
      </c>
      <c r="J194" s="236">
        <v>6</v>
      </c>
      <c r="K194" s="236">
        <v>2</v>
      </c>
    </row>
    <row r="195" spans="1:11">
      <c r="A195" s="260">
        <v>42656</v>
      </c>
      <c r="B195" s="236" t="s">
        <v>226</v>
      </c>
      <c r="C195" s="237">
        <v>300009184067</v>
      </c>
      <c r="D195" s="261" t="s">
        <v>233</v>
      </c>
      <c r="E195" s="236">
        <v>0</v>
      </c>
      <c r="F195" s="236">
        <v>0</v>
      </c>
      <c r="G195" s="236">
        <v>0</v>
      </c>
      <c r="H195" s="236">
        <v>0</v>
      </c>
      <c r="I195" s="236">
        <v>0</v>
      </c>
      <c r="J195" s="236">
        <v>0</v>
      </c>
      <c r="K195" s="236">
        <v>0</v>
      </c>
    </row>
    <row r="196" spans="1:11">
      <c r="A196" s="260">
        <v>42656</v>
      </c>
      <c r="B196" s="236" t="s">
        <v>226</v>
      </c>
      <c r="C196" s="237">
        <v>300009374212</v>
      </c>
      <c r="D196" s="261" t="s">
        <v>235</v>
      </c>
      <c r="E196" s="236">
        <v>0</v>
      </c>
      <c r="F196" s="236">
        <v>3</v>
      </c>
      <c r="G196" s="236">
        <v>0</v>
      </c>
      <c r="H196" s="236">
        <v>0</v>
      </c>
      <c r="I196" s="236">
        <v>962</v>
      </c>
      <c r="J196" s="236">
        <v>3</v>
      </c>
      <c r="K196" s="236">
        <v>0</v>
      </c>
    </row>
    <row r="197" spans="1:11">
      <c r="A197" s="260">
        <v>42656</v>
      </c>
      <c r="B197" s="236" t="s">
        <v>226</v>
      </c>
      <c r="C197" s="237">
        <v>300009374215</v>
      </c>
      <c r="D197" s="261" t="s">
        <v>236</v>
      </c>
      <c r="E197" s="236">
        <v>1</v>
      </c>
      <c r="F197" s="236">
        <v>2</v>
      </c>
      <c r="G197" s="236">
        <v>0</v>
      </c>
      <c r="H197" s="236">
        <v>0</v>
      </c>
      <c r="I197" s="236">
        <v>0</v>
      </c>
      <c r="J197" s="236">
        <v>2</v>
      </c>
      <c r="K197" s="236">
        <v>0</v>
      </c>
    </row>
    <row r="198" spans="1:11">
      <c r="A198" s="260">
        <v>42656</v>
      </c>
      <c r="B198" s="236" t="s">
        <v>554</v>
      </c>
      <c r="C198" s="237">
        <v>300009608232</v>
      </c>
      <c r="D198" s="261" t="s">
        <v>552</v>
      </c>
      <c r="E198" s="236">
        <v>0</v>
      </c>
      <c r="F198" s="236">
        <v>18</v>
      </c>
      <c r="G198" s="236">
        <v>0</v>
      </c>
      <c r="H198" s="236">
        <v>12</v>
      </c>
      <c r="I198" s="236">
        <v>73</v>
      </c>
      <c r="J198" s="236">
        <v>18</v>
      </c>
      <c r="K198" s="236">
        <v>12</v>
      </c>
    </row>
    <row r="199" spans="1:11">
      <c r="A199" s="260">
        <v>42656</v>
      </c>
      <c r="B199" s="236" t="s">
        <v>554</v>
      </c>
      <c r="C199" s="237">
        <v>300008844447</v>
      </c>
      <c r="D199" s="261" t="s">
        <v>556</v>
      </c>
      <c r="E199" s="236">
        <v>0</v>
      </c>
      <c r="F199" s="236">
        <v>3</v>
      </c>
      <c r="G199" s="236">
        <v>0</v>
      </c>
      <c r="H199" s="236">
        <v>2</v>
      </c>
      <c r="I199" s="236">
        <v>0</v>
      </c>
      <c r="J199" s="236">
        <v>3</v>
      </c>
      <c r="K199" s="236">
        <v>2</v>
      </c>
    </row>
    <row r="200" spans="1:11">
      <c r="A200" s="260">
        <v>42656</v>
      </c>
      <c r="B200" s="236" t="s">
        <v>554</v>
      </c>
      <c r="C200" s="237">
        <v>300009574234</v>
      </c>
      <c r="D200" s="261" t="s">
        <v>553</v>
      </c>
      <c r="E200" s="236">
        <v>0</v>
      </c>
      <c r="F200" s="236">
        <v>3</v>
      </c>
      <c r="G200" s="236">
        <v>0</v>
      </c>
      <c r="H200" s="236">
        <v>2</v>
      </c>
      <c r="I200" s="236">
        <v>1262</v>
      </c>
      <c r="J200" s="236">
        <v>3</v>
      </c>
      <c r="K200" s="236">
        <v>2</v>
      </c>
    </row>
    <row r="201" spans="1:11">
      <c r="A201" s="260">
        <v>42656</v>
      </c>
      <c r="B201" s="236" t="s">
        <v>554</v>
      </c>
      <c r="C201" s="237">
        <v>300008849022</v>
      </c>
      <c r="D201" s="261" t="s">
        <v>555</v>
      </c>
      <c r="E201" s="236">
        <v>0</v>
      </c>
      <c r="F201" s="236">
        <v>1</v>
      </c>
      <c r="G201" s="236">
        <v>0</v>
      </c>
      <c r="H201" s="236">
        <v>1</v>
      </c>
      <c r="I201" s="236">
        <v>0</v>
      </c>
      <c r="J201" s="236">
        <v>1</v>
      </c>
      <c r="K201" s="236">
        <v>1</v>
      </c>
    </row>
    <row r="202" spans="1:11">
      <c r="A202" s="260">
        <v>42656</v>
      </c>
      <c r="B202" s="236" t="s">
        <v>554</v>
      </c>
      <c r="C202" s="237">
        <v>300008859997</v>
      </c>
      <c r="D202" s="261" t="s">
        <v>565</v>
      </c>
      <c r="E202" s="236">
        <v>0</v>
      </c>
      <c r="F202" s="236">
        <v>1</v>
      </c>
      <c r="G202" s="236">
        <v>0</v>
      </c>
      <c r="H202" s="236">
        <v>1</v>
      </c>
      <c r="I202" s="236">
        <v>313</v>
      </c>
      <c r="J202" s="236">
        <v>1</v>
      </c>
      <c r="K202" s="236">
        <v>1</v>
      </c>
    </row>
    <row r="203" spans="1:11">
      <c r="A203" s="260">
        <v>42656</v>
      </c>
      <c r="B203" s="236" t="s">
        <v>554</v>
      </c>
      <c r="C203" s="237">
        <v>300009190198</v>
      </c>
      <c r="D203" s="261" t="s">
        <v>557</v>
      </c>
      <c r="E203" s="236">
        <v>0</v>
      </c>
      <c r="F203" s="236">
        <v>1</v>
      </c>
      <c r="G203" s="236">
        <v>0</v>
      </c>
      <c r="H203" s="236">
        <v>0</v>
      </c>
      <c r="I203" s="236">
        <v>0</v>
      </c>
      <c r="J203" s="236">
        <v>1</v>
      </c>
      <c r="K203" s="236">
        <v>0</v>
      </c>
    </row>
    <row r="204" spans="1:11">
      <c r="A204" s="260">
        <v>42656</v>
      </c>
      <c r="B204" s="236" t="s">
        <v>554</v>
      </c>
      <c r="C204" s="237">
        <v>300009714303</v>
      </c>
      <c r="D204" s="261" t="s">
        <v>562</v>
      </c>
      <c r="E204" s="236">
        <v>0</v>
      </c>
      <c r="F204" s="236">
        <v>0</v>
      </c>
      <c r="G204" s="236">
        <v>0</v>
      </c>
      <c r="H204" s="236">
        <v>0</v>
      </c>
      <c r="I204" s="236">
        <v>543</v>
      </c>
      <c r="J204" s="236">
        <v>0</v>
      </c>
      <c r="K204" s="236">
        <v>0</v>
      </c>
    </row>
    <row r="205" spans="1:11">
      <c r="A205" s="260">
        <v>42657</v>
      </c>
      <c r="B205" s="236" t="s">
        <v>459</v>
      </c>
      <c r="C205" s="237">
        <v>300009358277</v>
      </c>
      <c r="D205" s="261" t="s">
        <v>458</v>
      </c>
      <c r="E205" s="236">
        <v>7</v>
      </c>
      <c r="F205" s="236">
        <v>116</v>
      </c>
      <c r="G205" s="236">
        <v>0</v>
      </c>
      <c r="H205" s="236">
        <v>16</v>
      </c>
      <c r="I205" s="236">
        <v>13002</v>
      </c>
      <c r="J205" s="236">
        <v>89.22</v>
      </c>
      <c r="K205" s="236">
        <v>12.31</v>
      </c>
    </row>
    <row r="206" spans="1:11">
      <c r="A206" s="260">
        <v>42657</v>
      </c>
      <c r="B206" s="236" t="s">
        <v>474</v>
      </c>
      <c r="C206" s="237">
        <v>300009480238</v>
      </c>
      <c r="D206" s="261" t="s">
        <v>263</v>
      </c>
      <c r="E206" s="236">
        <v>0</v>
      </c>
      <c r="F206" s="236">
        <v>22</v>
      </c>
      <c r="G206" s="236">
        <v>0</v>
      </c>
      <c r="H206" s="236">
        <v>3</v>
      </c>
      <c r="I206" s="236">
        <v>1176</v>
      </c>
      <c r="J206" s="236">
        <v>22</v>
      </c>
      <c r="K206" s="236">
        <v>3</v>
      </c>
    </row>
    <row r="207" spans="1:11">
      <c r="A207" s="260">
        <v>42657</v>
      </c>
      <c r="B207" s="236" t="s">
        <v>193</v>
      </c>
      <c r="C207" s="237">
        <v>300008579657</v>
      </c>
      <c r="D207" s="261" t="s">
        <v>482</v>
      </c>
      <c r="E207" s="236">
        <v>0</v>
      </c>
      <c r="F207" s="236">
        <v>1</v>
      </c>
      <c r="G207" s="236">
        <v>0</v>
      </c>
      <c r="H207" s="236">
        <v>1</v>
      </c>
      <c r="I207" s="236">
        <v>0</v>
      </c>
      <c r="J207" s="236">
        <v>1</v>
      </c>
      <c r="K207" s="236">
        <v>1</v>
      </c>
    </row>
    <row r="208" spans="1:11">
      <c r="A208" s="260">
        <v>42657</v>
      </c>
      <c r="B208" s="236" t="s">
        <v>193</v>
      </c>
      <c r="C208" s="237">
        <v>300009000071</v>
      </c>
      <c r="D208" s="236" t="s">
        <v>483</v>
      </c>
      <c r="E208" s="236">
        <v>0</v>
      </c>
      <c r="F208" s="236">
        <v>1</v>
      </c>
      <c r="G208" s="236">
        <v>0</v>
      </c>
      <c r="H208" s="236">
        <v>1</v>
      </c>
      <c r="I208" s="236">
        <v>0</v>
      </c>
      <c r="J208" s="236">
        <v>1</v>
      </c>
      <c r="K208" s="236">
        <v>1</v>
      </c>
    </row>
    <row r="209" spans="1:11">
      <c r="A209" s="260">
        <v>42657</v>
      </c>
      <c r="B209" s="236" t="s">
        <v>193</v>
      </c>
      <c r="C209" s="237">
        <v>300008244937</v>
      </c>
      <c r="D209" s="261" t="s">
        <v>272</v>
      </c>
      <c r="E209" s="236">
        <v>0</v>
      </c>
      <c r="F209" s="236">
        <v>1</v>
      </c>
      <c r="G209" s="236">
        <v>0</v>
      </c>
      <c r="H209" s="236">
        <v>0</v>
      </c>
      <c r="I209" s="236">
        <v>0</v>
      </c>
      <c r="J209" s="236">
        <v>1</v>
      </c>
      <c r="K209" s="236">
        <v>0</v>
      </c>
    </row>
    <row r="210" spans="1:11">
      <c r="A210" s="260">
        <v>42657</v>
      </c>
      <c r="B210" s="236" t="s">
        <v>193</v>
      </c>
      <c r="C210" s="237">
        <v>300009235971</v>
      </c>
      <c r="D210" s="261" t="s">
        <v>241</v>
      </c>
      <c r="E210" s="236">
        <v>0</v>
      </c>
      <c r="F210" s="236">
        <v>0</v>
      </c>
      <c r="G210" s="236">
        <v>0</v>
      </c>
      <c r="H210" s="236">
        <v>0</v>
      </c>
      <c r="I210" s="236">
        <v>0</v>
      </c>
      <c r="J210" s="236">
        <v>0</v>
      </c>
      <c r="K210" s="236">
        <v>0</v>
      </c>
    </row>
    <row r="211" spans="1:11">
      <c r="A211" s="260">
        <v>42657</v>
      </c>
      <c r="B211" s="236" t="s">
        <v>227</v>
      </c>
      <c r="C211" s="237">
        <v>300009192151</v>
      </c>
      <c r="D211" s="261" t="s">
        <v>486</v>
      </c>
      <c r="E211" s="236">
        <v>0</v>
      </c>
      <c r="F211" s="236">
        <v>5</v>
      </c>
      <c r="G211" s="236">
        <v>0</v>
      </c>
      <c r="H211" s="236">
        <v>1</v>
      </c>
      <c r="I211" s="236">
        <v>2064</v>
      </c>
      <c r="J211" s="236">
        <v>5</v>
      </c>
      <c r="K211" s="236">
        <v>1</v>
      </c>
    </row>
    <row r="212" spans="1:11">
      <c r="A212" s="260">
        <v>42657</v>
      </c>
      <c r="B212" s="236" t="s">
        <v>226</v>
      </c>
      <c r="C212" s="237">
        <v>300009406201</v>
      </c>
      <c r="D212" s="261" t="s">
        <v>234</v>
      </c>
      <c r="E212" s="236">
        <v>0</v>
      </c>
      <c r="F212" s="236">
        <v>11</v>
      </c>
      <c r="G212" s="236">
        <v>0</v>
      </c>
      <c r="H212" s="236">
        <v>4</v>
      </c>
      <c r="I212" s="236">
        <v>2007</v>
      </c>
      <c r="J212" s="236">
        <v>11</v>
      </c>
      <c r="K212" s="236">
        <v>4</v>
      </c>
    </row>
    <row r="213" spans="1:11">
      <c r="A213" s="260">
        <v>42657</v>
      </c>
      <c r="B213" s="236" t="s">
        <v>226</v>
      </c>
      <c r="C213" s="237">
        <v>300009185572</v>
      </c>
      <c r="D213" s="261" t="s">
        <v>237</v>
      </c>
      <c r="E213" s="236">
        <v>1</v>
      </c>
      <c r="F213" s="236">
        <v>19</v>
      </c>
      <c r="G213" s="236">
        <v>0</v>
      </c>
      <c r="H213" s="236">
        <v>3</v>
      </c>
      <c r="I213" s="236">
        <v>1734</v>
      </c>
      <c r="J213" s="236">
        <v>19</v>
      </c>
      <c r="K213" s="236">
        <v>3</v>
      </c>
    </row>
    <row r="214" spans="1:11">
      <c r="A214" s="260">
        <v>42657</v>
      </c>
      <c r="B214" s="236" t="s">
        <v>226</v>
      </c>
      <c r="C214" s="237">
        <v>300009406202</v>
      </c>
      <c r="D214" s="261" t="s">
        <v>232</v>
      </c>
      <c r="E214" s="236">
        <v>0</v>
      </c>
      <c r="F214" s="236">
        <v>6</v>
      </c>
      <c r="G214" s="236">
        <v>0</v>
      </c>
      <c r="H214" s="236">
        <v>2</v>
      </c>
      <c r="I214" s="236">
        <v>1367</v>
      </c>
      <c r="J214" s="236">
        <v>6</v>
      </c>
      <c r="K214" s="236">
        <v>2</v>
      </c>
    </row>
    <row r="215" spans="1:11">
      <c r="A215" s="260">
        <v>42657</v>
      </c>
      <c r="B215" s="236" t="s">
        <v>226</v>
      </c>
      <c r="C215" s="237">
        <v>300009374212</v>
      </c>
      <c r="D215" s="261" t="s">
        <v>235</v>
      </c>
      <c r="E215" s="236">
        <v>2</v>
      </c>
      <c r="F215" s="236">
        <v>6</v>
      </c>
      <c r="G215" s="236">
        <v>0</v>
      </c>
      <c r="H215" s="236">
        <v>1</v>
      </c>
      <c r="I215" s="236">
        <v>1235</v>
      </c>
      <c r="J215" s="236">
        <v>6</v>
      </c>
      <c r="K215" s="236">
        <v>1</v>
      </c>
    </row>
    <row r="216" spans="1:11">
      <c r="A216" s="260">
        <v>42657</v>
      </c>
      <c r="B216" s="236" t="s">
        <v>226</v>
      </c>
      <c r="C216" s="237">
        <v>300009184067</v>
      </c>
      <c r="D216" s="261" t="s">
        <v>233</v>
      </c>
      <c r="E216" s="236">
        <v>0</v>
      </c>
      <c r="F216" s="236">
        <v>0</v>
      </c>
      <c r="G216" s="236">
        <v>0</v>
      </c>
      <c r="H216" s="236">
        <v>0</v>
      </c>
      <c r="I216" s="236">
        <v>68</v>
      </c>
      <c r="J216" s="236">
        <v>0</v>
      </c>
      <c r="K216" s="236">
        <v>0</v>
      </c>
    </row>
    <row r="217" spans="1:11">
      <c r="A217" s="260">
        <v>42657</v>
      </c>
      <c r="B217" s="236" t="s">
        <v>226</v>
      </c>
      <c r="C217" s="237">
        <v>300009374215</v>
      </c>
      <c r="D217" s="261" t="s">
        <v>236</v>
      </c>
      <c r="E217" s="236">
        <v>0</v>
      </c>
      <c r="F217" s="236">
        <v>2</v>
      </c>
      <c r="G217" s="236">
        <v>0</v>
      </c>
      <c r="H217" s="236">
        <v>0</v>
      </c>
      <c r="I217" s="236">
        <v>0</v>
      </c>
      <c r="J217" s="236">
        <v>2</v>
      </c>
      <c r="K217" s="236">
        <v>0</v>
      </c>
    </row>
    <row r="218" spans="1:11">
      <c r="A218" s="260">
        <v>42657</v>
      </c>
      <c r="B218" s="236" t="s">
        <v>554</v>
      </c>
      <c r="C218" s="237">
        <v>300009608232</v>
      </c>
      <c r="D218" s="261" t="s">
        <v>552</v>
      </c>
      <c r="E218" s="236">
        <v>0</v>
      </c>
      <c r="F218" s="236">
        <v>18</v>
      </c>
      <c r="G218" s="236">
        <v>0</v>
      </c>
      <c r="H218" s="236">
        <v>13</v>
      </c>
      <c r="I218" s="236">
        <v>73</v>
      </c>
      <c r="J218" s="236">
        <v>18</v>
      </c>
      <c r="K218" s="236">
        <v>13</v>
      </c>
    </row>
    <row r="219" spans="1:11">
      <c r="A219" s="260">
        <v>42657</v>
      </c>
      <c r="B219" s="236" t="s">
        <v>554</v>
      </c>
      <c r="C219" s="237">
        <v>300008844447</v>
      </c>
      <c r="D219" s="261" t="s">
        <v>556</v>
      </c>
      <c r="E219" s="236">
        <v>0</v>
      </c>
      <c r="F219" s="236">
        <v>3</v>
      </c>
      <c r="G219" s="236">
        <v>0</v>
      </c>
      <c r="H219" s="236">
        <v>2</v>
      </c>
      <c r="I219" s="236">
        <v>0</v>
      </c>
      <c r="J219" s="236">
        <v>3</v>
      </c>
      <c r="K219" s="236">
        <v>2</v>
      </c>
    </row>
    <row r="220" spans="1:11">
      <c r="A220" s="260">
        <v>42657</v>
      </c>
      <c r="B220" s="236" t="s">
        <v>554</v>
      </c>
      <c r="C220" s="237">
        <v>300009574234</v>
      </c>
      <c r="D220" s="261" t="s">
        <v>553</v>
      </c>
      <c r="E220" s="236">
        <v>0</v>
      </c>
      <c r="F220" s="236">
        <v>3</v>
      </c>
      <c r="G220" s="236">
        <v>0</v>
      </c>
      <c r="H220" s="236">
        <v>2</v>
      </c>
      <c r="I220" s="236">
        <v>1284</v>
      </c>
      <c r="J220" s="236">
        <v>3</v>
      </c>
      <c r="K220" s="236">
        <v>2</v>
      </c>
    </row>
    <row r="221" spans="1:11">
      <c r="A221" s="260">
        <v>42657</v>
      </c>
      <c r="B221" s="236" t="s">
        <v>554</v>
      </c>
      <c r="C221" s="237">
        <v>300008849022</v>
      </c>
      <c r="D221" s="261" t="s">
        <v>555</v>
      </c>
      <c r="E221" s="236">
        <v>0</v>
      </c>
      <c r="F221" s="236">
        <v>1</v>
      </c>
      <c r="G221" s="236">
        <v>0</v>
      </c>
      <c r="H221" s="236">
        <v>1</v>
      </c>
      <c r="I221" s="236">
        <v>0</v>
      </c>
      <c r="J221" s="236">
        <v>1</v>
      </c>
      <c r="K221" s="236">
        <v>1</v>
      </c>
    </row>
    <row r="222" spans="1:11">
      <c r="A222" s="260">
        <v>42657</v>
      </c>
      <c r="B222" s="236" t="s">
        <v>554</v>
      </c>
      <c r="C222" s="237">
        <v>300008859997</v>
      </c>
      <c r="D222" s="261" t="s">
        <v>565</v>
      </c>
      <c r="E222" s="236">
        <v>0</v>
      </c>
      <c r="F222" s="236">
        <v>1</v>
      </c>
      <c r="G222" s="236">
        <v>0</v>
      </c>
      <c r="H222" s="236">
        <v>1</v>
      </c>
      <c r="I222" s="236">
        <v>313</v>
      </c>
      <c r="J222" s="236">
        <v>1</v>
      </c>
      <c r="K222" s="236">
        <v>1</v>
      </c>
    </row>
    <row r="223" spans="1:11">
      <c r="A223" s="260">
        <v>42657</v>
      </c>
      <c r="B223" s="236" t="s">
        <v>554</v>
      </c>
      <c r="C223" s="237">
        <v>300009190198</v>
      </c>
      <c r="D223" s="261" t="s">
        <v>557</v>
      </c>
      <c r="E223" s="236">
        <v>0</v>
      </c>
      <c r="F223" s="236">
        <v>1</v>
      </c>
      <c r="G223" s="236">
        <v>0</v>
      </c>
      <c r="H223" s="236">
        <v>0</v>
      </c>
      <c r="I223" s="236">
        <v>0</v>
      </c>
      <c r="J223" s="236">
        <v>1</v>
      </c>
      <c r="K223" s="236">
        <v>0</v>
      </c>
    </row>
    <row r="224" spans="1:11">
      <c r="A224" s="260">
        <v>42657</v>
      </c>
      <c r="B224" s="236" t="s">
        <v>554</v>
      </c>
      <c r="C224" s="237">
        <v>300009714303</v>
      </c>
      <c r="D224" s="261" t="s">
        <v>562</v>
      </c>
      <c r="E224" s="236">
        <v>0</v>
      </c>
      <c r="F224" s="236">
        <v>0</v>
      </c>
      <c r="G224" s="236">
        <v>0</v>
      </c>
      <c r="H224" s="236">
        <v>0</v>
      </c>
      <c r="I224" s="236">
        <v>543</v>
      </c>
      <c r="J224" s="236">
        <v>0</v>
      </c>
      <c r="K224" s="236">
        <v>0</v>
      </c>
    </row>
  </sheetData>
  <phoneticPr fontId="1" type="noConversion"/>
  <dataValidations count="1">
    <dataValidation type="list" allowBlank="1" showInputMessage="1" showErrorMessage="1" sqref="B1:B1048576">
      <formula1>"兰桂馥,掌娱纵横,趣游,前游,魔逗,中力为,鱼智,深圳玉璟"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341"/>
  <sheetViews>
    <sheetView zoomScaleNormal="100" workbookViewId="0">
      <pane ySplit="2" topLeftCell="A1319" activePane="bottomLeft" state="frozen"/>
      <selection pane="bottomLeft" activeCell="D1344" sqref="D1344"/>
    </sheetView>
  </sheetViews>
  <sheetFormatPr defaultRowHeight="12.75"/>
  <cols>
    <col min="1" max="1" width="11.42578125" style="209" customWidth="1"/>
    <col min="2" max="11" width="9.140625" style="209"/>
  </cols>
  <sheetData>
    <row r="1" spans="1:11" s="47" customFormat="1" ht="36">
      <c r="A1" s="272" t="s">
        <v>476</v>
      </c>
      <c r="B1" s="274" t="s">
        <v>550</v>
      </c>
      <c r="C1" s="276" t="s">
        <v>551</v>
      </c>
      <c r="D1" s="274" t="s">
        <v>478</v>
      </c>
      <c r="E1" s="274" t="s">
        <v>180</v>
      </c>
      <c r="F1" s="274" t="s">
        <v>181</v>
      </c>
      <c r="G1" s="274" t="s">
        <v>185</v>
      </c>
      <c r="H1" s="274" t="s">
        <v>182</v>
      </c>
      <c r="I1" s="274" t="s">
        <v>183</v>
      </c>
      <c r="J1" s="274" t="s">
        <v>186</v>
      </c>
      <c r="K1" s="274" t="s">
        <v>184</v>
      </c>
    </row>
    <row r="2" spans="1:11">
      <c r="A2" s="260">
        <v>42644</v>
      </c>
      <c r="B2" s="209" t="s">
        <v>491</v>
      </c>
      <c r="C2" s="209">
        <v>1</v>
      </c>
      <c r="D2" s="272" t="s">
        <v>461</v>
      </c>
      <c r="E2" s="209">
        <v>0</v>
      </c>
      <c r="F2" s="209">
        <v>0</v>
      </c>
      <c r="G2" s="209">
        <v>0</v>
      </c>
      <c r="H2" s="209">
        <v>0</v>
      </c>
      <c r="I2" s="209">
        <v>0</v>
      </c>
      <c r="J2" s="209">
        <v>0</v>
      </c>
      <c r="K2" s="209">
        <v>25</v>
      </c>
    </row>
    <row r="3" spans="1:11">
      <c r="A3" s="260">
        <v>42644</v>
      </c>
      <c r="B3" s="209" t="s">
        <v>491</v>
      </c>
      <c r="C3" s="209">
        <v>2</v>
      </c>
      <c r="D3" s="272" t="s">
        <v>487</v>
      </c>
      <c r="E3" s="209">
        <v>0</v>
      </c>
      <c r="F3" s="209">
        <v>0</v>
      </c>
      <c r="G3" s="209">
        <v>0</v>
      </c>
      <c r="H3" s="209">
        <v>0</v>
      </c>
      <c r="I3" s="209">
        <v>0</v>
      </c>
      <c r="J3" s="209">
        <v>0</v>
      </c>
      <c r="K3" s="209">
        <v>53</v>
      </c>
    </row>
    <row r="4" spans="1:11">
      <c r="A4" s="260">
        <v>42644</v>
      </c>
      <c r="B4" s="209" t="s">
        <v>491</v>
      </c>
      <c r="C4" s="209">
        <v>3</v>
      </c>
      <c r="D4" s="272" t="s">
        <v>462</v>
      </c>
      <c r="E4" s="209">
        <v>0</v>
      </c>
      <c r="F4" s="209">
        <v>0</v>
      </c>
      <c r="G4" s="209">
        <v>0</v>
      </c>
      <c r="H4" s="209">
        <v>0</v>
      </c>
      <c r="I4" s="209">
        <v>0</v>
      </c>
      <c r="J4" s="209">
        <v>0</v>
      </c>
      <c r="K4" s="209">
        <v>1</v>
      </c>
    </row>
    <row r="5" spans="1:11">
      <c r="A5" s="260">
        <v>42644</v>
      </c>
      <c r="B5" s="209" t="s">
        <v>491</v>
      </c>
      <c r="C5" s="209">
        <v>4</v>
      </c>
      <c r="D5" s="272" t="s">
        <v>463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472</v>
      </c>
    </row>
    <row r="6" spans="1:11">
      <c r="A6" s="260">
        <v>42644</v>
      </c>
      <c r="B6" s="209" t="s">
        <v>491</v>
      </c>
      <c r="C6" s="209">
        <v>5</v>
      </c>
      <c r="D6" s="272" t="s">
        <v>464</v>
      </c>
      <c r="E6" s="209">
        <v>0</v>
      </c>
      <c r="F6" s="209">
        <v>0</v>
      </c>
      <c r="G6" s="209">
        <v>0</v>
      </c>
      <c r="H6" s="209">
        <v>0</v>
      </c>
      <c r="I6" s="209">
        <v>0</v>
      </c>
      <c r="J6" s="209">
        <v>0</v>
      </c>
      <c r="K6" s="209">
        <v>0</v>
      </c>
    </row>
    <row r="7" spans="1:11">
      <c r="A7" s="260">
        <v>42644</v>
      </c>
      <c r="B7" s="209" t="s">
        <v>491</v>
      </c>
      <c r="C7" s="209">
        <v>6</v>
      </c>
      <c r="D7" s="272" t="s">
        <v>504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132</v>
      </c>
    </row>
    <row r="8" spans="1:11">
      <c r="A8" s="260">
        <v>42644</v>
      </c>
      <c r="B8" s="209" t="s">
        <v>491</v>
      </c>
      <c r="C8" s="209">
        <v>7</v>
      </c>
      <c r="D8" s="272" t="s">
        <v>460</v>
      </c>
      <c r="E8" s="209">
        <v>0</v>
      </c>
      <c r="F8" s="209">
        <v>0</v>
      </c>
      <c r="G8" s="209">
        <v>0</v>
      </c>
      <c r="H8" s="209">
        <v>0</v>
      </c>
      <c r="I8" s="209">
        <v>0</v>
      </c>
      <c r="J8" s="209">
        <v>0</v>
      </c>
      <c r="K8" s="209">
        <v>39</v>
      </c>
    </row>
    <row r="9" spans="1:11">
      <c r="A9" s="260">
        <v>42644</v>
      </c>
      <c r="B9" s="209" t="s">
        <v>491</v>
      </c>
      <c r="C9" s="209">
        <v>8</v>
      </c>
      <c r="D9" s="272" t="s">
        <v>465</v>
      </c>
      <c r="E9" s="209">
        <v>0</v>
      </c>
      <c r="F9" s="209">
        <v>0</v>
      </c>
      <c r="G9" s="209">
        <v>0</v>
      </c>
      <c r="H9" s="209">
        <v>0</v>
      </c>
      <c r="I9" s="209">
        <v>0</v>
      </c>
      <c r="J9" s="209">
        <v>0</v>
      </c>
      <c r="K9" s="209">
        <v>4</v>
      </c>
    </row>
    <row r="10" spans="1:11">
      <c r="A10" s="260">
        <v>42644</v>
      </c>
      <c r="B10" s="209" t="s">
        <v>491</v>
      </c>
      <c r="C10" s="209">
        <v>9</v>
      </c>
      <c r="D10" s="272" t="s">
        <v>505</v>
      </c>
      <c r="E10" s="209">
        <v>0</v>
      </c>
      <c r="F10" s="209">
        <v>0</v>
      </c>
      <c r="G10" s="209">
        <v>0</v>
      </c>
      <c r="H10" s="209">
        <v>0</v>
      </c>
      <c r="I10" s="209">
        <v>0</v>
      </c>
      <c r="J10" s="209">
        <v>0</v>
      </c>
      <c r="K10" s="209">
        <v>185</v>
      </c>
    </row>
    <row r="11" spans="1:11">
      <c r="A11" s="260">
        <v>42644</v>
      </c>
      <c r="B11" s="209" t="s">
        <v>491</v>
      </c>
      <c r="C11" s="209">
        <v>10</v>
      </c>
      <c r="D11" s="272" t="s">
        <v>506</v>
      </c>
      <c r="E11" s="209">
        <v>0</v>
      </c>
      <c r="F11" s="209">
        <v>0</v>
      </c>
      <c r="G11" s="209">
        <v>0</v>
      </c>
      <c r="H11" s="209">
        <v>0</v>
      </c>
      <c r="I11" s="209">
        <v>0</v>
      </c>
      <c r="J11" s="209">
        <v>0</v>
      </c>
      <c r="K11" s="209">
        <v>1</v>
      </c>
    </row>
    <row r="12" spans="1:11">
      <c r="A12" s="260">
        <v>42644</v>
      </c>
      <c r="B12" s="209" t="s">
        <v>491</v>
      </c>
      <c r="C12" s="209">
        <v>11</v>
      </c>
      <c r="D12" s="272" t="s">
        <v>466</v>
      </c>
      <c r="E12" s="209">
        <v>0</v>
      </c>
      <c r="F12" s="209">
        <v>0</v>
      </c>
      <c r="G12" s="209">
        <v>0</v>
      </c>
      <c r="H12" s="209">
        <v>0</v>
      </c>
      <c r="I12" s="209">
        <v>0</v>
      </c>
      <c r="J12" s="209">
        <v>0</v>
      </c>
      <c r="K12" s="209">
        <v>14</v>
      </c>
    </row>
    <row r="13" spans="1:11">
      <c r="A13" s="260">
        <v>42644</v>
      </c>
      <c r="B13" s="209" t="s">
        <v>491</v>
      </c>
      <c r="C13" s="209">
        <v>12</v>
      </c>
      <c r="D13" s="272" t="s">
        <v>467</v>
      </c>
      <c r="E13" s="209">
        <v>0</v>
      </c>
      <c r="F13" s="209">
        <v>0</v>
      </c>
      <c r="G13" s="209">
        <v>0</v>
      </c>
      <c r="H13" s="209">
        <v>0</v>
      </c>
      <c r="I13" s="209">
        <v>0</v>
      </c>
      <c r="J13" s="209">
        <v>0</v>
      </c>
      <c r="K13" s="209">
        <v>27</v>
      </c>
    </row>
    <row r="14" spans="1:11">
      <c r="A14" s="260">
        <v>42644</v>
      </c>
      <c r="B14" s="209" t="s">
        <v>491</v>
      </c>
      <c r="C14" s="209">
        <v>13</v>
      </c>
      <c r="D14" s="272" t="s">
        <v>472</v>
      </c>
      <c r="E14" s="209">
        <v>0</v>
      </c>
      <c r="F14" s="209">
        <v>0</v>
      </c>
      <c r="G14" s="209">
        <v>0</v>
      </c>
      <c r="H14" s="209">
        <v>0</v>
      </c>
      <c r="I14" s="209">
        <v>0</v>
      </c>
      <c r="J14" s="209">
        <v>0</v>
      </c>
      <c r="K14" s="209">
        <v>2</v>
      </c>
    </row>
    <row r="15" spans="1:11">
      <c r="A15" s="260">
        <v>42644</v>
      </c>
      <c r="B15" s="209" t="s">
        <v>491</v>
      </c>
      <c r="C15" s="209">
        <v>14</v>
      </c>
      <c r="D15" s="272" t="s">
        <v>507</v>
      </c>
      <c r="E15" s="209">
        <v>0</v>
      </c>
      <c r="F15" s="209">
        <v>0</v>
      </c>
      <c r="G15" s="209">
        <v>0</v>
      </c>
      <c r="H15" s="209">
        <v>0</v>
      </c>
      <c r="I15" s="209">
        <v>0</v>
      </c>
      <c r="J15" s="209">
        <v>0</v>
      </c>
      <c r="K15" s="209">
        <v>2</v>
      </c>
    </row>
    <row r="16" spans="1:11">
      <c r="A16" s="260">
        <v>42644</v>
      </c>
      <c r="B16" s="209" t="s">
        <v>491</v>
      </c>
      <c r="C16" s="209">
        <v>15</v>
      </c>
      <c r="D16" s="272" t="s">
        <v>508</v>
      </c>
      <c r="E16" s="209">
        <v>0</v>
      </c>
      <c r="F16" s="209">
        <v>0</v>
      </c>
      <c r="G16" s="209">
        <v>0</v>
      </c>
      <c r="H16" s="209">
        <v>0</v>
      </c>
      <c r="I16" s="209">
        <v>0</v>
      </c>
      <c r="J16" s="209">
        <v>0</v>
      </c>
      <c r="K16" s="209">
        <v>42</v>
      </c>
    </row>
    <row r="17" spans="1:11">
      <c r="A17" s="260">
        <v>42644</v>
      </c>
      <c r="B17" s="209" t="s">
        <v>491</v>
      </c>
      <c r="C17" s="209">
        <v>16</v>
      </c>
      <c r="D17" s="272" t="s">
        <v>468</v>
      </c>
      <c r="E17" s="209">
        <v>0</v>
      </c>
      <c r="F17" s="209">
        <v>0</v>
      </c>
      <c r="G17" s="209">
        <v>0</v>
      </c>
      <c r="H17" s="209">
        <v>0</v>
      </c>
      <c r="I17" s="209">
        <v>0</v>
      </c>
      <c r="J17" s="209">
        <v>0</v>
      </c>
      <c r="K17" s="209">
        <v>2</v>
      </c>
    </row>
    <row r="18" spans="1:11">
      <c r="A18" s="260">
        <v>42644</v>
      </c>
      <c r="B18" s="209" t="s">
        <v>491</v>
      </c>
      <c r="C18" s="209">
        <v>17</v>
      </c>
      <c r="D18" s="272" t="s">
        <v>489</v>
      </c>
      <c r="E18" s="209">
        <v>0</v>
      </c>
      <c r="F18" s="209">
        <v>0</v>
      </c>
      <c r="G18" s="209">
        <v>0</v>
      </c>
      <c r="H18" s="209">
        <v>0</v>
      </c>
      <c r="I18" s="209">
        <v>0</v>
      </c>
      <c r="J18" s="209">
        <v>0</v>
      </c>
      <c r="K18" s="209">
        <v>51</v>
      </c>
    </row>
    <row r="19" spans="1:11">
      <c r="A19" s="260">
        <v>42644</v>
      </c>
      <c r="B19" s="209" t="s">
        <v>491</v>
      </c>
      <c r="C19" s="209">
        <v>18</v>
      </c>
      <c r="D19" s="272" t="s">
        <v>470</v>
      </c>
      <c r="E19" s="209">
        <v>0</v>
      </c>
      <c r="F19" s="209">
        <v>0</v>
      </c>
      <c r="G19" s="209">
        <v>0</v>
      </c>
      <c r="H19" s="209">
        <v>0</v>
      </c>
      <c r="I19" s="209">
        <v>0</v>
      </c>
      <c r="J19" s="209">
        <v>0</v>
      </c>
      <c r="K19" s="209">
        <v>3</v>
      </c>
    </row>
    <row r="20" spans="1:11">
      <c r="A20" s="260">
        <v>42644</v>
      </c>
      <c r="B20" s="209" t="s">
        <v>491</v>
      </c>
      <c r="C20" s="209">
        <v>19</v>
      </c>
      <c r="D20" s="272" t="s">
        <v>509</v>
      </c>
      <c r="E20" s="209">
        <v>0</v>
      </c>
      <c r="F20" s="209">
        <v>0</v>
      </c>
      <c r="G20" s="209">
        <v>0</v>
      </c>
      <c r="H20" s="209">
        <v>0</v>
      </c>
      <c r="I20" s="209">
        <v>0</v>
      </c>
      <c r="J20" s="209">
        <v>0</v>
      </c>
      <c r="K20" s="209">
        <v>1</v>
      </c>
    </row>
    <row r="21" spans="1:11">
      <c r="A21" s="260">
        <v>42644</v>
      </c>
      <c r="B21" s="209" t="s">
        <v>491</v>
      </c>
      <c r="C21" s="209">
        <v>20</v>
      </c>
      <c r="D21" s="272" t="s">
        <v>471</v>
      </c>
      <c r="E21" s="209">
        <v>0</v>
      </c>
      <c r="F21" s="209">
        <v>0</v>
      </c>
      <c r="G21" s="209">
        <v>0</v>
      </c>
      <c r="H21" s="209">
        <v>0</v>
      </c>
      <c r="I21" s="209">
        <v>0</v>
      </c>
      <c r="J21" s="209">
        <v>0</v>
      </c>
      <c r="K21" s="209">
        <v>1</v>
      </c>
    </row>
    <row r="22" spans="1:11">
      <c r="A22" s="208">
        <v>42645</v>
      </c>
      <c r="B22" s="209" t="s">
        <v>491</v>
      </c>
      <c r="C22" s="209">
        <v>1</v>
      </c>
      <c r="D22" s="272" t="s">
        <v>461</v>
      </c>
      <c r="E22" s="209">
        <v>0</v>
      </c>
      <c r="F22" s="209">
        <v>0</v>
      </c>
      <c r="G22" s="209">
        <v>0</v>
      </c>
      <c r="H22" s="209">
        <v>0</v>
      </c>
      <c r="I22" s="209">
        <v>0</v>
      </c>
      <c r="J22" s="209">
        <v>0</v>
      </c>
      <c r="K22" s="209">
        <v>69</v>
      </c>
    </row>
    <row r="23" spans="1:11">
      <c r="A23" s="208">
        <v>42645</v>
      </c>
      <c r="B23" s="209" t="s">
        <v>491</v>
      </c>
      <c r="C23" s="209">
        <v>2</v>
      </c>
      <c r="D23" s="272" t="s">
        <v>487</v>
      </c>
      <c r="E23" s="209">
        <v>0</v>
      </c>
      <c r="F23" s="209">
        <v>0</v>
      </c>
      <c r="G23" s="209">
        <v>0</v>
      </c>
      <c r="H23" s="209">
        <v>0</v>
      </c>
      <c r="I23" s="209">
        <v>0</v>
      </c>
      <c r="J23" s="209">
        <v>0</v>
      </c>
      <c r="K23" s="209">
        <v>97</v>
      </c>
    </row>
    <row r="24" spans="1:11">
      <c r="A24" s="208">
        <v>42645</v>
      </c>
      <c r="B24" s="209" t="s">
        <v>491</v>
      </c>
      <c r="C24" s="209">
        <v>3</v>
      </c>
      <c r="D24" s="272" t="s">
        <v>462</v>
      </c>
      <c r="E24" s="209">
        <v>0</v>
      </c>
      <c r="F24" s="209">
        <v>0</v>
      </c>
      <c r="G24" s="209">
        <v>0</v>
      </c>
      <c r="H24" s="209">
        <v>0</v>
      </c>
      <c r="I24" s="209">
        <v>0</v>
      </c>
      <c r="J24" s="209">
        <v>0</v>
      </c>
      <c r="K24" s="209">
        <v>3</v>
      </c>
    </row>
    <row r="25" spans="1:11">
      <c r="A25" s="208">
        <v>42645</v>
      </c>
      <c r="B25" s="209" t="s">
        <v>491</v>
      </c>
      <c r="C25" s="209">
        <v>4</v>
      </c>
      <c r="D25" s="272" t="s">
        <v>463</v>
      </c>
      <c r="E25" s="209">
        <v>0</v>
      </c>
      <c r="F25" s="209">
        <v>0</v>
      </c>
      <c r="G25" s="209">
        <v>0</v>
      </c>
      <c r="H25" s="209">
        <v>0</v>
      </c>
      <c r="I25" s="209">
        <v>0</v>
      </c>
      <c r="J25" s="209">
        <v>0</v>
      </c>
      <c r="K25" s="209">
        <v>811</v>
      </c>
    </row>
    <row r="26" spans="1:11">
      <c r="A26" s="208">
        <v>42645</v>
      </c>
      <c r="B26" s="209" t="s">
        <v>491</v>
      </c>
      <c r="C26" s="209">
        <v>5</v>
      </c>
      <c r="D26" s="272" t="s">
        <v>464</v>
      </c>
      <c r="E26" s="209">
        <v>0</v>
      </c>
      <c r="F26" s="209">
        <v>0</v>
      </c>
      <c r="G26" s="209">
        <v>0</v>
      </c>
      <c r="H26" s="209">
        <v>0</v>
      </c>
      <c r="I26" s="209">
        <v>0</v>
      </c>
      <c r="J26" s="209">
        <v>0</v>
      </c>
      <c r="K26" s="209">
        <v>0</v>
      </c>
    </row>
    <row r="27" spans="1:11">
      <c r="A27" s="208">
        <v>42645</v>
      </c>
      <c r="B27" s="209" t="s">
        <v>491</v>
      </c>
      <c r="C27" s="209">
        <v>6</v>
      </c>
      <c r="D27" s="272" t="s">
        <v>504</v>
      </c>
      <c r="E27" s="209">
        <v>0</v>
      </c>
      <c r="F27" s="209">
        <v>0</v>
      </c>
      <c r="G27" s="209">
        <v>0</v>
      </c>
      <c r="H27" s="209">
        <v>0</v>
      </c>
      <c r="I27" s="209">
        <v>0</v>
      </c>
      <c r="J27" s="209">
        <v>0</v>
      </c>
      <c r="K27" s="209">
        <v>229</v>
      </c>
    </row>
    <row r="28" spans="1:11">
      <c r="A28" s="208">
        <v>42645</v>
      </c>
      <c r="B28" s="209" t="s">
        <v>491</v>
      </c>
      <c r="C28" s="209">
        <v>7</v>
      </c>
      <c r="D28" s="272" t="s">
        <v>490</v>
      </c>
      <c r="E28" s="209">
        <v>0</v>
      </c>
      <c r="F28" s="209">
        <v>0</v>
      </c>
      <c r="G28" s="209">
        <v>0</v>
      </c>
      <c r="H28" s="209">
        <v>0</v>
      </c>
      <c r="I28" s="209">
        <v>0</v>
      </c>
      <c r="J28" s="209">
        <v>0</v>
      </c>
      <c r="K28" s="209">
        <v>1</v>
      </c>
    </row>
    <row r="29" spans="1:11">
      <c r="A29" s="208">
        <v>42645</v>
      </c>
      <c r="B29" s="209" t="s">
        <v>491</v>
      </c>
      <c r="C29" s="209">
        <v>8</v>
      </c>
      <c r="D29" s="272" t="s">
        <v>460</v>
      </c>
      <c r="E29" s="209">
        <v>0</v>
      </c>
      <c r="F29" s="209">
        <v>0</v>
      </c>
      <c r="G29" s="209">
        <v>0</v>
      </c>
      <c r="H29" s="209">
        <v>0</v>
      </c>
      <c r="I29" s="209">
        <v>0</v>
      </c>
      <c r="J29" s="209">
        <v>0</v>
      </c>
      <c r="K29" s="209">
        <v>85</v>
      </c>
    </row>
    <row r="30" spans="1:11">
      <c r="A30" s="208">
        <v>42645</v>
      </c>
      <c r="B30" s="209" t="s">
        <v>491</v>
      </c>
      <c r="C30" s="209">
        <v>9</v>
      </c>
      <c r="D30" s="272" t="s">
        <v>465</v>
      </c>
      <c r="E30" s="209">
        <v>0</v>
      </c>
      <c r="F30" s="209">
        <v>0</v>
      </c>
      <c r="G30" s="209">
        <v>0</v>
      </c>
      <c r="H30" s="209">
        <v>0</v>
      </c>
      <c r="I30" s="209">
        <v>0</v>
      </c>
      <c r="J30" s="209">
        <v>0</v>
      </c>
      <c r="K30" s="209">
        <v>7</v>
      </c>
    </row>
    <row r="31" spans="1:11">
      <c r="A31" s="208">
        <v>42645</v>
      </c>
      <c r="B31" s="209" t="s">
        <v>491</v>
      </c>
      <c r="C31" s="209">
        <v>10</v>
      </c>
      <c r="D31" s="272" t="s">
        <v>505</v>
      </c>
      <c r="E31" s="209">
        <v>0</v>
      </c>
      <c r="F31" s="209">
        <v>0</v>
      </c>
      <c r="G31" s="209">
        <v>0</v>
      </c>
      <c r="H31" s="209">
        <v>0</v>
      </c>
      <c r="I31" s="209">
        <v>0</v>
      </c>
      <c r="J31" s="209">
        <v>0</v>
      </c>
      <c r="K31" s="209">
        <v>349</v>
      </c>
    </row>
    <row r="32" spans="1:11">
      <c r="A32" s="208">
        <v>42645</v>
      </c>
      <c r="B32" s="209" t="s">
        <v>491</v>
      </c>
      <c r="C32" s="209">
        <v>11</v>
      </c>
      <c r="D32" s="272" t="s">
        <v>506</v>
      </c>
      <c r="E32" s="209">
        <v>0</v>
      </c>
      <c r="F32" s="209">
        <v>0</v>
      </c>
      <c r="G32" s="209">
        <v>0</v>
      </c>
      <c r="H32" s="209">
        <v>0</v>
      </c>
      <c r="I32" s="209">
        <v>0</v>
      </c>
      <c r="J32" s="209">
        <v>0</v>
      </c>
      <c r="K32" s="209">
        <v>2</v>
      </c>
    </row>
    <row r="33" spans="1:11">
      <c r="A33" s="208">
        <v>42645</v>
      </c>
      <c r="B33" s="209" t="s">
        <v>491</v>
      </c>
      <c r="C33" s="209">
        <v>12</v>
      </c>
      <c r="D33" s="272" t="s">
        <v>466</v>
      </c>
      <c r="E33" s="209">
        <v>0</v>
      </c>
      <c r="F33" s="209">
        <v>0</v>
      </c>
      <c r="G33" s="209">
        <v>0</v>
      </c>
      <c r="H33" s="209">
        <v>0</v>
      </c>
      <c r="I33" s="209">
        <v>0</v>
      </c>
      <c r="J33" s="209">
        <v>0</v>
      </c>
      <c r="K33" s="209">
        <v>15</v>
      </c>
    </row>
    <row r="34" spans="1:11">
      <c r="A34" s="208">
        <v>42645</v>
      </c>
      <c r="B34" s="209" t="s">
        <v>491</v>
      </c>
      <c r="C34" s="209">
        <v>13</v>
      </c>
      <c r="D34" s="272" t="s">
        <v>467</v>
      </c>
      <c r="E34" s="209">
        <v>0</v>
      </c>
      <c r="F34" s="209">
        <v>0</v>
      </c>
      <c r="G34" s="209">
        <v>0</v>
      </c>
      <c r="H34" s="209">
        <v>0</v>
      </c>
      <c r="I34" s="209">
        <v>0</v>
      </c>
      <c r="J34" s="209">
        <v>0</v>
      </c>
      <c r="K34" s="209">
        <v>45</v>
      </c>
    </row>
    <row r="35" spans="1:11">
      <c r="A35" s="208">
        <v>42645</v>
      </c>
      <c r="B35" s="209" t="s">
        <v>491</v>
      </c>
      <c r="C35" s="209">
        <v>14</v>
      </c>
      <c r="D35" s="272" t="s">
        <v>472</v>
      </c>
      <c r="E35" s="209">
        <v>0</v>
      </c>
      <c r="F35" s="209">
        <v>0</v>
      </c>
      <c r="G35" s="209">
        <v>0</v>
      </c>
      <c r="H35" s="209">
        <v>0</v>
      </c>
      <c r="I35" s="209">
        <v>0</v>
      </c>
      <c r="J35" s="209">
        <v>0</v>
      </c>
      <c r="K35" s="209">
        <v>2</v>
      </c>
    </row>
    <row r="36" spans="1:11">
      <c r="A36" s="208">
        <v>42645</v>
      </c>
      <c r="B36" s="209" t="s">
        <v>491</v>
      </c>
      <c r="C36" s="209">
        <v>15</v>
      </c>
      <c r="D36" s="272" t="s">
        <v>507</v>
      </c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3</v>
      </c>
    </row>
    <row r="37" spans="1:11">
      <c r="A37" s="208">
        <v>42645</v>
      </c>
      <c r="B37" s="209" t="s">
        <v>491</v>
      </c>
      <c r="C37" s="209">
        <v>16</v>
      </c>
      <c r="D37" s="272" t="s">
        <v>508</v>
      </c>
      <c r="E37" s="209">
        <v>0</v>
      </c>
      <c r="F37" s="209">
        <v>0</v>
      </c>
      <c r="G37" s="209">
        <v>0</v>
      </c>
      <c r="H37" s="209">
        <v>0</v>
      </c>
      <c r="I37" s="209">
        <v>0</v>
      </c>
      <c r="J37" s="209">
        <v>0</v>
      </c>
      <c r="K37" s="209">
        <v>73</v>
      </c>
    </row>
    <row r="38" spans="1:11">
      <c r="A38" s="208">
        <v>42645</v>
      </c>
      <c r="B38" s="209" t="s">
        <v>491</v>
      </c>
      <c r="C38" s="209">
        <v>17</v>
      </c>
      <c r="D38" s="272" t="s">
        <v>468</v>
      </c>
      <c r="E38" s="209">
        <v>0</v>
      </c>
      <c r="F38" s="209">
        <v>0</v>
      </c>
      <c r="G38" s="209">
        <v>0</v>
      </c>
      <c r="H38" s="209">
        <v>0</v>
      </c>
      <c r="I38" s="209">
        <v>0</v>
      </c>
      <c r="J38" s="209">
        <v>0</v>
      </c>
      <c r="K38" s="209">
        <v>2</v>
      </c>
    </row>
    <row r="39" spans="1:11">
      <c r="A39" s="208">
        <v>42645</v>
      </c>
      <c r="B39" s="209" t="s">
        <v>491</v>
      </c>
      <c r="C39" s="209">
        <v>18</v>
      </c>
      <c r="D39" s="272" t="s">
        <v>489</v>
      </c>
      <c r="E39" s="209">
        <v>0</v>
      </c>
      <c r="F39" s="209">
        <v>0</v>
      </c>
      <c r="G39" s="209">
        <v>0</v>
      </c>
      <c r="H39" s="209">
        <v>0</v>
      </c>
      <c r="I39" s="209">
        <v>0</v>
      </c>
      <c r="J39" s="209">
        <v>0</v>
      </c>
      <c r="K39" s="209">
        <v>92</v>
      </c>
    </row>
    <row r="40" spans="1:11">
      <c r="A40" s="208">
        <v>42645</v>
      </c>
      <c r="B40" s="209" t="s">
        <v>491</v>
      </c>
      <c r="C40" s="209">
        <v>19</v>
      </c>
      <c r="D40" s="272" t="s">
        <v>469</v>
      </c>
      <c r="E40" s="209">
        <v>0</v>
      </c>
      <c r="F40" s="209">
        <v>0</v>
      </c>
      <c r="G40" s="209">
        <v>0</v>
      </c>
      <c r="H40" s="209">
        <v>0</v>
      </c>
      <c r="I40" s="209">
        <v>0</v>
      </c>
      <c r="J40" s="209">
        <v>0</v>
      </c>
      <c r="K40" s="209">
        <v>3</v>
      </c>
    </row>
    <row r="41" spans="1:11">
      <c r="A41" s="208">
        <v>42645</v>
      </c>
      <c r="B41" s="209" t="s">
        <v>491</v>
      </c>
      <c r="C41" s="209">
        <v>20</v>
      </c>
      <c r="D41" s="272" t="s">
        <v>470</v>
      </c>
      <c r="E41" s="209">
        <v>0</v>
      </c>
      <c r="F41" s="209">
        <v>0</v>
      </c>
      <c r="G41" s="209">
        <v>0</v>
      </c>
      <c r="H41" s="209">
        <v>0</v>
      </c>
      <c r="I41" s="209">
        <v>0</v>
      </c>
      <c r="J41" s="209">
        <v>0</v>
      </c>
      <c r="K41" s="209">
        <v>9</v>
      </c>
    </row>
    <row r="42" spans="1:11">
      <c r="A42" s="208">
        <v>42645</v>
      </c>
      <c r="B42" s="209" t="s">
        <v>491</v>
      </c>
      <c r="C42" s="209">
        <v>21</v>
      </c>
      <c r="D42" s="272" t="s">
        <v>509</v>
      </c>
      <c r="E42" s="209">
        <v>0</v>
      </c>
      <c r="F42" s="209">
        <v>0</v>
      </c>
      <c r="G42" s="209">
        <v>0</v>
      </c>
      <c r="H42" s="209">
        <v>0</v>
      </c>
      <c r="I42" s="209">
        <v>0</v>
      </c>
      <c r="J42" s="209">
        <v>0</v>
      </c>
      <c r="K42" s="209">
        <v>1</v>
      </c>
    </row>
    <row r="43" spans="1:11">
      <c r="A43" s="208">
        <v>42645</v>
      </c>
      <c r="B43" s="209" t="s">
        <v>491</v>
      </c>
      <c r="C43" s="209">
        <v>22</v>
      </c>
      <c r="D43" s="272" t="s">
        <v>471</v>
      </c>
      <c r="E43" s="209">
        <v>0</v>
      </c>
      <c r="F43" s="209">
        <v>0</v>
      </c>
      <c r="G43" s="209">
        <v>0</v>
      </c>
      <c r="H43" s="209">
        <v>0</v>
      </c>
      <c r="I43" s="209">
        <v>0</v>
      </c>
      <c r="J43" s="209">
        <v>0</v>
      </c>
      <c r="K43" s="209">
        <v>1</v>
      </c>
    </row>
    <row r="44" spans="1:11">
      <c r="A44" s="208">
        <v>42646</v>
      </c>
      <c r="B44" s="209" t="s">
        <v>491</v>
      </c>
      <c r="C44" s="209">
        <v>1</v>
      </c>
      <c r="D44" s="272" t="s">
        <v>461</v>
      </c>
      <c r="E44" s="209">
        <v>0</v>
      </c>
      <c r="F44" s="209">
        <v>0</v>
      </c>
      <c r="G44" s="209">
        <v>0</v>
      </c>
      <c r="H44" s="209">
        <v>0</v>
      </c>
      <c r="I44" s="209">
        <v>0</v>
      </c>
      <c r="J44" s="209">
        <v>0</v>
      </c>
      <c r="K44" s="209">
        <v>317</v>
      </c>
    </row>
    <row r="45" spans="1:11">
      <c r="A45" s="208">
        <v>42646</v>
      </c>
      <c r="B45" s="209" t="s">
        <v>491</v>
      </c>
      <c r="C45" s="209">
        <v>2</v>
      </c>
      <c r="D45" s="272" t="s">
        <v>487</v>
      </c>
      <c r="E45" s="209">
        <v>0</v>
      </c>
      <c r="F45" s="209">
        <v>0</v>
      </c>
      <c r="G45" s="209">
        <v>0</v>
      </c>
      <c r="H45" s="209">
        <v>0</v>
      </c>
      <c r="I45" s="209">
        <v>0</v>
      </c>
      <c r="J45" s="209">
        <v>0</v>
      </c>
      <c r="K45" s="209">
        <v>148</v>
      </c>
    </row>
    <row r="46" spans="1:11">
      <c r="A46" s="208">
        <v>42646</v>
      </c>
      <c r="B46" s="209" t="s">
        <v>491</v>
      </c>
      <c r="C46" s="209">
        <v>3</v>
      </c>
      <c r="D46" s="272" t="s">
        <v>462</v>
      </c>
      <c r="E46" s="209">
        <v>0</v>
      </c>
      <c r="F46" s="209">
        <v>0</v>
      </c>
      <c r="G46" s="209">
        <v>0</v>
      </c>
      <c r="H46" s="209">
        <v>0</v>
      </c>
      <c r="I46" s="209">
        <v>0</v>
      </c>
      <c r="J46" s="209">
        <v>0</v>
      </c>
      <c r="K46" s="209">
        <v>21</v>
      </c>
    </row>
    <row r="47" spans="1:11">
      <c r="A47" s="208">
        <v>42646</v>
      </c>
      <c r="B47" s="209" t="s">
        <v>491</v>
      </c>
      <c r="C47" s="209">
        <v>4</v>
      </c>
      <c r="D47" s="272" t="s">
        <v>463</v>
      </c>
      <c r="E47" s="209">
        <v>0</v>
      </c>
      <c r="F47" s="209">
        <v>0</v>
      </c>
      <c r="G47" s="209">
        <v>0</v>
      </c>
      <c r="H47" s="209">
        <v>0</v>
      </c>
      <c r="I47" s="209">
        <v>0</v>
      </c>
      <c r="J47" s="209">
        <v>0</v>
      </c>
      <c r="K47" s="209">
        <v>1100</v>
      </c>
    </row>
    <row r="48" spans="1:11">
      <c r="A48" s="208">
        <v>42646</v>
      </c>
      <c r="B48" s="209" t="s">
        <v>491</v>
      </c>
      <c r="C48" s="209">
        <v>5</v>
      </c>
      <c r="D48" s="272" t="s">
        <v>464</v>
      </c>
      <c r="E48" s="209">
        <v>0</v>
      </c>
      <c r="F48" s="209">
        <v>0</v>
      </c>
      <c r="G48" s="209">
        <v>0</v>
      </c>
      <c r="H48" s="209">
        <v>0</v>
      </c>
      <c r="I48" s="209">
        <v>0</v>
      </c>
      <c r="J48" s="209">
        <v>0</v>
      </c>
      <c r="K48" s="209">
        <v>16</v>
      </c>
    </row>
    <row r="49" spans="1:11">
      <c r="A49" s="208">
        <v>42646</v>
      </c>
      <c r="B49" s="209" t="s">
        <v>491</v>
      </c>
      <c r="C49" s="209">
        <v>6</v>
      </c>
      <c r="D49" s="272" t="s">
        <v>504</v>
      </c>
      <c r="E49" s="209">
        <v>0</v>
      </c>
      <c r="F49" s="209">
        <v>0</v>
      </c>
      <c r="G49" s="209">
        <v>0</v>
      </c>
      <c r="H49" s="209">
        <v>0</v>
      </c>
      <c r="I49" s="209">
        <v>0</v>
      </c>
      <c r="J49" s="209">
        <v>0</v>
      </c>
      <c r="K49" s="209">
        <v>347</v>
      </c>
    </row>
    <row r="50" spans="1:11">
      <c r="A50" s="208">
        <v>42646</v>
      </c>
      <c r="B50" s="209" t="s">
        <v>491</v>
      </c>
      <c r="C50" s="209">
        <v>7</v>
      </c>
      <c r="D50" s="272" t="s">
        <v>490</v>
      </c>
      <c r="E50" s="209">
        <v>0</v>
      </c>
      <c r="F50" s="209">
        <v>0</v>
      </c>
      <c r="G50" s="209">
        <v>0</v>
      </c>
      <c r="H50" s="209">
        <v>0</v>
      </c>
      <c r="I50" s="209">
        <v>0</v>
      </c>
      <c r="J50" s="209">
        <v>0</v>
      </c>
      <c r="K50" s="209">
        <v>1</v>
      </c>
    </row>
    <row r="51" spans="1:11">
      <c r="A51" s="208">
        <v>42646</v>
      </c>
      <c r="B51" s="209" t="s">
        <v>491</v>
      </c>
      <c r="C51" s="209">
        <v>8</v>
      </c>
      <c r="D51" s="272" t="s">
        <v>460</v>
      </c>
      <c r="E51" s="209">
        <v>0</v>
      </c>
      <c r="F51" s="209">
        <v>0</v>
      </c>
      <c r="G51" s="209">
        <v>0</v>
      </c>
      <c r="H51" s="209">
        <v>0</v>
      </c>
      <c r="I51" s="209">
        <v>0</v>
      </c>
      <c r="J51" s="209">
        <v>0</v>
      </c>
      <c r="K51" s="209">
        <v>223</v>
      </c>
    </row>
    <row r="52" spans="1:11">
      <c r="A52" s="208">
        <v>42646</v>
      </c>
      <c r="B52" s="209" t="s">
        <v>491</v>
      </c>
      <c r="C52" s="209">
        <v>9</v>
      </c>
      <c r="D52" s="272" t="s">
        <v>465</v>
      </c>
      <c r="E52" s="209">
        <v>0</v>
      </c>
      <c r="F52" s="209">
        <v>0</v>
      </c>
      <c r="G52" s="209">
        <v>0</v>
      </c>
      <c r="H52" s="209">
        <v>0</v>
      </c>
      <c r="I52" s="209">
        <v>0</v>
      </c>
      <c r="J52" s="209">
        <v>0</v>
      </c>
      <c r="K52" s="209">
        <v>8</v>
      </c>
    </row>
    <row r="53" spans="1:11">
      <c r="A53" s="208">
        <v>42646</v>
      </c>
      <c r="B53" s="209" t="s">
        <v>491</v>
      </c>
      <c r="C53" s="209">
        <v>10</v>
      </c>
      <c r="D53" s="272" t="s">
        <v>505</v>
      </c>
      <c r="E53" s="209">
        <v>0</v>
      </c>
      <c r="F53" s="209">
        <v>0</v>
      </c>
      <c r="G53" s="209">
        <v>0</v>
      </c>
      <c r="H53" s="209">
        <v>0</v>
      </c>
      <c r="I53" s="209">
        <v>0</v>
      </c>
      <c r="J53" s="209">
        <v>0</v>
      </c>
      <c r="K53" s="209">
        <v>470</v>
      </c>
    </row>
    <row r="54" spans="1:11">
      <c r="A54" s="208">
        <v>42646</v>
      </c>
      <c r="B54" s="209" t="s">
        <v>491</v>
      </c>
      <c r="C54" s="209">
        <v>11</v>
      </c>
      <c r="D54" s="272" t="s">
        <v>506</v>
      </c>
      <c r="E54" s="209">
        <v>0</v>
      </c>
      <c r="F54" s="209">
        <v>0</v>
      </c>
      <c r="G54" s="209">
        <v>0</v>
      </c>
      <c r="H54" s="209">
        <v>0</v>
      </c>
      <c r="I54" s="209">
        <v>0</v>
      </c>
      <c r="J54" s="209">
        <v>0</v>
      </c>
      <c r="K54" s="209">
        <v>2</v>
      </c>
    </row>
    <row r="55" spans="1:11">
      <c r="A55" s="208">
        <v>42646</v>
      </c>
      <c r="B55" s="209" t="s">
        <v>491</v>
      </c>
      <c r="C55" s="209">
        <v>12</v>
      </c>
      <c r="D55" s="272" t="s">
        <v>466</v>
      </c>
      <c r="E55" s="209">
        <v>0</v>
      </c>
      <c r="F55" s="209">
        <v>0</v>
      </c>
      <c r="G55" s="209">
        <v>0</v>
      </c>
      <c r="H55" s="209">
        <v>0</v>
      </c>
      <c r="I55" s="209">
        <v>0</v>
      </c>
      <c r="J55" s="209">
        <v>0</v>
      </c>
      <c r="K55" s="209">
        <v>29</v>
      </c>
    </row>
    <row r="56" spans="1:11">
      <c r="A56" s="208">
        <v>42646</v>
      </c>
      <c r="B56" s="209" t="s">
        <v>491</v>
      </c>
      <c r="C56" s="209">
        <v>13</v>
      </c>
      <c r="D56" s="272" t="s">
        <v>467</v>
      </c>
      <c r="E56" s="209">
        <v>0</v>
      </c>
      <c r="F56" s="209">
        <v>0</v>
      </c>
      <c r="G56" s="209">
        <v>0</v>
      </c>
      <c r="H56" s="209">
        <v>0</v>
      </c>
      <c r="I56" s="209">
        <v>0</v>
      </c>
      <c r="J56" s="209">
        <v>0</v>
      </c>
      <c r="K56" s="209">
        <v>130</v>
      </c>
    </row>
    <row r="57" spans="1:11">
      <c r="A57" s="208">
        <v>42646</v>
      </c>
      <c r="B57" s="209" t="s">
        <v>491</v>
      </c>
      <c r="C57" s="209">
        <v>14</v>
      </c>
      <c r="D57" s="272" t="s">
        <v>472</v>
      </c>
      <c r="E57" s="209">
        <v>0</v>
      </c>
      <c r="F57" s="209">
        <v>0</v>
      </c>
      <c r="G57" s="209">
        <v>0</v>
      </c>
      <c r="H57" s="209">
        <v>0</v>
      </c>
      <c r="I57" s="209">
        <v>0</v>
      </c>
      <c r="J57" s="209">
        <v>0</v>
      </c>
      <c r="K57" s="209">
        <v>4</v>
      </c>
    </row>
    <row r="58" spans="1:11">
      <c r="A58" s="208">
        <v>42646</v>
      </c>
      <c r="B58" s="209" t="s">
        <v>491</v>
      </c>
      <c r="C58" s="209">
        <v>15</v>
      </c>
      <c r="D58" s="272" t="s">
        <v>507</v>
      </c>
      <c r="E58" s="209">
        <v>0</v>
      </c>
      <c r="F58" s="209">
        <v>0</v>
      </c>
      <c r="G58" s="209">
        <v>0</v>
      </c>
      <c r="H58" s="209">
        <v>0</v>
      </c>
      <c r="I58" s="209">
        <v>0</v>
      </c>
      <c r="J58" s="209">
        <v>0</v>
      </c>
      <c r="K58" s="209">
        <v>5</v>
      </c>
    </row>
    <row r="59" spans="1:11">
      <c r="A59" s="208">
        <v>42646</v>
      </c>
      <c r="B59" s="209" t="s">
        <v>491</v>
      </c>
      <c r="C59" s="209">
        <v>16</v>
      </c>
      <c r="D59" s="272" t="s">
        <v>508</v>
      </c>
      <c r="E59" s="209">
        <v>0</v>
      </c>
      <c r="F59" s="209">
        <v>1</v>
      </c>
      <c r="G59" s="209">
        <v>1</v>
      </c>
      <c r="H59" s="209">
        <v>0</v>
      </c>
      <c r="I59" s="209">
        <v>0</v>
      </c>
      <c r="J59" s="209">
        <v>0</v>
      </c>
      <c r="K59" s="209">
        <v>110</v>
      </c>
    </row>
    <row r="60" spans="1:11">
      <c r="A60" s="208">
        <v>42646</v>
      </c>
      <c r="B60" s="209" t="s">
        <v>491</v>
      </c>
      <c r="C60" s="209">
        <v>17</v>
      </c>
      <c r="D60" s="272" t="s">
        <v>468</v>
      </c>
      <c r="E60" s="209">
        <v>0</v>
      </c>
      <c r="F60" s="209">
        <v>0</v>
      </c>
      <c r="G60" s="209">
        <v>0</v>
      </c>
      <c r="H60" s="209">
        <v>0</v>
      </c>
      <c r="I60" s="209">
        <v>0</v>
      </c>
      <c r="J60" s="209">
        <v>0</v>
      </c>
      <c r="K60" s="209">
        <v>4</v>
      </c>
    </row>
    <row r="61" spans="1:11">
      <c r="A61" s="208">
        <v>42646</v>
      </c>
      <c r="B61" s="209" t="s">
        <v>491</v>
      </c>
      <c r="C61" s="209">
        <v>18</v>
      </c>
      <c r="D61" s="272" t="s">
        <v>489</v>
      </c>
      <c r="E61" s="209">
        <v>0</v>
      </c>
      <c r="F61" s="209">
        <v>0</v>
      </c>
      <c r="G61" s="209">
        <v>0</v>
      </c>
      <c r="H61" s="209">
        <v>0</v>
      </c>
      <c r="I61" s="209">
        <v>0</v>
      </c>
      <c r="J61" s="209">
        <v>0</v>
      </c>
      <c r="K61" s="209">
        <v>138</v>
      </c>
    </row>
    <row r="62" spans="1:11">
      <c r="A62" s="208">
        <v>42646</v>
      </c>
      <c r="B62" s="209" t="s">
        <v>491</v>
      </c>
      <c r="C62" s="209">
        <v>19</v>
      </c>
      <c r="D62" s="272" t="s">
        <v>469</v>
      </c>
      <c r="E62" s="209">
        <v>0</v>
      </c>
      <c r="F62" s="209">
        <v>0</v>
      </c>
      <c r="G62" s="209">
        <v>0</v>
      </c>
      <c r="H62" s="209">
        <v>0</v>
      </c>
      <c r="I62" s="209">
        <v>0</v>
      </c>
      <c r="J62" s="209">
        <v>0</v>
      </c>
      <c r="K62" s="209">
        <v>42</v>
      </c>
    </row>
    <row r="63" spans="1:11">
      <c r="A63" s="208">
        <v>42646</v>
      </c>
      <c r="B63" s="209" t="s">
        <v>491</v>
      </c>
      <c r="C63" s="209">
        <v>20</v>
      </c>
      <c r="D63" s="272" t="s">
        <v>470</v>
      </c>
      <c r="E63" s="209">
        <v>0</v>
      </c>
      <c r="F63" s="209">
        <v>0</v>
      </c>
      <c r="G63" s="209">
        <v>0</v>
      </c>
      <c r="H63" s="209">
        <v>0</v>
      </c>
      <c r="I63" s="209">
        <v>0</v>
      </c>
      <c r="J63" s="209">
        <v>0</v>
      </c>
      <c r="K63" s="209">
        <v>54</v>
      </c>
    </row>
    <row r="64" spans="1:11">
      <c r="A64" s="208">
        <v>42646</v>
      </c>
      <c r="B64" s="209" t="s">
        <v>491</v>
      </c>
      <c r="C64" s="209">
        <v>21</v>
      </c>
      <c r="D64" s="272" t="s">
        <v>509</v>
      </c>
      <c r="E64" s="209">
        <v>0</v>
      </c>
      <c r="F64" s="209">
        <v>0</v>
      </c>
      <c r="G64" s="209">
        <v>0</v>
      </c>
      <c r="H64" s="209">
        <v>0</v>
      </c>
      <c r="I64" s="209">
        <v>0</v>
      </c>
      <c r="J64" s="209">
        <v>0</v>
      </c>
      <c r="K64" s="209">
        <v>1</v>
      </c>
    </row>
    <row r="65" spans="1:11">
      <c r="A65" s="208">
        <v>42646</v>
      </c>
      <c r="B65" s="209" t="s">
        <v>491</v>
      </c>
      <c r="C65" s="209">
        <v>22</v>
      </c>
      <c r="D65" s="272" t="s">
        <v>471</v>
      </c>
      <c r="E65" s="209">
        <v>0</v>
      </c>
      <c r="F65" s="209">
        <v>0</v>
      </c>
      <c r="G65" s="209">
        <v>0</v>
      </c>
      <c r="H65" s="209">
        <v>0</v>
      </c>
      <c r="I65" s="209">
        <v>0</v>
      </c>
      <c r="J65" s="209">
        <v>0</v>
      </c>
      <c r="K65" s="209">
        <v>4</v>
      </c>
    </row>
    <row r="66" spans="1:11">
      <c r="A66" s="208">
        <v>42646</v>
      </c>
      <c r="B66" s="209" t="s">
        <v>491</v>
      </c>
      <c r="C66" s="209">
        <v>23</v>
      </c>
      <c r="D66" s="272" t="s">
        <v>510</v>
      </c>
      <c r="E66" s="209">
        <v>0</v>
      </c>
      <c r="F66" s="209">
        <v>0</v>
      </c>
      <c r="G66" s="209">
        <v>0</v>
      </c>
      <c r="H66" s="209">
        <v>0</v>
      </c>
      <c r="I66" s="209">
        <v>0</v>
      </c>
      <c r="J66" s="209">
        <v>0</v>
      </c>
      <c r="K66" s="209">
        <v>9</v>
      </c>
    </row>
    <row r="67" spans="1:11">
      <c r="A67" s="208">
        <v>42647</v>
      </c>
      <c r="B67" s="209" t="s">
        <v>491</v>
      </c>
      <c r="C67" s="209">
        <v>1</v>
      </c>
      <c r="D67" s="272" t="s">
        <v>484</v>
      </c>
      <c r="E67" s="209">
        <v>0</v>
      </c>
      <c r="F67" s="209">
        <v>0</v>
      </c>
      <c r="G67" s="209">
        <v>0</v>
      </c>
      <c r="H67" s="209">
        <v>0</v>
      </c>
      <c r="I67" s="209">
        <v>0</v>
      </c>
      <c r="J67" s="209">
        <v>0</v>
      </c>
      <c r="K67" s="209">
        <v>29</v>
      </c>
    </row>
    <row r="68" spans="1:11">
      <c r="A68" s="208">
        <v>42647</v>
      </c>
      <c r="B68" s="209" t="s">
        <v>491</v>
      </c>
      <c r="C68" s="209">
        <v>2</v>
      </c>
      <c r="D68" s="272" t="s">
        <v>461</v>
      </c>
      <c r="E68" s="209">
        <v>0</v>
      </c>
      <c r="F68" s="209">
        <v>0</v>
      </c>
      <c r="G68" s="209">
        <v>0</v>
      </c>
      <c r="H68" s="209">
        <v>0</v>
      </c>
      <c r="I68" s="209">
        <v>0</v>
      </c>
      <c r="J68" s="209">
        <v>0</v>
      </c>
      <c r="K68" s="209">
        <v>553</v>
      </c>
    </row>
    <row r="69" spans="1:11">
      <c r="A69" s="208">
        <v>42647</v>
      </c>
      <c r="B69" s="209" t="s">
        <v>491</v>
      </c>
      <c r="C69" s="209">
        <v>3</v>
      </c>
      <c r="D69" s="272" t="s">
        <v>487</v>
      </c>
      <c r="E69" s="209">
        <v>0</v>
      </c>
      <c r="F69" s="209">
        <v>0</v>
      </c>
      <c r="G69" s="209">
        <v>0</v>
      </c>
      <c r="H69" s="209">
        <v>0</v>
      </c>
      <c r="I69" s="209">
        <v>0</v>
      </c>
      <c r="J69" s="209">
        <v>0</v>
      </c>
      <c r="K69" s="209">
        <v>214</v>
      </c>
    </row>
    <row r="70" spans="1:11">
      <c r="A70" s="208">
        <v>42647</v>
      </c>
      <c r="B70" s="209" t="s">
        <v>491</v>
      </c>
      <c r="C70" s="209">
        <v>4</v>
      </c>
      <c r="D70" s="272" t="s">
        <v>462</v>
      </c>
      <c r="E70" s="209">
        <v>0</v>
      </c>
      <c r="F70" s="209">
        <v>0</v>
      </c>
      <c r="G70" s="209">
        <v>0</v>
      </c>
      <c r="H70" s="209">
        <v>0</v>
      </c>
      <c r="I70" s="209">
        <v>0</v>
      </c>
      <c r="J70" s="209">
        <v>0</v>
      </c>
      <c r="K70" s="209">
        <v>49</v>
      </c>
    </row>
    <row r="71" spans="1:11">
      <c r="A71" s="208">
        <v>42647</v>
      </c>
      <c r="B71" s="209" t="s">
        <v>491</v>
      </c>
      <c r="C71" s="209">
        <v>5</v>
      </c>
      <c r="D71" s="272" t="s">
        <v>463</v>
      </c>
      <c r="E71" s="209">
        <v>0</v>
      </c>
      <c r="F71" s="209">
        <v>1</v>
      </c>
      <c r="G71" s="209">
        <v>1</v>
      </c>
      <c r="H71" s="209">
        <v>0</v>
      </c>
      <c r="I71" s="209">
        <v>0</v>
      </c>
      <c r="J71" s="209">
        <v>0</v>
      </c>
      <c r="K71" s="209">
        <v>1405</v>
      </c>
    </row>
    <row r="72" spans="1:11">
      <c r="A72" s="208">
        <v>42647</v>
      </c>
      <c r="B72" s="209" t="s">
        <v>491</v>
      </c>
      <c r="C72" s="209">
        <v>6</v>
      </c>
      <c r="D72" s="272" t="s">
        <v>464</v>
      </c>
      <c r="E72" s="209">
        <v>0</v>
      </c>
      <c r="F72" s="209">
        <v>0</v>
      </c>
      <c r="G72" s="209">
        <v>0</v>
      </c>
      <c r="H72" s="209">
        <v>0</v>
      </c>
      <c r="I72" s="209">
        <v>0</v>
      </c>
      <c r="J72" s="209">
        <v>0</v>
      </c>
      <c r="K72" s="209">
        <v>40</v>
      </c>
    </row>
    <row r="73" spans="1:11">
      <c r="A73" s="208">
        <v>42647</v>
      </c>
      <c r="B73" s="209" t="s">
        <v>491</v>
      </c>
      <c r="C73" s="209">
        <v>7</v>
      </c>
      <c r="D73" s="272" t="s">
        <v>504</v>
      </c>
      <c r="E73" s="209">
        <v>2</v>
      </c>
      <c r="F73" s="209">
        <v>2</v>
      </c>
      <c r="G73" s="209">
        <v>2</v>
      </c>
      <c r="H73" s="209">
        <v>0</v>
      </c>
      <c r="I73" s="209">
        <v>0</v>
      </c>
      <c r="J73" s="209">
        <v>0</v>
      </c>
      <c r="K73" s="209">
        <v>539</v>
      </c>
    </row>
    <row r="74" spans="1:11">
      <c r="A74" s="208">
        <v>42647</v>
      </c>
      <c r="B74" s="209" t="s">
        <v>491</v>
      </c>
      <c r="C74" s="209">
        <v>8</v>
      </c>
      <c r="D74" s="272" t="s">
        <v>490</v>
      </c>
      <c r="E74" s="209">
        <v>0</v>
      </c>
      <c r="F74" s="209">
        <v>0</v>
      </c>
      <c r="G74" s="209">
        <v>0</v>
      </c>
      <c r="H74" s="209">
        <v>0</v>
      </c>
      <c r="I74" s="209">
        <v>0</v>
      </c>
      <c r="J74" s="209">
        <v>0</v>
      </c>
      <c r="K74" s="209">
        <v>1</v>
      </c>
    </row>
    <row r="75" spans="1:11">
      <c r="A75" s="208">
        <v>42647</v>
      </c>
      <c r="B75" s="209" t="s">
        <v>491</v>
      </c>
      <c r="C75" s="209">
        <v>9</v>
      </c>
      <c r="D75" s="272" t="s">
        <v>460</v>
      </c>
      <c r="E75" s="209">
        <v>1</v>
      </c>
      <c r="F75" s="209">
        <v>1</v>
      </c>
      <c r="G75" s="209">
        <v>1</v>
      </c>
      <c r="H75" s="209">
        <v>0</v>
      </c>
      <c r="I75" s="209">
        <v>0</v>
      </c>
      <c r="J75" s="209">
        <v>0</v>
      </c>
      <c r="K75" s="209">
        <v>330</v>
      </c>
    </row>
    <row r="76" spans="1:11">
      <c r="A76" s="208">
        <v>42647</v>
      </c>
      <c r="B76" s="209" t="s">
        <v>491</v>
      </c>
      <c r="C76" s="209">
        <v>10</v>
      </c>
      <c r="D76" s="272" t="s">
        <v>465</v>
      </c>
      <c r="E76" s="209">
        <v>0</v>
      </c>
      <c r="F76" s="209">
        <v>0</v>
      </c>
      <c r="G76" s="209">
        <v>0</v>
      </c>
      <c r="H76" s="209">
        <v>0</v>
      </c>
      <c r="I76" s="209">
        <v>0</v>
      </c>
      <c r="J76" s="209">
        <v>0</v>
      </c>
      <c r="K76" s="209">
        <v>70</v>
      </c>
    </row>
    <row r="77" spans="1:11">
      <c r="A77" s="208">
        <v>42647</v>
      </c>
      <c r="B77" s="209" t="s">
        <v>491</v>
      </c>
      <c r="C77" s="209">
        <v>11</v>
      </c>
      <c r="D77" s="272" t="s">
        <v>505</v>
      </c>
      <c r="E77" s="209">
        <v>0</v>
      </c>
      <c r="F77" s="209">
        <v>1</v>
      </c>
      <c r="G77" s="209">
        <v>1</v>
      </c>
      <c r="H77" s="209">
        <v>0</v>
      </c>
      <c r="I77" s="209">
        <v>0</v>
      </c>
      <c r="J77" s="209">
        <v>0</v>
      </c>
      <c r="K77" s="209">
        <v>593</v>
      </c>
    </row>
    <row r="78" spans="1:11">
      <c r="A78" s="208">
        <v>42647</v>
      </c>
      <c r="B78" s="209" t="s">
        <v>491</v>
      </c>
      <c r="C78" s="209">
        <v>12</v>
      </c>
      <c r="D78" s="272" t="s">
        <v>506</v>
      </c>
      <c r="E78" s="209">
        <v>0</v>
      </c>
      <c r="F78" s="209">
        <v>0</v>
      </c>
      <c r="G78" s="209">
        <v>0</v>
      </c>
      <c r="H78" s="209">
        <v>0</v>
      </c>
      <c r="I78" s="209">
        <v>0</v>
      </c>
      <c r="J78" s="209">
        <v>0</v>
      </c>
      <c r="K78" s="209">
        <v>2</v>
      </c>
    </row>
    <row r="79" spans="1:11">
      <c r="A79" s="208">
        <v>42647</v>
      </c>
      <c r="B79" s="209" t="s">
        <v>491</v>
      </c>
      <c r="C79" s="209">
        <v>13</v>
      </c>
      <c r="D79" s="272" t="s">
        <v>466</v>
      </c>
      <c r="E79" s="209">
        <v>1</v>
      </c>
      <c r="F79" s="209">
        <v>1</v>
      </c>
      <c r="G79" s="209">
        <v>1</v>
      </c>
      <c r="H79" s="209">
        <v>0</v>
      </c>
      <c r="I79" s="209">
        <v>0</v>
      </c>
      <c r="J79" s="209">
        <v>0</v>
      </c>
      <c r="K79" s="209">
        <v>124</v>
      </c>
    </row>
    <row r="80" spans="1:11">
      <c r="A80" s="208">
        <v>42647</v>
      </c>
      <c r="B80" s="209" t="s">
        <v>491</v>
      </c>
      <c r="C80" s="209">
        <v>14</v>
      </c>
      <c r="D80" s="272" t="s">
        <v>467</v>
      </c>
      <c r="E80" s="209">
        <v>0</v>
      </c>
      <c r="F80" s="209">
        <v>0</v>
      </c>
      <c r="G80" s="209">
        <v>0</v>
      </c>
      <c r="H80" s="209">
        <v>0</v>
      </c>
      <c r="I80" s="209">
        <v>0</v>
      </c>
      <c r="J80" s="209">
        <v>0</v>
      </c>
      <c r="K80" s="209">
        <v>206</v>
      </c>
    </row>
    <row r="81" spans="1:11">
      <c r="A81" s="208">
        <v>42647</v>
      </c>
      <c r="B81" s="209" t="s">
        <v>491</v>
      </c>
      <c r="C81" s="209">
        <v>15</v>
      </c>
      <c r="D81" s="272" t="s">
        <v>472</v>
      </c>
      <c r="E81" s="209">
        <v>0</v>
      </c>
      <c r="F81" s="209">
        <v>0</v>
      </c>
      <c r="G81" s="209">
        <v>0</v>
      </c>
      <c r="H81" s="209">
        <v>0</v>
      </c>
      <c r="I81" s="209">
        <v>0</v>
      </c>
      <c r="J81" s="209">
        <v>0</v>
      </c>
      <c r="K81" s="209">
        <v>5</v>
      </c>
    </row>
    <row r="82" spans="1:11">
      <c r="A82" s="208">
        <v>42647</v>
      </c>
      <c r="B82" s="209" t="s">
        <v>491</v>
      </c>
      <c r="C82" s="209">
        <v>16</v>
      </c>
      <c r="D82" s="272" t="s">
        <v>507</v>
      </c>
      <c r="E82" s="209">
        <v>0</v>
      </c>
      <c r="F82" s="209">
        <v>0</v>
      </c>
      <c r="G82" s="209">
        <v>0</v>
      </c>
      <c r="H82" s="209">
        <v>0</v>
      </c>
      <c r="I82" s="209">
        <v>0</v>
      </c>
      <c r="J82" s="209">
        <v>0</v>
      </c>
      <c r="K82" s="209">
        <v>5</v>
      </c>
    </row>
    <row r="83" spans="1:11">
      <c r="A83" s="208">
        <v>42647</v>
      </c>
      <c r="B83" s="209" t="s">
        <v>491</v>
      </c>
      <c r="C83" s="209">
        <v>17</v>
      </c>
      <c r="D83" s="272" t="s">
        <v>479</v>
      </c>
      <c r="E83" s="209">
        <v>0</v>
      </c>
      <c r="F83" s="209">
        <v>0</v>
      </c>
      <c r="G83" s="209">
        <v>0</v>
      </c>
      <c r="H83" s="209">
        <v>0</v>
      </c>
      <c r="I83" s="209">
        <v>0</v>
      </c>
      <c r="J83" s="209">
        <v>0</v>
      </c>
      <c r="K83" s="209">
        <v>66</v>
      </c>
    </row>
    <row r="84" spans="1:11">
      <c r="A84" s="208">
        <v>42647</v>
      </c>
      <c r="B84" s="209" t="s">
        <v>491</v>
      </c>
      <c r="C84" s="209">
        <v>18</v>
      </c>
      <c r="D84" s="272" t="s">
        <v>480</v>
      </c>
      <c r="E84" s="209">
        <v>0</v>
      </c>
      <c r="F84" s="209">
        <v>0</v>
      </c>
      <c r="G84" s="209">
        <v>0</v>
      </c>
      <c r="H84" s="209">
        <v>0</v>
      </c>
      <c r="I84" s="209">
        <v>0</v>
      </c>
      <c r="J84" s="209">
        <v>0</v>
      </c>
      <c r="K84" s="209">
        <v>2</v>
      </c>
    </row>
    <row r="85" spans="1:11">
      <c r="A85" s="208">
        <v>42647</v>
      </c>
      <c r="B85" s="209" t="s">
        <v>491</v>
      </c>
      <c r="C85" s="209">
        <v>19</v>
      </c>
      <c r="D85" s="272" t="s">
        <v>508</v>
      </c>
      <c r="E85" s="209">
        <v>0</v>
      </c>
      <c r="F85" s="209">
        <v>2</v>
      </c>
      <c r="G85" s="209">
        <v>2</v>
      </c>
      <c r="H85" s="209">
        <v>0</v>
      </c>
      <c r="I85" s="209">
        <v>1</v>
      </c>
      <c r="J85" s="209">
        <v>1</v>
      </c>
      <c r="K85" s="209">
        <v>147</v>
      </c>
    </row>
    <row r="86" spans="1:11">
      <c r="A86" s="208">
        <v>42647</v>
      </c>
      <c r="B86" s="209" t="s">
        <v>491</v>
      </c>
      <c r="C86" s="209">
        <v>20</v>
      </c>
      <c r="D86" s="272" t="s">
        <v>468</v>
      </c>
      <c r="E86" s="209">
        <v>0</v>
      </c>
      <c r="F86" s="209">
        <v>0</v>
      </c>
      <c r="G86" s="209">
        <v>0</v>
      </c>
      <c r="H86" s="209">
        <v>0</v>
      </c>
      <c r="I86" s="209">
        <v>0</v>
      </c>
      <c r="J86" s="209">
        <v>0</v>
      </c>
      <c r="K86" s="209">
        <v>6</v>
      </c>
    </row>
    <row r="87" spans="1:11">
      <c r="A87" s="208">
        <v>42647</v>
      </c>
      <c r="B87" s="209" t="s">
        <v>491</v>
      </c>
      <c r="C87" s="209">
        <v>21</v>
      </c>
      <c r="D87" s="272" t="s">
        <v>489</v>
      </c>
      <c r="E87" s="209">
        <v>0</v>
      </c>
      <c r="F87" s="209">
        <v>0</v>
      </c>
      <c r="G87" s="209">
        <v>0</v>
      </c>
      <c r="H87" s="209">
        <v>0</v>
      </c>
      <c r="I87" s="209">
        <v>0</v>
      </c>
      <c r="J87" s="209">
        <v>0</v>
      </c>
      <c r="K87" s="209">
        <v>180</v>
      </c>
    </row>
    <row r="88" spans="1:11">
      <c r="A88" s="208">
        <v>42647</v>
      </c>
      <c r="B88" s="209" t="s">
        <v>491</v>
      </c>
      <c r="C88" s="209">
        <v>22</v>
      </c>
      <c r="D88" s="272" t="s">
        <v>469</v>
      </c>
      <c r="E88" s="209">
        <v>0</v>
      </c>
      <c r="F88" s="209">
        <v>0</v>
      </c>
      <c r="G88" s="209">
        <v>0</v>
      </c>
      <c r="H88" s="209">
        <v>0</v>
      </c>
      <c r="I88" s="209">
        <v>0</v>
      </c>
      <c r="J88" s="209">
        <v>0</v>
      </c>
      <c r="K88" s="209">
        <v>75</v>
      </c>
    </row>
    <row r="89" spans="1:11">
      <c r="A89" s="208">
        <v>42647</v>
      </c>
      <c r="B89" s="209" t="s">
        <v>491</v>
      </c>
      <c r="C89" s="209">
        <v>23</v>
      </c>
      <c r="D89" s="272" t="s">
        <v>470</v>
      </c>
      <c r="E89" s="209">
        <v>0</v>
      </c>
      <c r="F89" s="209">
        <v>0</v>
      </c>
      <c r="G89" s="209">
        <v>0</v>
      </c>
      <c r="H89" s="209">
        <v>0</v>
      </c>
      <c r="I89" s="209">
        <v>0</v>
      </c>
      <c r="J89" s="209">
        <v>0</v>
      </c>
      <c r="K89" s="209">
        <v>96</v>
      </c>
    </row>
    <row r="90" spans="1:11">
      <c r="A90" s="208">
        <v>42647</v>
      </c>
      <c r="B90" s="209" t="s">
        <v>491</v>
      </c>
      <c r="C90" s="209">
        <v>24</v>
      </c>
      <c r="D90" s="272" t="s">
        <v>509</v>
      </c>
      <c r="E90" s="209">
        <v>0</v>
      </c>
      <c r="F90" s="209">
        <v>0</v>
      </c>
      <c r="G90" s="209">
        <v>0</v>
      </c>
      <c r="H90" s="209">
        <v>0</v>
      </c>
      <c r="I90" s="209">
        <v>0</v>
      </c>
      <c r="J90" s="209">
        <v>0</v>
      </c>
      <c r="K90" s="209">
        <v>2</v>
      </c>
    </row>
    <row r="91" spans="1:11">
      <c r="A91" s="208">
        <v>42647</v>
      </c>
      <c r="B91" s="209" t="s">
        <v>491</v>
      </c>
      <c r="C91" s="209">
        <v>25</v>
      </c>
      <c r="D91" s="272" t="s">
        <v>471</v>
      </c>
      <c r="E91" s="209">
        <v>0</v>
      </c>
      <c r="F91" s="209">
        <v>0</v>
      </c>
      <c r="G91" s="209">
        <v>0</v>
      </c>
      <c r="H91" s="209">
        <v>0</v>
      </c>
      <c r="I91" s="209">
        <v>0</v>
      </c>
      <c r="J91" s="209">
        <v>0</v>
      </c>
      <c r="K91" s="209">
        <v>6</v>
      </c>
    </row>
    <row r="92" spans="1:11">
      <c r="A92" s="208">
        <v>42647</v>
      </c>
      <c r="B92" s="209" t="s">
        <v>491</v>
      </c>
      <c r="C92" s="209">
        <v>26</v>
      </c>
      <c r="D92" s="272" t="s">
        <v>510</v>
      </c>
      <c r="E92" s="209">
        <v>0</v>
      </c>
      <c r="F92" s="209">
        <v>0</v>
      </c>
      <c r="G92" s="209">
        <v>0</v>
      </c>
      <c r="H92" s="209">
        <v>0</v>
      </c>
      <c r="I92" s="209">
        <v>0</v>
      </c>
      <c r="J92" s="209">
        <v>0</v>
      </c>
      <c r="K92" s="209">
        <v>41</v>
      </c>
    </row>
    <row r="93" spans="1:11">
      <c r="A93" s="208">
        <v>42648</v>
      </c>
      <c r="B93" s="209" t="s">
        <v>491</v>
      </c>
      <c r="C93" s="209">
        <v>1</v>
      </c>
      <c r="D93" s="272" t="s">
        <v>466</v>
      </c>
      <c r="E93" s="209">
        <v>2</v>
      </c>
      <c r="F93" s="209">
        <v>3</v>
      </c>
      <c r="G93" s="209">
        <v>3</v>
      </c>
      <c r="H93" s="209">
        <v>1</v>
      </c>
      <c r="I93" s="209">
        <v>1</v>
      </c>
      <c r="J93" s="209">
        <v>1</v>
      </c>
      <c r="K93" s="209">
        <v>256</v>
      </c>
    </row>
    <row r="94" spans="1:11">
      <c r="A94" s="208">
        <v>42648</v>
      </c>
      <c r="B94" s="209" t="s">
        <v>491</v>
      </c>
      <c r="C94" s="209">
        <v>2</v>
      </c>
      <c r="D94" s="272" t="s">
        <v>467</v>
      </c>
      <c r="E94" s="209">
        <v>1</v>
      </c>
      <c r="F94" s="209">
        <v>1</v>
      </c>
      <c r="G94" s="209">
        <v>1</v>
      </c>
      <c r="H94" s="209">
        <v>1</v>
      </c>
      <c r="I94" s="209">
        <v>1</v>
      </c>
      <c r="J94" s="209">
        <v>1</v>
      </c>
      <c r="K94" s="209">
        <v>268</v>
      </c>
    </row>
    <row r="95" spans="1:11">
      <c r="A95" s="208">
        <v>42648</v>
      </c>
      <c r="B95" s="209" t="s">
        <v>491</v>
      </c>
      <c r="C95" s="209">
        <v>3</v>
      </c>
      <c r="D95" s="272" t="s">
        <v>484</v>
      </c>
      <c r="E95" s="209">
        <v>0</v>
      </c>
      <c r="F95" s="209">
        <v>0</v>
      </c>
      <c r="G95" s="209">
        <v>0</v>
      </c>
      <c r="H95" s="209">
        <v>0</v>
      </c>
      <c r="I95" s="209">
        <v>0</v>
      </c>
      <c r="J95" s="209">
        <v>0</v>
      </c>
      <c r="K95" s="209">
        <v>45</v>
      </c>
    </row>
    <row r="96" spans="1:11">
      <c r="A96" s="208">
        <v>42648</v>
      </c>
      <c r="B96" s="209" t="s">
        <v>491</v>
      </c>
      <c r="C96" s="209">
        <v>4</v>
      </c>
      <c r="D96" s="272" t="s">
        <v>462</v>
      </c>
      <c r="E96" s="209">
        <v>0</v>
      </c>
      <c r="F96" s="209">
        <v>0</v>
      </c>
      <c r="G96" s="209">
        <v>0</v>
      </c>
      <c r="H96" s="209">
        <v>0</v>
      </c>
      <c r="I96" s="209">
        <v>0</v>
      </c>
      <c r="J96" s="209">
        <v>0</v>
      </c>
      <c r="K96" s="209">
        <v>62</v>
      </c>
    </row>
    <row r="97" spans="1:11">
      <c r="A97" s="208">
        <v>42648</v>
      </c>
      <c r="B97" s="209" t="s">
        <v>491</v>
      </c>
      <c r="C97" s="209">
        <v>5</v>
      </c>
      <c r="D97" s="272" t="s">
        <v>463</v>
      </c>
      <c r="E97" s="209">
        <v>0</v>
      </c>
      <c r="F97" s="209">
        <v>2</v>
      </c>
      <c r="G97" s="209">
        <v>2</v>
      </c>
      <c r="H97" s="209">
        <v>0</v>
      </c>
      <c r="I97" s="209">
        <v>0</v>
      </c>
      <c r="J97" s="209">
        <v>0</v>
      </c>
      <c r="K97" s="209">
        <v>1720</v>
      </c>
    </row>
    <row r="98" spans="1:11">
      <c r="A98" s="208">
        <v>42648</v>
      </c>
      <c r="B98" s="209" t="s">
        <v>491</v>
      </c>
      <c r="C98" s="209">
        <v>6</v>
      </c>
      <c r="D98" s="272" t="s">
        <v>464</v>
      </c>
      <c r="E98" s="209">
        <v>0</v>
      </c>
      <c r="F98" s="209">
        <v>0</v>
      </c>
      <c r="G98" s="209">
        <v>0</v>
      </c>
      <c r="H98" s="209">
        <v>0</v>
      </c>
      <c r="I98" s="209">
        <v>0</v>
      </c>
      <c r="J98" s="209">
        <v>0</v>
      </c>
      <c r="K98" s="209">
        <v>60</v>
      </c>
    </row>
    <row r="99" spans="1:11">
      <c r="A99" s="208">
        <v>42648</v>
      </c>
      <c r="B99" s="209" t="s">
        <v>491</v>
      </c>
      <c r="C99" s="209">
        <v>7</v>
      </c>
      <c r="D99" s="272" t="s">
        <v>504</v>
      </c>
      <c r="E99" s="209">
        <v>0</v>
      </c>
      <c r="F99" s="209">
        <v>3</v>
      </c>
      <c r="G99" s="209">
        <v>3</v>
      </c>
      <c r="H99" s="209">
        <v>0</v>
      </c>
      <c r="I99" s="209">
        <v>0</v>
      </c>
      <c r="J99" s="209">
        <v>0</v>
      </c>
      <c r="K99" s="209">
        <v>713</v>
      </c>
    </row>
    <row r="100" spans="1:11">
      <c r="A100" s="208">
        <v>42648</v>
      </c>
      <c r="B100" s="209" t="s">
        <v>491</v>
      </c>
      <c r="C100" s="209">
        <v>8</v>
      </c>
      <c r="D100" s="272" t="s">
        <v>490</v>
      </c>
      <c r="E100" s="209">
        <v>0</v>
      </c>
      <c r="F100" s="209">
        <v>0</v>
      </c>
      <c r="G100" s="209">
        <v>0</v>
      </c>
      <c r="H100" s="209">
        <v>0</v>
      </c>
      <c r="I100" s="209">
        <v>0</v>
      </c>
      <c r="J100" s="209">
        <v>0</v>
      </c>
      <c r="K100" s="209">
        <v>2</v>
      </c>
    </row>
    <row r="101" spans="1:11">
      <c r="A101" s="208">
        <v>42648</v>
      </c>
      <c r="B101" s="209" t="s">
        <v>491</v>
      </c>
      <c r="C101" s="209">
        <v>9</v>
      </c>
      <c r="D101" s="272" t="s">
        <v>460</v>
      </c>
      <c r="E101" s="209">
        <v>4</v>
      </c>
      <c r="F101" s="209">
        <v>6</v>
      </c>
      <c r="G101" s="209">
        <v>6</v>
      </c>
      <c r="H101" s="209">
        <v>0</v>
      </c>
      <c r="I101" s="209">
        <v>0</v>
      </c>
      <c r="J101" s="209">
        <v>0</v>
      </c>
      <c r="K101" s="209">
        <v>421</v>
      </c>
    </row>
    <row r="102" spans="1:11">
      <c r="A102" s="208">
        <v>42648</v>
      </c>
      <c r="B102" s="209" t="s">
        <v>491</v>
      </c>
      <c r="C102" s="209">
        <v>10</v>
      </c>
      <c r="D102" s="272" t="s">
        <v>465</v>
      </c>
      <c r="E102" s="209">
        <v>0</v>
      </c>
      <c r="F102" s="209">
        <v>0</v>
      </c>
      <c r="G102" s="209">
        <v>0</v>
      </c>
      <c r="H102" s="209">
        <v>0</v>
      </c>
      <c r="I102" s="209">
        <v>0</v>
      </c>
      <c r="J102" s="209">
        <v>0</v>
      </c>
      <c r="K102" s="209">
        <v>154</v>
      </c>
    </row>
    <row r="103" spans="1:11">
      <c r="A103" s="208">
        <v>42648</v>
      </c>
      <c r="B103" s="209" t="s">
        <v>491</v>
      </c>
      <c r="C103" s="209">
        <v>11</v>
      </c>
      <c r="D103" s="272" t="s">
        <v>460</v>
      </c>
      <c r="E103" s="209">
        <v>4</v>
      </c>
      <c r="F103" s="209">
        <v>6</v>
      </c>
      <c r="G103" s="209">
        <v>6</v>
      </c>
      <c r="H103" s="209">
        <v>0</v>
      </c>
      <c r="I103" s="209">
        <v>0</v>
      </c>
      <c r="J103" s="209">
        <v>0</v>
      </c>
      <c r="K103" s="209">
        <v>421</v>
      </c>
    </row>
    <row r="104" spans="1:11">
      <c r="A104" s="208">
        <v>42648</v>
      </c>
      <c r="B104" s="209" t="s">
        <v>491</v>
      </c>
      <c r="C104" s="209">
        <v>12</v>
      </c>
      <c r="D104" s="272" t="s">
        <v>465</v>
      </c>
      <c r="E104" s="209">
        <v>0</v>
      </c>
      <c r="F104" s="209">
        <v>0</v>
      </c>
      <c r="G104" s="209">
        <v>0</v>
      </c>
      <c r="H104" s="209">
        <v>0</v>
      </c>
      <c r="I104" s="209">
        <v>0</v>
      </c>
      <c r="J104" s="209">
        <v>0</v>
      </c>
      <c r="K104" s="209">
        <v>154</v>
      </c>
    </row>
    <row r="105" spans="1:11">
      <c r="A105" s="208">
        <v>42648</v>
      </c>
      <c r="B105" s="209" t="s">
        <v>491</v>
      </c>
      <c r="C105" s="209">
        <v>13</v>
      </c>
      <c r="D105" s="272" t="s">
        <v>505</v>
      </c>
      <c r="E105" s="209">
        <v>0</v>
      </c>
      <c r="F105" s="209">
        <v>2</v>
      </c>
      <c r="G105" s="209">
        <v>2</v>
      </c>
      <c r="H105" s="209">
        <v>0</v>
      </c>
      <c r="I105" s="209">
        <v>1</v>
      </c>
      <c r="J105" s="209">
        <v>1</v>
      </c>
      <c r="K105" s="209">
        <v>666</v>
      </c>
    </row>
    <row r="106" spans="1:11">
      <c r="A106" s="208">
        <v>42648</v>
      </c>
      <c r="B106" s="209" t="s">
        <v>491</v>
      </c>
      <c r="C106" s="209">
        <v>14</v>
      </c>
      <c r="D106" s="272" t="s">
        <v>506</v>
      </c>
      <c r="E106" s="209">
        <v>0</v>
      </c>
      <c r="F106" s="209">
        <v>0</v>
      </c>
      <c r="G106" s="209">
        <v>0</v>
      </c>
      <c r="H106" s="209">
        <v>0</v>
      </c>
      <c r="I106" s="209">
        <v>0</v>
      </c>
      <c r="J106" s="209">
        <v>0</v>
      </c>
      <c r="K106" s="209">
        <v>2</v>
      </c>
    </row>
    <row r="107" spans="1:11">
      <c r="A107" s="208">
        <v>42648</v>
      </c>
      <c r="B107" s="209" t="s">
        <v>491</v>
      </c>
      <c r="C107" s="209">
        <v>15</v>
      </c>
      <c r="D107" s="272" t="s">
        <v>472</v>
      </c>
      <c r="E107" s="209">
        <v>0</v>
      </c>
      <c r="F107" s="209">
        <v>0</v>
      </c>
      <c r="G107" s="209">
        <v>0</v>
      </c>
      <c r="H107" s="209">
        <v>0</v>
      </c>
      <c r="I107" s="209">
        <v>0</v>
      </c>
      <c r="J107" s="209">
        <v>0</v>
      </c>
      <c r="K107" s="209">
        <v>7</v>
      </c>
    </row>
    <row r="108" spans="1:11">
      <c r="A108" s="208">
        <v>42648</v>
      </c>
      <c r="B108" s="209" t="s">
        <v>491</v>
      </c>
      <c r="C108" s="209">
        <v>16</v>
      </c>
      <c r="D108" s="272" t="s">
        <v>507</v>
      </c>
      <c r="E108" s="209">
        <v>0</v>
      </c>
      <c r="F108" s="209">
        <v>0</v>
      </c>
      <c r="G108" s="209">
        <v>0</v>
      </c>
      <c r="H108" s="209">
        <v>0</v>
      </c>
      <c r="I108" s="209">
        <v>0</v>
      </c>
      <c r="J108" s="209">
        <v>0</v>
      </c>
      <c r="K108" s="209">
        <v>6</v>
      </c>
    </row>
    <row r="109" spans="1:11">
      <c r="A109" s="208">
        <v>42648</v>
      </c>
      <c r="B109" s="209" t="s">
        <v>491</v>
      </c>
      <c r="C109" s="209">
        <v>17</v>
      </c>
      <c r="D109" s="272" t="s">
        <v>479</v>
      </c>
      <c r="E109" s="209">
        <v>0</v>
      </c>
      <c r="F109" s="209">
        <v>0</v>
      </c>
      <c r="G109" s="209">
        <v>0</v>
      </c>
      <c r="H109" s="209">
        <v>0</v>
      </c>
      <c r="I109" s="209">
        <v>0</v>
      </c>
      <c r="J109" s="209">
        <v>0</v>
      </c>
      <c r="K109" s="209">
        <v>123</v>
      </c>
    </row>
    <row r="110" spans="1:11">
      <c r="A110" s="208">
        <v>42648</v>
      </c>
      <c r="B110" s="209" t="s">
        <v>491</v>
      </c>
      <c r="C110" s="209">
        <v>18</v>
      </c>
      <c r="D110" s="272" t="s">
        <v>480</v>
      </c>
      <c r="E110" s="209">
        <v>0</v>
      </c>
      <c r="F110" s="209">
        <v>0</v>
      </c>
      <c r="G110" s="209">
        <v>0</v>
      </c>
      <c r="H110" s="209">
        <v>0</v>
      </c>
      <c r="I110" s="209">
        <v>0</v>
      </c>
      <c r="J110" s="209">
        <v>0</v>
      </c>
      <c r="K110" s="209">
        <v>5</v>
      </c>
    </row>
    <row r="111" spans="1:11">
      <c r="A111" s="208">
        <v>42648</v>
      </c>
      <c r="B111" s="209" t="s">
        <v>491</v>
      </c>
      <c r="C111" s="209">
        <v>19</v>
      </c>
      <c r="D111" s="272" t="s">
        <v>508</v>
      </c>
      <c r="E111" s="209">
        <v>0</v>
      </c>
      <c r="F111" s="209">
        <v>2</v>
      </c>
      <c r="G111" s="209">
        <v>2</v>
      </c>
      <c r="H111" s="209">
        <v>0</v>
      </c>
      <c r="I111" s="209">
        <v>1</v>
      </c>
      <c r="J111" s="209">
        <v>1</v>
      </c>
      <c r="K111" s="209">
        <v>189</v>
      </c>
    </row>
    <row r="112" spans="1:11">
      <c r="A112" s="208">
        <v>42648</v>
      </c>
      <c r="B112" s="209" t="s">
        <v>491</v>
      </c>
      <c r="C112" s="209">
        <v>20</v>
      </c>
      <c r="D112" s="272" t="s">
        <v>468</v>
      </c>
      <c r="E112" s="209">
        <v>0</v>
      </c>
      <c r="F112" s="209">
        <v>0</v>
      </c>
      <c r="G112" s="209">
        <v>0</v>
      </c>
      <c r="H112" s="209">
        <v>0</v>
      </c>
      <c r="I112" s="209">
        <v>0</v>
      </c>
      <c r="J112" s="209">
        <v>0</v>
      </c>
      <c r="K112" s="209">
        <v>8</v>
      </c>
    </row>
    <row r="113" spans="1:11">
      <c r="A113" s="208">
        <v>42648</v>
      </c>
      <c r="B113" s="209" t="s">
        <v>491</v>
      </c>
      <c r="C113" s="209">
        <v>21</v>
      </c>
      <c r="D113" s="272" t="s">
        <v>489</v>
      </c>
      <c r="E113" s="209">
        <v>0</v>
      </c>
      <c r="F113" s="209">
        <v>0</v>
      </c>
      <c r="G113" s="209">
        <v>0</v>
      </c>
      <c r="H113" s="209">
        <v>0</v>
      </c>
      <c r="I113" s="209">
        <v>0</v>
      </c>
      <c r="J113" s="209">
        <v>0</v>
      </c>
      <c r="K113" s="209">
        <v>211</v>
      </c>
    </row>
    <row r="114" spans="1:11">
      <c r="A114" s="208">
        <v>42648</v>
      </c>
      <c r="B114" s="209" t="s">
        <v>491</v>
      </c>
      <c r="C114" s="209">
        <v>22</v>
      </c>
      <c r="D114" s="272" t="s">
        <v>469</v>
      </c>
      <c r="E114" s="209">
        <v>0</v>
      </c>
      <c r="F114" s="209">
        <v>0</v>
      </c>
      <c r="G114" s="209">
        <v>0</v>
      </c>
      <c r="H114" s="209">
        <v>0</v>
      </c>
      <c r="I114" s="209">
        <v>0</v>
      </c>
      <c r="J114" s="209">
        <v>0</v>
      </c>
      <c r="K114" s="209">
        <v>117</v>
      </c>
    </row>
    <row r="115" spans="1:11">
      <c r="A115" s="208">
        <v>42648</v>
      </c>
      <c r="B115" s="209" t="s">
        <v>491</v>
      </c>
      <c r="C115" s="209">
        <v>23</v>
      </c>
      <c r="D115" s="272" t="s">
        <v>470</v>
      </c>
      <c r="E115" s="209">
        <v>0</v>
      </c>
      <c r="F115" s="209">
        <v>0</v>
      </c>
      <c r="G115" s="209">
        <v>0</v>
      </c>
      <c r="H115" s="209">
        <v>0</v>
      </c>
      <c r="I115" s="209">
        <v>0</v>
      </c>
      <c r="J115" s="209">
        <v>0</v>
      </c>
      <c r="K115" s="209">
        <v>142</v>
      </c>
    </row>
    <row r="116" spans="1:11">
      <c r="A116" s="208">
        <v>42648</v>
      </c>
      <c r="B116" s="209" t="s">
        <v>491</v>
      </c>
      <c r="C116" s="209">
        <v>24</v>
      </c>
      <c r="D116" s="272" t="s">
        <v>509</v>
      </c>
      <c r="E116" s="209">
        <v>0</v>
      </c>
      <c r="F116" s="209">
        <v>0</v>
      </c>
      <c r="G116" s="209">
        <v>0</v>
      </c>
      <c r="H116" s="209">
        <v>0</v>
      </c>
      <c r="I116" s="209">
        <v>0</v>
      </c>
      <c r="J116" s="209">
        <v>0</v>
      </c>
      <c r="K116" s="209">
        <v>2</v>
      </c>
    </row>
    <row r="117" spans="1:11">
      <c r="A117" s="208">
        <v>42648</v>
      </c>
      <c r="B117" s="209" t="s">
        <v>491</v>
      </c>
      <c r="C117" s="209">
        <v>25</v>
      </c>
      <c r="D117" s="272" t="s">
        <v>471</v>
      </c>
      <c r="E117" s="209">
        <v>0</v>
      </c>
      <c r="F117" s="209">
        <v>0</v>
      </c>
      <c r="G117" s="209">
        <v>0</v>
      </c>
      <c r="H117" s="209">
        <v>0</v>
      </c>
      <c r="I117" s="209">
        <v>0</v>
      </c>
      <c r="J117" s="209">
        <v>0</v>
      </c>
      <c r="K117" s="209">
        <v>9</v>
      </c>
    </row>
    <row r="118" spans="1:11">
      <c r="A118" s="208">
        <v>42648</v>
      </c>
      <c r="B118" s="209" t="s">
        <v>491</v>
      </c>
      <c r="C118" s="209">
        <v>26</v>
      </c>
      <c r="D118" s="272" t="s">
        <v>510</v>
      </c>
      <c r="E118" s="209">
        <v>0</v>
      </c>
      <c r="F118" s="209">
        <v>0</v>
      </c>
      <c r="G118" s="209">
        <v>0</v>
      </c>
      <c r="H118" s="209">
        <v>0</v>
      </c>
      <c r="I118" s="209">
        <v>0</v>
      </c>
      <c r="J118" s="209">
        <v>0</v>
      </c>
      <c r="K118" s="209">
        <v>62</v>
      </c>
    </row>
    <row r="119" spans="1:11">
      <c r="A119" s="208">
        <v>42649</v>
      </c>
      <c r="B119" s="209" t="s">
        <v>491</v>
      </c>
      <c r="C119" s="209">
        <v>1</v>
      </c>
      <c r="D119" s="272" t="s">
        <v>465</v>
      </c>
      <c r="E119" s="209">
        <v>2</v>
      </c>
      <c r="F119" s="209">
        <v>2</v>
      </c>
      <c r="G119" s="209">
        <v>2</v>
      </c>
      <c r="H119" s="209">
        <v>2</v>
      </c>
      <c r="I119" s="209">
        <v>2</v>
      </c>
      <c r="J119" s="209">
        <v>2</v>
      </c>
      <c r="K119" s="209">
        <v>249</v>
      </c>
    </row>
    <row r="120" spans="1:11">
      <c r="A120" s="208">
        <v>42649</v>
      </c>
      <c r="B120" s="209" t="s">
        <v>491</v>
      </c>
      <c r="C120" s="209">
        <v>2</v>
      </c>
      <c r="D120" s="272" t="s">
        <v>484</v>
      </c>
      <c r="E120" s="209">
        <v>0</v>
      </c>
      <c r="F120" s="209">
        <v>0</v>
      </c>
      <c r="G120" s="209">
        <v>0</v>
      </c>
      <c r="H120" s="209">
        <v>0</v>
      </c>
      <c r="I120" s="209">
        <v>0</v>
      </c>
      <c r="J120" s="209">
        <v>0</v>
      </c>
      <c r="K120" s="209">
        <v>61</v>
      </c>
    </row>
    <row r="121" spans="1:11">
      <c r="A121" s="208">
        <v>42649</v>
      </c>
      <c r="B121" s="209" t="s">
        <v>491</v>
      </c>
      <c r="C121" s="209">
        <v>3</v>
      </c>
      <c r="D121" s="272" t="s">
        <v>461</v>
      </c>
      <c r="E121" s="209">
        <v>0</v>
      </c>
      <c r="F121" s="209">
        <v>0</v>
      </c>
      <c r="G121" s="209">
        <v>0</v>
      </c>
      <c r="H121" s="209">
        <v>0</v>
      </c>
      <c r="I121" s="209">
        <v>0</v>
      </c>
      <c r="J121" s="209">
        <v>0</v>
      </c>
      <c r="K121" s="209">
        <v>976</v>
      </c>
    </row>
    <row r="122" spans="1:11">
      <c r="A122" s="208">
        <v>42649</v>
      </c>
      <c r="B122" s="209" t="s">
        <v>491</v>
      </c>
      <c r="C122" s="209">
        <v>4</v>
      </c>
      <c r="D122" s="272" t="s">
        <v>487</v>
      </c>
      <c r="E122" s="209">
        <v>0</v>
      </c>
      <c r="F122" s="209">
        <v>0</v>
      </c>
      <c r="G122" s="209">
        <v>0</v>
      </c>
      <c r="H122" s="209">
        <v>0</v>
      </c>
      <c r="I122" s="209">
        <v>0</v>
      </c>
      <c r="J122" s="209">
        <v>0</v>
      </c>
      <c r="K122" s="209">
        <v>324</v>
      </c>
    </row>
    <row r="123" spans="1:11">
      <c r="A123" s="208">
        <v>42649</v>
      </c>
      <c r="B123" s="209" t="s">
        <v>491</v>
      </c>
      <c r="C123" s="209">
        <v>5</v>
      </c>
      <c r="D123" s="272" t="s">
        <v>462</v>
      </c>
      <c r="E123" s="209">
        <v>0</v>
      </c>
      <c r="F123" s="209">
        <v>0</v>
      </c>
      <c r="G123" s="209">
        <v>0</v>
      </c>
      <c r="H123" s="209">
        <v>0</v>
      </c>
      <c r="I123" s="209">
        <v>0</v>
      </c>
      <c r="J123" s="209">
        <v>0</v>
      </c>
      <c r="K123" s="209">
        <v>80</v>
      </c>
    </row>
    <row r="124" spans="1:11">
      <c r="A124" s="208">
        <v>42649</v>
      </c>
      <c r="B124" s="209" t="s">
        <v>491</v>
      </c>
      <c r="C124" s="209">
        <v>6</v>
      </c>
      <c r="D124" s="272" t="s">
        <v>463</v>
      </c>
      <c r="E124" s="209">
        <v>0</v>
      </c>
      <c r="F124" s="209">
        <v>2</v>
      </c>
      <c r="G124" s="209">
        <v>2</v>
      </c>
      <c r="H124" s="209">
        <v>0</v>
      </c>
      <c r="I124" s="209">
        <v>1</v>
      </c>
      <c r="J124" s="209">
        <v>1</v>
      </c>
      <c r="K124" s="209">
        <v>1993</v>
      </c>
    </row>
    <row r="125" spans="1:11">
      <c r="A125" s="208">
        <v>42649</v>
      </c>
      <c r="B125" s="209" t="s">
        <v>491</v>
      </c>
      <c r="C125" s="209">
        <v>7</v>
      </c>
      <c r="D125" s="272" t="s">
        <v>464</v>
      </c>
      <c r="E125" s="209">
        <v>0</v>
      </c>
      <c r="F125" s="209">
        <v>0</v>
      </c>
      <c r="G125" s="209">
        <v>0</v>
      </c>
      <c r="H125" s="209">
        <v>0</v>
      </c>
      <c r="I125" s="209">
        <v>0</v>
      </c>
      <c r="J125" s="209">
        <v>0</v>
      </c>
      <c r="K125" s="209">
        <v>75</v>
      </c>
    </row>
    <row r="126" spans="1:11">
      <c r="A126" s="208">
        <v>42649</v>
      </c>
      <c r="B126" s="209" t="s">
        <v>491</v>
      </c>
      <c r="C126" s="209">
        <v>8</v>
      </c>
      <c r="D126" s="272" t="s">
        <v>504</v>
      </c>
      <c r="E126" s="209">
        <v>0</v>
      </c>
      <c r="F126" s="209">
        <v>3</v>
      </c>
      <c r="G126" s="209">
        <v>3</v>
      </c>
      <c r="H126" s="209">
        <v>0</v>
      </c>
      <c r="I126" s="209">
        <v>0</v>
      </c>
      <c r="J126" s="209">
        <v>0</v>
      </c>
      <c r="K126" s="209">
        <v>864</v>
      </c>
    </row>
    <row r="127" spans="1:11">
      <c r="A127" s="208">
        <v>42649</v>
      </c>
      <c r="B127" s="209" t="s">
        <v>491</v>
      </c>
      <c r="C127" s="209">
        <v>9</v>
      </c>
      <c r="D127" s="272" t="s">
        <v>490</v>
      </c>
      <c r="E127" s="209">
        <v>0</v>
      </c>
      <c r="F127" s="209">
        <v>0</v>
      </c>
      <c r="G127" s="209">
        <v>0</v>
      </c>
      <c r="H127" s="209">
        <v>0</v>
      </c>
      <c r="I127" s="209">
        <v>0</v>
      </c>
      <c r="J127" s="209">
        <v>0</v>
      </c>
      <c r="K127" s="209">
        <v>2</v>
      </c>
    </row>
    <row r="128" spans="1:11">
      <c r="A128" s="208">
        <v>42649</v>
      </c>
      <c r="B128" s="209" t="s">
        <v>491</v>
      </c>
      <c r="C128" s="209">
        <v>10</v>
      </c>
      <c r="D128" s="272" t="s">
        <v>460</v>
      </c>
      <c r="E128" s="209">
        <v>0</v>
      </c>
      <c r="F128" s="209">
        <v>6</v>
      </c>
      <c r="G128" s="209">
        <v>6</v>
      </c>
      <c r="H128" s="209">
        <v>0</v>
      </c>
      <c r="I128" s="209">
        <v>0</v>
      </c>
      <c r="J128" s="209">
        <v>0</v>
      </c>
      <c r="K128" s="209">
        <v>514</v>
      </c>
    </row>
    <row r="129" spans="1:11">
      <c r="A129" s="208">
        <v>42649</v>
      </c>
      <c r="B129" s="209" t="s">
        <v>491</v>
      </c>
      <c r="C129" s="209">
        <v>11</v>
      </c>
      <c r="D129" s="272" t="s">
        <v>505</v>
      </c>
      <c r="E129" s="209">
        <v>1</v>
      </c>
      <c r="F129" s="209">
        <v>3</v>
      </c>
      <c r="G129" s="209">
        <v>3</v>
      </c>
      <c r="H129" s="209">
        <v>0</v>
      </c>
      <c r="I129" s="209">
        <v>1</v>
      </c>
      <c r="J129" s="209">
        <v>1</v>
      </c>
      <c r="K129" s="209">
        <v>754</v>
      </c>
    </row>
    <row r="130" spans="1:11">
      <c r="A130" s="208">
        <v>42649</v>
      </c>
      <c r="B130" s="209" t="s">
        <v>491</v>
      </c>
      <c r="C130" s="209">
        <v>12</v>
      </c>
      <c r="D130" s="272" t="s">
        <v>506</v>
      </c>
      <c r="E130" s="209">
        <v>0</v>
      </c>
      <c r="F130" s="209">
        <v>0</v>
      </c>
      <c r="G130" s="209">
        <v>0</v>
      </c>
      <c r="H130" s="209">
        <v>0</v>
      </c>
      <c r="I130" s="209">
        <v>0</v>
      </c>
      <c r="J130" s="209">
        <v>0</v>
      </c>
      <c r="K130" s="209">
        <v>2</v>
      </c>
    </row>
    <row r="131" spans="1:11">
      <c r="A131" s="208">
        <v>42649</v>
      </c>
      <c r="B131" s="209" t="s">
        <v>491</v>
      </c>
      <c r="C131" s="209">
        <v>13</v>
      </c>
      <c r="D131" s="272" t="s">
        <v>466</v>
      </c>
      <c r="E131" s="209">
        <v>1</v>
      </c>
      <c r="F131" s="209">
        <v>5</v>
      </c>
      <c r="G131" s="209">
        <v>5</v>
      </c>
      <c r="H131" s="209">
        <v>0</v>
      </c>
      <c r="I131" s="209">
        <v>2</v>
      </c>
      <c r="J131" s="209">
        <v>2</v>
      </c>
      <c r="K131" s="209">
        <v>372</v>
      </c>
    </row>
    <row r="132" spans="1:11">
      <c r="A132" s="208">
        <v>42649</v>
      </c>
      <c r="B132" s="209" t="s">
        <v>491</v>
      </c>
      <c r="C132" s="209">
        <v>14</v>
      </c>
      <c r="D132" s="272" t="s">
        <v>467</v>
      </c>
      <c r="E132" s="209">
        <v>1</v>
      </c>
      <c r="F132" s="209">
        <v>3</v>
      </c>
      <c r="G132" s="209">
        <v>3</v>
      </c>
      <c r="H132" s="209">
        <v>0</v>
      </c>
      <c r="I132" s="209">
        <v>1</v>
      </c>
      <c r="J132" s="209">
        <v>1</v>
      </c>
      <c r="K132" s="209">
        <v>336</v>
      </c>
    </row>
    <row r="133" spans="1:11">
      <c r="A133" s="208">
        <v>42649</v>
      </c>
      <c r="B133" s="209" t="s">
        <v>491</v>
      </c>
      <c r="C133" s="209">
        <v>15</v>
      </c>
      <c r="D133" s="272" t="s">
        <v>472</v>
      </c>
      <c r="E133" s="209">
        <v>0</v>
      </c>
      <c r="F133" s="209">
        <v>0</v>
      </c>
      <c r="G133" s="209">
        <v>0</v>
      </c>
      <c r="H133" s="209">
        <v>0</v>
      </c>
      <c r="I133" s="209">
        <v>0</v>
      </c>
      <c r="J133" s="209">
        <v>0</v>
      </c>
      <c r="K133" s="209">
        <v>8</v>
      </c>
    </row>
    <row r="134" spans="1:11">
      <c r="A134" s="208">
        <v>42649</v>
      </c>
      <c r="B134" s="209" t="s">
        <v>491</v>
      </c>
      <c r="C134" s="209">
        <v>16</v>
      </c>
      <c r="D134" s="272" t="s">
        <v>507</v>
      </c>
      <c r="E134" s="209">
        <v>0</v>
      </c>
      <c r="F134" s="209">
        <v>0</v>
      </c>
      <c r="G134" s="209">
        <v>0</v>
      </c>
      <c r="H134" s="209">
        <v>0</v>
      </c>
      <c r="I134" s="209">
        <v>0</v>
      </c>
      <c r="J134" s="209">
        <v>0</v>
      </c>
      <c r="K134" s="209">
        <v>6</v>
      </c>
    </row>
    <row r="135" spans="1:11">
      <c r="A135" s="208">
        <v>42649</v>
      </c>
      <c r="B135" s="209" t="s">
        <v>491</v>
      </c>
      <c r="C135" s="209">
        <v>17</v>
      </c>
      <c r="D135" s="272" t="s">
        <v>479</v>
      </c>
      <c r="E135" s="209">
        <v>0</v>
      </c>
      <c r="F135" s="209">
        <v>0</v>
      </c>
      <c r="G135" s="209">
        <v>0</v>
      </c>
      <c r="H135" s="209">
        <v>0</v>
      </c>
      <c r="I135" s="209">
        <v>0</v>
      </c>
      <c r="J135" s="209">
        <v>0</v>
      </c>
      <c r="K135" s="209">
        <v>181</v>
      </c>
    </row>
    <row r="136" spans="1:11">
      <c r="A136" s="208">
        <v>42649</v>
      </c>
      <c r="B136" s="209" t="s">
        <v>491</v>
      </c>
      <c r="C136" s="209">
        <v>18</v>
      </c>
      <c r="D136" s="272" t="s">
        <v>480</v>
      </c>
      <c r="E136" s="209">
        <v>0</v>
      </c>
      <c r="F136" s="209">
        <v>0</v>
      </c>
      <c r="G136" s="209">
        <v>0</v>
      </c>
      <c r="H136" s="209">
        <v>0</v>
      </c>
      <c r="I136" s="209">
        <v>0</v>
      </c>
      <c r="J136" s="209">
        <v>0</v>
      </c>
      <c r="K136" s="209">
        <v>6</v>
      </c>
    </row>
    <row r="137" spans="1:11">
      <c r="A137" s="208">
        <v>42649</v>
      </c>
      <c r="B137" s="209" t="s">
        <v>491</v>
      </c>
      <c r="C137" s="209">
        <v>19</v>
      </c>
      <c r="D137" s="272" t="s">
        <v>508</v>
      </c>
      <c r="E137" s="209">
        <v>0</v>
      </c>
      <c r="F137" s="209">
        <v>3</v>
      </c>
      <c r="G137" s="209">
        <v>3</v>
      </c>
      <c r="H137" s="209">
        <v>0</v>
      </c>
      <c r="I137" s="209">
        <v>1</v>
      </c>
      <c r="J137" s="209">
        <v>1</v>
      </c>
      <c r="K137" s="209">
        <v>219</v>
      </c>
    </row>
    <row r="138" spans="1:11">
      <c r="A138" s="208">
        <v>42649</v>
      </c>
      <c r="B138" s="209" t="s">
        <v>491</v>
      </c>
      <c r="C138" s="209">
        <v>20</v>
      </c>
      <c r="D138" s="272" t="s">
        <v>468</v>
      </c>
      <c r="E138" s="209">
        <v>0</v>
      </c>
      <c r="F138" s="209">
        <v>0</v>
      </c>
      <c r="G138" s="209">
        <v>0</v>
      </c>
      <c r="H138" s="209">
        <v>0</v>
      </c>
      <c r="I138" s="209">
        <v>0</v>
      </c>
      <c r="J138" s="209">
        <v>0</v>
      </c>
      <c r="K138" s="209">
        <v>8</v>
      </c>
    </row>
    <row r="139" spans="1:11">
      <c r="A139" s="208">
        <v>42649</v>
      </c>
      <c r="B139" s="209" t="s">
        <v>491</v>
      </c>
      <c r="C139" s="209">
        <v>21</v>
      </c>
      <c r="D139" s="272" t="s">
        <v>489</v>
      </c>
      <c r="E139" s="209">
        <v>0</v>
      </c>
      <c r="F139" s="209">
        <v>0</v>
      </c>
      <c r="G139" s="209">
        <v>0</v>
      </c>
      <c r="H139" s="209">
        <v>0</v>
      </c>
      <c r="I139" s="209">
        <v>0</v>
      </c>
      <c r="J139" s="209">
        <v>0</v>
      </c>
      <c r="K139" s="209">
        <v>245</v>
      </c>
    </row>
    <row r="140" spans="1:11">
      <c r="A140" s="208">
        <v>42649</v>
      </c>
      <c r="B140" s="209" t="s">
        <v>491</v>
      </c>
      <c r="C140" s="209">
        <v>22</v>
      </c>
      <c r="D140" s="272" t="s">
        <v>469</v>
      </c>
      <c r="E140" s="209">
        <v>0</v>
      </c>
      <c r="F140" s="209">
        <v>0</v>
      </c>
      <c r="G140" s="209">
        <v>0</v>
      </c>
      <c r="H140" s="209">
        <v>0</v>
      </c>
      <c r="I140" s="209">
        <v>0</v>
      </c>
      <c r="J140" s="209">
        <v>0</v>
      </c>
      <c r="K140" s="209">
        <v>160</v>
      </c>
    </row>
    <row r="141" spans="1:11">
      <c r="A141" s="208">
        <v>42649</v>
      </c>
      <c r="B141" s="209" t="s">
        <v>491</v>
      </c>
      <c r="C141" s="209">
        <v>23</v>
      </c>
      <c r="D141" s="272" t="s">
        <v>470</v>
      </c>
      <c r="E141" s="209">
        <v>0</v>
      </c>
      <c r="F141" s="209">
        <v>0</v>
      </c>
      <c r="G141" s="209">
        <v>0</v>
      </c>
      <c r="H141" s="209">
        <v>0</v>
      </c>
      <c r="I141" s="209">
        <v>0</v>
      </c>
      <c r="J141" s="209">
        <v>0</v>
      </c>
      <c r="K141" s="209">
        <v>182</v>
      </c>
    </row>
    <row r="142" spans="1:11">
      <c r="A142" s="208">
        <v>42649</v>
      </c>
      <c r="B142" s="209" t="s">
        <v>491</v>
      </c>
      <c r="C142" s="209">
        <v>24</v>
      </c>
      <c r="D142" s="272" t="s">
        <v>509</v>
      </c>
      <c r="E142" s="209">
        <v>0</v>
      </c>
      <c r="F142" s="209">
        <v>0</v>
      </c>
      <c r="G142" s="209">
        <v>0</v>
      </c>
      <c r="H142" s="209">
        <v>0</v>
      </c>
      <c r="I142" s="209">
        <v>0</v>
      </c>
      <c r="J142" s="209">
        <v>0</v>
      </c>
      <c r="K142" s="209">
        <v>2</v>
      </c>
    </row>
    <row r="143" spans="1:11">
      <c r="A143" s="208">
        <v>42649</v>
      </c>
      <c r="B143" s="209" t="s">
        <v>491</v>
      </c>
      <c r="C143" s="209">
        <v>25</v>
      </c>
      <c r="D143" s="272" t="s">
        <v>471</v>
      </c>
      <c r="E143" s="209">
        <v>0</v>
      </c>
      <c r="F143" s="209">
        <v>0</v>
      </c>
      <c r="G143" s="209">
        <v>0</v>
      </c>
      <c r="H143" s="209">
        <v>0</v>
      </c>
      <c r="I143" s="209">
        <v>0</v>
      </c>
      <c r="J143" s="209">
        <v>0</v>
      </c>
      <c r="K143" s="209">
        <v>13</v>
      </c>
    </row>
    <row r="144" spans="1:11">
      <c r="A144" s="208">
        <v>42649</v>
      </c>
      <c r="B144" s="209" t="s">
        <v>491</v>
      </c>
      <c r="C144" s="209">
        <v>26</v>
      </c>
      <c r="D144" s="272" t="s">
        <v>510</v>
      </c>
      <c r="E144" s="209">
        <v>0</v>
      </c>
      <c r="F144" s="209">
        <v>1</v>
      </c>
      <c r="G144" s="209">
        <v>1</v>
      </c>
      <c r="H144" s="209">
        <v>0</v>
      </c>
      <c r="I144" s="209">
        <v>1</v>
      </c>
      <c r="J144" s="209">
        <v>1</v>
      </c>
      <c r="K144" s="209">
        <v>104</v>
      </c>
    </row>
    <row r="145" spans="1:11">
      <c r="A145" s="208">
        <v>42650</v>
      </c>
      <c r="B145" s="209" t="s">
        <v>491</v>
      </c>
      <c r="C145" s="209">
        <v>1</v>
      </c>
      <c r="D145" s="272" t="s">
        <v>484</v>
      </c>
      <c r="E145" s="209">
        <v>0</v>
      </c>
      <c r="F145" s="209">
        <v>0</v>
      </c>
      <c r="G145" s="209">
        <v>0</v>
      </c>
      <c r="H145" s="209">
        <v>0</v>
      </c>
      <c r="I145" s="209">
        <v>0</v>
      </c>
      <c r="J145" s="209">
        <v>0</v>
      </c>
      <c r="K145" s="209">
        <v>75</v>
      </c>
    </row>
    <row r="146" spans="1:11">
      <c r="A146" s="208">
        <v>42650</v>
      </c>
      <c r="B146" s="209" t="s">
        <v>491</v>
      </c>
      <c r="C146" s="209">
        <v>2</v>
      </c>
      <c r="D146" s="272" t="s">
        <v>461</v>
      </c>
      <c r="E146" s="209">
        <v>0</v>
      </c>
      <c r="F146" s="209">
        <v>0</v>
      </c>
      <c r="G146" s="209">
        <v>0</v>
      </c>
      <c r="H146" s="209">
        <v>0</v>
      </c>
      <c r="I146" s="209">
        <v>0</v>
      </c>
      <c r="J146" s="209">
        <v>0</v>
      </c>
      <c r="K146" s="209">
        <v>1166</v>
      </c>
    </row>
    <row r="147" spans="1:11">
      <c r="A147" s="208">
        <v>42650</v>
      </c>
      <c r="B147" s="209" t="s">
        <v>491</v>
      </c>
      <c r="C147" s="209">
        <v>3</v>
      </c>
      <c r="D147" s="272" t="s">
        <v>487</v>
      </c>
      <c r="E147" s="209">
        <v>0</v>
      </c>
      <c r="F147" s="209">
        <v>0</v>
      </c>
      <c r="G147" s="209">
        <v>0</v>
      </c>
      <c r="H147" s="209">
        <v>0</v>
      </c>
      <c r="I147" s="209">
        <v>0</v>
      </c>
      <c r="J147" s="209">
        <v>0</v>
      </c>
      <c r="K147" s="209">
        <v>375</v>
      </c>
    </row>
    <row r="148" spans="1:11">
      <c r="A148" s="208">
        <v>42650</v>
      </c>
      <c r="B148" s="209" t="s">
        <v>491</v>
      </c>
      <c r="C148" s="209">
        <v>4</v>
      </c>
      <c r="D148" s="272" t="s">
        <v>462</v>
      </c>
      <c r="E148" s="209">
        <v>0</v>
      </c>
      <c r="F148" s="209">
        <v>0</v>
      </c>
      <c r="G148" s="209">
        <v>0</v>
      </c>
      <c r="H148" s="209">
        <v>0</v>
      </c>
      <c r="I148" s="209">
        <v>0</v>
      </c>
      <c r="J148" s="209">
        <v>0</v>
      </c>
      <c r="K148" s="209">
        <v>92</v>
      </c>
    </row>
    <row r="149" spans="1:11">
      <c r="A149" s="208">
        <v>42650</v>
      </c>
      <c r="B149" s="209" t="s">
        <v>491</v>
      </c>
      <c r="C149" s="209">
        <v>5</v>
      </c>
      <c r="D149" s="272" t="s">
        <v>463</v>
      </c>
      <c r="E149" s="209">
        <v>0</v>
      </c>
      <c r="F149" s="209">
        <v>2</v>
      </c>
      <c r="G149" s="209">
        <v>2</v>
      </c>
      <c r="H149" s="209">
        <v>0</v>
      </c>
      <c r="I149" s="209">
        <v>1</v>
      </c>
      <c r="J149" s="209">
        <v>1</v>
      </c>
      <c r="K149" s="209">
        <v>2284</v>
      </c>
    </row>
    <row r="150" spans="1:11">
      <c r="A150" s="208">
        <v>42650</v>
      </c>
      <c r="B150" s="209" t="s">
        <v>491</v>
      </c>
      <c r="C150" s="209">
        <v>6</v>
      </c>
      <c r="D150" s="272" t="s">
        <v>464</v>
      </c>
      <c r="E150" s="209">
        <v>0</v>
      </c>
      <c r="F150" s="209">
        <v>0</v>
      </c>
      <c r="G150" s="209">
        <v>0</v>
      </c>
      <c r="H150" s="209">
        <v>0</v>
      </c>
      <c r="I150" s="209">
        <v>0</v>
      </c>
      <c r="J150" s="209">
        <v>0</v>
      </c>
      <c r="K150" s="209">
        <v>99</v>
      </c>
    </row>
    <row r="151" spans="1:11">
      <c r="A151" s="208">
        <v>42650</v>
      </c>
      <c r="B151" s="209" t="s">
        <v>491</v>
      </c>
      <c r="C151" s="209">
        <v>7</v>
      </c>
      <c r="D151" s="272" t="s">
        <v>504</v>
      </c>
      <c r="E151" s="209">
        <v>0</v>
      </c>
      <c r="F151" s="209">
        <v>3</v>
      </c>
      <c r="G151" s="209">
        <v>3</v>
      </c>
      <c r="H151" s="209">
        <v>0</v>
      </c>
      <c r="I151" s="209">
        <v>0</v>
      </c>
      <c r="J151" s="209">
        <v>0</v>
      </c>
      <c r="K151" s="209">
        <v>1016</v>
      </c>
    </row>
    <row r="152" spans="1:11">
      <c r="A152" s="208">
        <v>42650</v>
      </c>
      <c r="B152" s="209" t="s">
        <v>491</v>
      </c>
      <c r="C152" s="209">
        <v>8</v>
      </c>
      <c r="D152" s="272" t="s">
        <v>490</v>
      </c>
      <c r="E152" s="209">
        <v>0</v>
      </c>
      <c r="F152" s="209">
        <v>0</v>
      </c>
      <c r="G152" s="209">
        <v>0</v>
      </c>
      <c r="H152" s="209">
        <v>0</v>
      </c>
      <c r="I152" s="209">
        <v>0</v>
      </c>
      <c r="J152" s="209">
        <v>0</v>
      </c>
      <c r="K152" s="209">
        <v>2</v>
      </c>
    </row>
    <row r="153" spans="1:11">
      <c r="A153" s="208">
        <v>42650</v>
      </c>
      <c r="B153" s="209" t="s">
        <v>491</v>
      </c>
      <c r="C153" s="209">
        <v>9</v>
      </c>
      <c r="D153" s="272" t="s">
        <v>460</v>
      </c>
      <c r="E153" s="209">
        <v>0</v>
      </c>
      <c r="F153" s="209">
        <v>6</v>
      </c>
      <c r="G153" s="209">
        <v>6</v>
      </c>
      <c r="H153" s="209">
        <v>0</v>
      </c>
      <c r="I153" s="209">
        <v>0</v>
      </c>
      <c r="J153" s="209">
        <v>0</v>
      </c>
      <c r="K153" s="209">
        <v>603</v>
      </c>
    </row>
    <row r="154" spans="1:11">
      <c r="A154" s="208">
        <v>42650</v>
      </c>
      <c r="B154" s="209" t="s">
        <v>491</v>
      </c>
      <c r="C154" s="209">
        <v>10</v>
      </c>
      <c r="D154" s="272" t="s">
        <v>465</v>
      </c>
      <c r="E154" s="209">
        <v>0</v>
      </c>
      <c r="F154" s="209">
        <v>3</v>
      </c>
      <c r="G154" s="209">
        <v>3</v>
      </c>
      <c r="H154" s="209">
        <v>0</v>
      </c>
      <c r="I154" s="209">
        <v>2</v>
      </c>
      <c r="J154" s="209">
        <v>2</v>
      </c>
      <c r="K154" s="209">
        <v>334</v>
      </c>
    </row>
    <row r="155" spans="1:11">
      <c r="A155" s="208">
        <v>42650</v>
      </c>
      <c r="B155" s="209" t="s">
        <v>491</v>
      </c>
      <c r="C155" s="209">
        <v>11</v>
      </c>
      <c r="D155" s="272" t="s">
        <v>505</v>
      </c>
      <c r="E155" s="209">
        <v>1</v>
      </c>
      <c r="F155" s="209">
        <v>4</v>
      </c>
      <c r="G155" s="209">
        <v>4</v>
      </c>
      <c r="H155" s="209">
        <v>0</v>
      </c>
      <c r="I155" s="209">
        <v>2</v>
      </c>
      <c r="J155" s="209">
        <v>2</v>
      </c>
      <c r="K155" s="209">
        <v>859</v>
      </c>
    </row>
    <row r="156" spans="1:11">
      <c r="A156" s="208">
        <v>42650</v>
      </c>
      <c r="B156" s="209" t="s">
        <v>491</v>
      </c>
      <c r="C156" s="209">
        <v>12</v>
      </c>
      <c r="D156" s="272" t="s">
        <v>506</v>
      </c>
      <c r="E156" s="209">
        <v>0</v>
      </c>
      <c r="F156" s="209">
        <v>0</v>
      </c>
      <c r="G156" s="209">
        <v>0</v>
      </c>
      <c r="H156" s="209">
        <v>0</v>
      </c>
      <c r="I156" s="209">
        <v>0</v>
      </c>
      <c r="J156" s="209">
        <v>0</v>
      </c>
      <c r="K156" s="209">
        <v>2</v>
      </c>
    </row>
    <row r="157" spans="1:11">
      <c r="A157" s="208">
        <v>42650</v>
      </c>
      <c r="B157" s="209" t="s">
        <v>491</v>
      </c>
      <c r="C157" s="209">
        <v>13</v>
      </c>
      <c r="D157" s="272" t="s">
        <v>466</v>
      </c>
      <c r="E157" s="209">
        <v>0</v>
      </c>
      <c r="F157" s="209">
        <v>5</v>
      </c>
      <c r="G157" s="209">
        <v>5</v>
      </c>
      <c r="H157" s="209">
        <v>0</v>
      </c>
      <c r="I157" s="209">
        <v>2</v>
      </c>
      <c r="J157" s="209">
        <v>2</v>
      </c>
      <c r="K157" s="209">
        <v>471</v>
      </c>
    </row>
    <row r="158" spans="1:11">
      <c r="A158" s="208">
        <v>42650</v>
      </c>
      <c r="B158" s="209" t="s">
        <v>491</v>
      </c>
      <c r="C158" s="209">
        <v>14</v>
      </c>
      <c r="D158" s="272" t="s">
        <v>467</v>
      </c>
      <c r="E158" s="209">
        <v>0</v>
      </c>
      <c r="F158" s="209">
        <v>3</v>
      </c>
      <c r="G158" s="209">
        <v>3</v>
      </c>
      <c r="H158" s="209">
        <v>0</v>
      </c>
      <c r="I158" s="209">
        <v>1</v>
      </c>
      <c r="J158" s="209">
        <v>1</v>
      </c>
      <c r="K158" s="209">
        <v>410</v>
      </c>
    </row>
    <row r="159" spans="1:11">
      <c r="A159" s="208">
        <v>42650</v>
      </c>
      <c r="B159" s="209" t="s">
        <v>491</v>
      </c>
      <c r="C159" s="209">
        <v>15</v>
      </c>
      <c r="D159" s="272" t="s">
        <v>472</v>
      </c>
      <c r="E159" s="209">
        <v>0</v>
      </c>
      <c r="F159" s="209">
        <v>0</v>
      </c>
      <c r="G159" s="209">
        <v>0</v>
      </c>
      <c r="H159" s="209">
        <v>0</v>
      </c>
      <c r="I159" s="209">
        <v>0</v>
      </c>
      <c r="J159" s="209">
        <v>0</v>
      </c>
      <c r="K159" s="209">
        <v>8</v>
      </c>
    </row>
    <row r="160" spans="1:11">
      <c r="A160" s="208">
        <v>42650</v>
      </c>
      <c r="B160" s="209" t="s">
        <v>491</v>
      </c>
      <c r="C160" s="209">
        <v>16</v>
      </c>
      <c r="D160" s="272" t="s">
        <v>507</v>
      </c>
      <c r="E160" s="209">
        <v>0</v>
      </c>
      <c r="F160" s="209">
        <v>0</v>
      </c>
      <c r="G160" s="209">
        <v>0</v>
      </c>
      <c r="H160" s="209">
        <v>0</v>
      </c>
      <c r="I160" s="209">
        <v>0</v>
      </c>
      <c r="J160" s="209">
        <v>0</v>
      </c>
      <c r="K160" s="209">
        <v>6</v>
      </c>
    </row>
    <row r="161" spans="1:11">
      <c r="A161" s="208">
        <v>42650</v>
      </c>
      <c r="B161" s="209" t="s">
        <v>491</v>
      </c>
      <c r="C161" s="209">
        <v>17</v>
      </c>
      <c r="D161" s="272" t="s">
        <v>479</v>
      </c>
      <c r="E161" s="209">
        <v>0</v>
      </c>
      <c r="F161" s="209">
        <v>0</v>
      </c>
      <c r="G161" s="209">
        <v>0</v>
      </c>
      <c r="H161" s="209">
        <v>0</v>
      </c>
      <c r="I161" s="209">
        <v>0</v>
      </c>
      <c r="J161" s="209">
        <v>0</v>
      </c>
      <c r="K161" s="209">
        <v>181</v>
      </c>
    </row>
    <row r="162" spans="1:11">
      <c r="A162" s="208">
        <v>42650</v>
      </c>
      <c r="B162" s="209" t="s">
        <v>491</v>
      </c>
      <c r="C162" s="209">
        <v>18</v>
      </c>
      <c r="D162" s="272" t="s">
        <v>480</v>
      </c>
      <c r="E162" s="209">
        <v>0</v>
      </c>
      <c r="F162" s="209">
        <v>0</v>
      </c>
      <c r="G162" s="209">
        <v>0</v>
      </c>
      <c r="H162" s="209">
        <v>0</v>
      </c>
      <c r="I162" s="209">
        <v>0</v>
      </c>
      <c r="J162" s="209">
        <v>0</v>
      </c>
      <c r="K162" s="209">
        <v>21</v>
      </c>
    </row>
    <row r="163" spans="1:11">
      <c r="A163" s="208">
        <v>42650</v>
      </c>
      <c r="B163" s="209" t="s">
        <v>491</v>
      </c>
      <c r="C163" s="209">
        <v>19</v>
      </c>
      <c r="D163" s="272" t="s">
        <v>508</v>
      </c>
      <c r="E163" s="209">
        <v>0</v>
      </c>
      <c r="F163" s="209">
        <v>3</v>
      </c>
      <c r="G163" s="209">
        <v>3</v>
      </c>
      <c r="H163" s="209">
        <v>0</v>
      </c>
      <c r="I163" s="209">
        <v>1</v>
      </c>
      <c r="J163" s="209">
        <v>1</v>
      </c>
      <c r="K163" s="209">
        <v>241</v>
      </c>
    </row>
    <row r="164" spans="1:11">
      <c r="A164" s="208">
        <v>42650</v>
      </c>
      <c r="B164" s="209" t="s">
        <v>491</v>
      </c>
      <c r="C164" s="209">
        <v>20</v>
      </c>
      <c r="D164" s="272" t="s">
        <v>468</v>
      </c>
      <c r="E164" s="209">
        <v>0</v>
      </c>
      <c r="F164" s="209">
        <v>0</v>
      </c>
      <c r="G164" s="209">
        <v>0</v>
      </c>
      <c r="H164" s="209">
        <v>0</v>
      </c>
      <c r="I164" s="209">
        <v>0</v>
      </c>
      <c r="J164" s="209">
        <v>0</v>
      </c>
      <c r="K164" s="209">
        <v>9</v>
      </c>
    </row>
    <row r="165" spans="1:11">
      <c r="A165" s="208">
        <v>42650</v>
      </c>
      <c r="B165" s="209" t="s">
        <v>491</v>
      </c>
      <c r="C165" s="209">
        <v>21</v>
      </c>
      <c r="D165" s="272" t="s">
        <v>489</v>
      </c>
      <c r="E165" s="209">
        <v>0</v>
      </c>
      <c r="F165" s="209">
        <v>0</v>
      </c>
      <c r="G165" s="209">
        <v>0</v>
      </c>
      <c r="H165" s="209">
        <v>0</v>
      </c>
      <c r="I165" s="209">
        <v>0</v>
      </c>
      <c r="J165" s="209">
        <v>0</v>
      </c>
      <c r="K165" s="209">
        <v>293</v>
      </c>
    </row>
    <row r="166" spans="1:11">
      <c r="A166" s="208">
        <v>42650</v>
      </c>
      <c r="B166" s="209" t="s">
        <v>491</v>
      </c>
      <c r="C166" s="209">
        <v>22</v>
      </c>
      <c r="D166" s="272" t="s">
        <v>469</v>
      </c>
      <c r="E166" s="209">
        <v>0</v>
      </c>
      <c r="F166" s="209">
        <v>0</v>
      </c>
      <c r="G166" s="209">
        <v>0</v>
      </c>
      <c r="H166" s="209">
        <v>0</v>
      </c>
      <c r="I166" s="209">
        <v>0</v>
      </c>
      <c r="J166" s="209">
        <v>0</v>
      </c>
      <c r="K166" s="209">
        <v>198</v>
      </c>
    </row>
    <row r="167" spans="1:11">
      <c r="A167" s="208">
        <v>42650</v>
      </c>
      <c r="B167" s="209" t="s">
        <v>491</v>
      </c>
      <c r="C167" s="209">
        <v>23</v>
      </c>
      <c r="D167" s="272" t="s">
        <v>470</v>
      </c>
      <c r="E167" s="209">
        <v>0</v>
      </c>
      <c r="F167" s="209">
        <v>0</v>
      </c>
      <c r="G167" s="209">
        <v>0</v>
      </c>
      <c r="H167" s="209">
        <v>0</v>
      </c>
      <c r="I167" s="209">
        <v>0</v>
      </c>
      <c r="J167" s="209">
        <v>0</v>
      </c>
      <c r="K167" s="209">
        <v>216</v>
      </c>
    </row>
    <row r="168" spans="1:11">
      <c r="A168" s="208">
        <v>42650</v>
      </c>
      <c r="B168" s="209" t="s">
        <v>491</v>
      </c>
      <c r="C168" s="209">
        <v>24</v>
      </c>
      <c r="D168" s="272" t="s">
        <v>509</v>
      </c>
      <c r="E168" s="209">
        <v>0</v>
      </c>
      <c r="F168" s="209">
        <v>0</v>
      </c>
      <c r="G168" s="209">
        <v>0</v>
      </c>
      <c r="H168" s="209">
        <v>0</v>
      </c>
      <c r="I168" s="209">
        <v>0</v>
      </c>
      <c r="J168" s="209">
        <v>0</v>
      </c>
      <c r="K168" s="209">
        <v>2</v>
      </c>
    </row>
    <row r="169" spans="1:11">
      <c r="A169" s="208">
        <v>42650</v>
      </c>
      <c r="B169" s="209" t="s">
        <v>491</v>
      </c>
      <c r="C169" s="209">
        <v>25</v>
      </c>
      <c r="D169" s="272" t="s">
        <v>471</v>
      </c>
      <c r="E169" s="209">
        <v>0</v>
      </c>
      <c r="F169" s="209">
        <v>0</v>
      </c>
      <c r="G169" s="209">
        <v>0</v>
      </c>
      <c r="H169" s="209">
        <v>0</v>
      </c>
      <c r="I169" s="209">
        <v>0</v>
      </c>
      <c r="J169" s="209">
        <v>0</v>
      </c>
      <c r="K169" s="209">
        <v>16</v>
      </c>
    </row>
    <row r="170" spans="1:11">
      <c r="A170" s="208">
        <v>42650</v>
      </c>
      <c r="B170" s="209" t="s">
        <v>491</v>
      </c>
      <c r="C170" s="209">
        <v>26</v>
      </c>
      <c r="D170" s="272" t="s">
        <v>510</v>
      </c>
      <c r="E170" s="209">
        <v>0</v>
      </c>
      <c r="F170" s="209">
        <v>1</v>
      </c>
      <c r="G170" s="209">
        <v>1</v>
      </c>
      <c r="H170" s="209">
        <v>0</v>
      </c>
      <c r="I170" s="209">
        <v>1</v>
      </c>
      <c r="J170" s="209">
        <v>1</v>
      </c>
      <c r="K170" s="209">
        <v>133</v>
      </c>
    </row>
    <row r="171" spans="1:11">
      <c r="A171" s="260">
        <v>42644</v>
      </c>
      <c r="B171" s="209" t="s">
        <v>511</v>
      </c>
      <c r="C171" s="209">
        <v>1</v>
      </c>
      <c r="D171" s="272" t="s">
        <v>484</v>
      </c>
      <c r="E171" s="209">
        <v>0</v>
      </c>
      <c r="F171" s="209">
        <v>0</v>
      </c>
      <c r="G171" s="209">
        <v>0</v>
      </c>
      <c r="H171" s="209">
        <v>0</v>
      </c>
      <c r="I171" s="209">
        <v>0</v>
      </c>
      <c r="J171" s="209">
        <v>0</v>
      </c>
      <c r="K171" s="209">
        <v>23</v>
      </c>
    </row>
    <row r="172" spans="1:11">
      <c r="A172" s="260">
        <v>42644</v>
      </c>
      <c r="B172" s="209" t="s">
        <v>511</v>
      </c>
      <c r="C172" s="209">
        <v>2</v>
      </c>
      <c r="D172" s="272" t="s">
        <v>461</v>
      </c>
      <c r="E172" s="209">
        <v>0</v>
      </c>
      <c r="F172" s="209">
        <v>0</v>
      </c>
      <c r="G172" s="209">
        <v>0</v>
      </c>
      <c r="H172" s="209">
        <v>0</v>
      </c>
      <c r="I172" s="209">
        <v>0</v>
      </c>
      <c r="J172" s="209">
        <v>0</v>
      </c>
      <c r="K172" s="209">
        <v>437</v>
      </c>
    </row>
    <row r="173" spans="1:11">
      <c r="A173" s="260">
        <v>42644</v>
      </c>
      <c r="B173" s="209" t="s">
        <v>511</v>
      </c>
      <c r="C173" s="209">
        <v>3</v>
      </c>
      <c r="D173" s="272" t="s">
        <v>487</v>
      </c>
      <c r="E173" s="209">
        <v>0</v>
      </c>
      <c r="F173" s="209">
        <v>0</v>
      </c>
      <c r="G173" s="209">
        <v>0</v>
      </c>
      <c r="H173" s="209">
        <v>0</v>
      </c>
      <c r="I173" s="209">
        <v>0</v>
      </c>
      <c r="J173" s="209">
        <v>0</v>
      </c>
      <c r="K173" s="209">
        <v>86</v>
      </c>
    </row>
    <row r="174" spans="1:11">
      <c r="A174" s="260">
        <v>42644</v>
      </c>
      <c r="B174" s="209" t="s">
        <v>511</v>
      </c>
      <c r="C174" s="209">
        <v>4</v>
      </c>
      <c r="D174" s="272" t="s">
        <v>462</v>
      </c>
      <c r="E174" s="209">
        <v>0</v>
      </c>
      <c r="F174" s="209">
        <v>0</v>
      </c>
      <c r="G174" s="209">
        <v>0</v>
      </c>
      <c r="H174" s="209">
        <v>0</v>
      </c>
      <c r="I174" s="209">
        <v>0</v>
      </c>
      <c r="J174" s="209">
        <v>0</v>
      </c>
      <c r="K174" s="209">
        <v>73</v>
      </c>
    </row>
    <row r="175" spans="1:11">
      <c r="A175" s="260">
        <v>42644</v>
      </c>
      <c r="B175" s="209" t="s">
        <v>511</v>
      </c>
      <c r="C175" s="209">
        <v>5</v>
      </c>
      <c r="D175" s="272" t="s">
        <v>463</v>
      </c>
      <c r="E175" s="209">
        <v>0</v>
      </c>
      <c r="F175" s="209">
        <v>0</v>
      </c>
      <c r="G175" s="209">
        <v>0</v>
      </c>
      <c r="H175" s="209">
        <v>0</v>
      </c>
      <c r="I175" s="209">
        <v>0</v>
      </c>
      <c r="J175" s="209">
        <v>0</v>
      </c>
      <c r="K175" s="209">
        <v>509</v>
      </c>
    </row>
    <row r="176" spans="1:11">
      <c r="A176" s="260">
        <v>42644</v>
      </c>
      <c r="B176" s="209" t="s">
        <v>511</v>
      </c>
      <c r="C176" s="209">
        <v>6</v>
      </c>
      <c r="D176" s="272" t="s">
        <v>464</v>
      </c>
      <c r="E176" s="209">
        <v>0</v>
      </c>
      <c r="F176" s="209">
        <v>0</v>
      </c>
      <c r="G176" s="209">
        <v>0</v>
      </c>
      <c r="H176" s="209">
        <v>0</v>
      </c>
      <c r="I176" s="209">
        <v>0</v>
      </c>
      <c r="J176" s="209">
        <v>0</v>
      </c>
      <c r="K176" s="209">
        <v>30</v>
      </c>
    </row>
    <row r="177" spans="1:11">
      <c r="A177" s="260">
        <v>42644</v>
      </c>
      <c r="B177" s="209" t="s">
        <v>511</v>
      </c>
      <c r="C177" s="209">
        <v>7</v>
      </c>
      <c r="D177" s="272" t="s">
        <v>504</v>
      </c>
      <c r="E177" s="209">
        <v>0</v>
      </c>
      <c r="F177" s="209">
        <v>0</v>
      </c>
      <c r="G177" s="209">
        <v>0</v>
      </c>
      <c r="H177" s="209">
        <v>0</v>
      </c>
      <c r="I177" s="209">
        <v>0</v>
      </c>
      <c r="J177" s="209">
        <v>0</v>
      </c>
      <c r="K177" s="209">
        <v>137</v>
      </c>
    </row>
    <row r="178" spans="1:11">
      <c r="A178" s="260">
        <v>42644</v>
      </c>
      <c r="B178" s="209" t="s">
        <v>511</v>
      </c>
      <c r="C178" s="209">
        <v>8</v>
      </c>
      <c r="D178" s="272" t="s">
        <v>460</v>
      </c>
      <c r="E178" s="209">
        <v>0</v>
      </c>
      <c r="F178" s="209">
        <v>0</v>
      </c>
      <c r="G178" s="209">
        <v>0</v>
      </c>
      <c r="H178" s="209">
        <v>0</v>
      </c>
      <c r="I178" s="209">
        <v>0</v>
      </c>
      <c r="J178" s="209">
        <v>0</v>
      </c>
      <c r="K178" s="209">
        <v>123</v>
      </c>
    </row>
    <row r="179" spans="1:11">
      <c r="A179" s="260">
        <v>42644</v>
      </c>
      <c r="B179" s="209" t="s">
        <v>511</v>
      </c>
      <c r="C179" s="209">
        <v>9</v>
      </c>
      <c r="D179" s="272" t="s">
        <v>465</v>
      </c>
      <c r="E179" s="209">
        <v>0</v>
      </c>
      <c r="F179" s="209">
        <v>0</v>
      </c>
      <c r="G179" s="209">
        <v>0</v>
      </c>
      <c r="H179" s="209">
        <v>0</v>
      </c>
      <c r="I179" s="209">
        <v>0</v>
      </c>
      <c r="J179" s="209">
        <v>0</v>
      </c>
      <c r="K179" s="209">
        <v>243</v>
      </c>
    </row>
    <row r="180" spans="1:11">
      <c r="A180" s="260">
        <v>42644</v>
      </c>
      <c r="B180" s="209" t="s">
        <v>511</v>
      </c>
      <c r="C180" s="209">
        <v>10</v>
      </c>
      <c r="D180" s="272" t="s">
        <v>505</v>
      </c>
      <c r="E180" s="209">
        <v>0</v>
      </c>
      <c r="F180" s="209">
        <v>0</v>
      </c>
      <c r="G180" s="209">
        <v>0</v>
      </c>
      <c r="H180" s="209">
        <v>0</v>
      </c>
      <c r="I180" s="209">
        <v>0</v>
      </c>
      <c r="J180" s="209">
        <v>0</v>
      </c>
      <c r="K180" s="209">
        <v>181</v>
      </c>
    </row>
    <row r="181" spans="1:11">
      <c r="A181" s="260">
        <v>42644</v>
      </c>
      <c r="B181" s="209" t="s">
        <v>511</v>
      </c>
      <c r="C181" s="209">
        <v>11</v>
      </c>
      <c r="D181" s="272" t="s">
        <v>466</v>
      </c>
      <c r="E181" s="209">
        <v>0</v>
      </c>
      <c r="F181" s="209">
        <v>0</v>
      </c>
      <c r="G181" s="209">
        <v>0</v>
      </c>
      <c r="H181" s="209">
        <v>0</v>
      </c>
      <c r="I181" s="209">
        <v>0</v>
      </c>
      <c r="J181" s="209">
        <v>0</v>
      </c>
      <c r="K181" s="209">
        <v>156</v>
      </c>
    </row>
    <row r="182" spans="1:11">
      <c r="A182" s="260">
        <v>42644</v>
      </c>
      <c r="B182" s="209" t="s">
        <v>511</v>
      </c>
      <c r="C182" s="209">
        <v>12</v>
      </c>
      <c r="D182" s="272" t="s">
        <v>467</v>
      </c>
      <c r="E182" s="209">
        <v>0</v>
      </c>
      <c r="F182" s="209">
        <v>0</v>
      </c>
      <c r="G182" s="209">
        <v>0</v>
      </c>
      <c r="H182" s="209">
        <v>0</v>
      </c>
      <c r="I182" s="209">
        <v>0</v>
      </c>
      <c r="J182" s="209">
        <v>0</v>
      </c>
      <c r="K182" s="209">
        <v>88</v>
      </c>
    </row>
    <row r="183" spans="1:11">
      <c r="A183" s="260">
        <v>42644</v>
      </c>
      <c r="B183" s="209" t="s">
        <v>511</v>
      </c>
      <c r="C183" s="209">
        <v>13</v>
      </c>
      <c r="D183" s="272" t="s">
        <v>508</v>
      </c>
      <c r="E183" s="209">
        <v>0</v>
      </c>
      <c r="F183" s="209">
        <v>0</v>
      </c>
      <c r="G183" s="209">
        <v>0</v>
      </c>
      <c r="H183" s="209">
        <v>0</v>
      </c>
      <c r="I183" s="209">
        <v>0</v>
      </c>
      <c r="J183" s="209">
        <v>0</v>
      </c>
      <c r="K183" s="209">
        <v>42</v>
      </c>
    </row>
    <row r="184" spans="1:11">
      <c r="A184" s="260">
        <v>42644</v>
      </c>
      <c r="B184" s="209" t="s">
        <v>511</v>
      </c>
      <c r="C184" s="209">
        <v>14</v>
      </c>
      <c r="D184" s="272" t="s">
        <v>468</v>
      </c>
      <c r="E184" s="209">
        <v>0</v>
      </c>
      <c r="F184" s="209">
        <v>0</v>
      </c>
      <c r="G184" s="209">
        <v>0</v>
      </c>
      <c r="H184" s="209">
        <v>0</v>
      </c>
      <c r="I184" s="209">
        <v>0</v>
      </c>
      <c r="J184" s="209">
        <v>0</v>
      </c>
      <c r="K184" s="209">
        <v>15</v>
      </c>
    </row>
    <row r="185" spans="1:11">
      <c r="A185" s="260">
        <v>42644</v>
      </c>
      <c r="B185" s="209" t="s">
        <v>511</v>
      </c>
      <c r="C185" s="209">
        <v>15</v>
      </c>
      <c r="D185" s="272" t="s">
        <v>489</v>
      </c>
      <c r="E185" s="209">
        <v>0</v>
      </c>
      <c r="F185" s="209">
        <v>0</v>
      </c>
      <c r="G185" s="209">
        <v>0</v>
      </c>
      <c r="H185" s="209">
        <v>0</v>
      </c>
      <c r="I185" s="209">
        <v>0</v>
      </c>
      <c r="J185" s="209">
        <v>0</v>
      </c>
      <c r="K185" s="209">
        <v>54</v>
      </c>
    </row>
    <row r="186" spans="1:11">
      <c r="A186" s="260">
        <v>42644</v>
      </c>
      <c r="B186" s="209" t="s">
        <v>511</v>
      </c>
      <c r="C186" s="209">
        <v>16</v>
      </c>
      <c r="D186" s="272" t="s">
        <v>469</v>
      </c>
      <c r="E186" s="209">
        <v>0</v>
      </c>
      <c r="F186" s="209">
        <v>0</v>
      </c>
      <c r="G186" s="209">
        <v>0</v>
      </c>
      <c r="H186" s="209">
        <v>0</v>
      </c>
      <c r="I186" s="209">
        <v>0</v>
      </c>
      <c r="J186" s="209">
        <v>0</v>
      </c>
      <c r="K186" s="209">
        <v>190</v>
      </c>
    </row>
    <row r="187" spans="1:11">
      <c r="A187" s="260">
        <v>42644</v>
      </c>
      <c r="B187" s="209" t="s">
        <v>511</v>
      </c>
      <c r="C187" s="209">
        <v>17</v>
      </c>
      <c r="D187" s="272" t="s">
        <v>470</v>
      </c>
      <c r="E187" s="209">
        <v>0</v>
      </c>
      <c r="F187" s="209">
        <v>0</v>
      </c>
      <c r="G187" s="209">
        <v>0</v>
      </c>
      <c r="H187" s="209">
        <v>0</v>
      </c>
      <c r="I187" s="209">
        <v>0</v>
      </c>
      <c r="J187" s="209">
        <v>0</v>
      </c>
      <c r="K187" s="209">
        <v>58</v>
      </c>
    </row>
    <row r="188" spans="1:11">
      <c r="A188" s="260">
        <v>42644</v>
      </c>
      <c r="B188" s="209" t="s">
        <v>511</v>
      </c>
      <c r="C188" s="209">
        <v>18</v>
      </c>
      <c r="D188" s="272" t="s">
        <v>471</v>
      </c>
      <c r="E188" s="209">
        <v>0</v>
      </c>
      <c r="F188" s="209">
        <v>0</v>
      </c>
      <c r="G188" s="209">
        <v>0</v>
      </c>
      <c r="H188" s="209">
        <v>0</v>
      </c>
      <c r="I188" s="209">
        <v>0</v>
      </c>
      <c r="J188" s="209">
        <v>0</v>
      </c>
      <c r="K188" s="209">
        <v>11</v>
      </c>
    </row>
    <row r="189" spans="1:11">
      <c r="A189" s="208">
        <v>42645</v>
      </c>
      <c r="B189" s="209" t="s">
        <v>511</v>
      </c>
      <c r="C189" s="209">
        <v>1</v>
      </c>
      <c r="D189" s="272" t="s">
        <v>487</v>
      </c>
      <c r="E189" s="209">
        <v>1</v>
      </c>
      <c r="F189" s="209">
        <v>1</v>
      </c>
      <c r="G189" s="209">
        <v>1</v>
      </c>
      <c r="H189" s="209">
        <v>1</v>
      </c>
      <c r="I189" s="209">
        <v>1</v>
      </c>
      <c r="J189" s="209">
        <v>1</v>
      </c>
      <c r="K189" s="209">
        <v>153</v>
      </c>
    </row>
    <row r="190" spans="1:11">
      <c r="A190" s="208">
        <v>42645</v>
      </c>
      <c r="B190" s="209" t="s">
        <v>511</v>
      </c>
      <c r="C190" s="209">
        <v>2</v>
      </c>
      <c r="D190" s="272" t="s">
        <v>460</v>
      </c>
      <c r="E190" s="209">
        <v>2</v>
      </c>
      <c r="F190" s="209">
        <v>2</v>
      </c>
      <c r="G190" s="209">
        <v>2</v>
      </c>
      <c r="H190" s="209">
        <v>1</v>
      </c>
      <c r="I190" s="209">
        <v>1</v>
      </c>
      <c r="J190" s="209">
        <v>1</v>
      </c>
      <c r="K190" s="209">
        <v>255</v>
      </c>
    </row>
    <row r="191" spans="1:11">
      <c r="A191" s="208">
        <v>42645</v>
      </c>
      <c r="B191" s="209" t="s">
        <v>511</v>
      </c>
      <c r="C191" s="209">
        <v>3</v>
      </c>
      <c r="D191" s="272" t="s">
        <v>463</v>
      </c>
      <c r="E191" s="209">
        <v>1</v>
      </c>
      <c r="F191" s="209">
        <v>1</v>
      </c>
      <c r="G191" s="209">
        <v>1</v>
      </c>
      <c r="H191" s="209">
        <v>1</v>
      </c>
      <c r="I191" s="209">
        <v>1</v>
      </c>
      <c r="J191" s="209">
        <v>1</v>
      </c>
      <c r="K191" s="209">
        <v>909</v>
      </c>
    </row>
    <row r="192" spans="1:11">
      <c r="A192" s="208">
        <v>42645</v>
      </c>
      <c r="B192" s="209" t="s">
        <v>511</v>
      </c>
      <c r="C192" s="209">
        <v>4</v>
      </c>
      <c r="D192" s="272" t="s">
        <v>484</v>
      </c>
      <c r="E192" s="209">
        <v>0</v>
      </c>
      <c r="F192" s="209">
        <v>0</v>
      </c>
      <c r="G192" s="209">
        <v>0</v>
      </c>
      <c r="H192" s="209">
        <v>0</v>
      </c>
      <c r="I192" s="209">
        <v>0</v>
      </c>
      <c r="J192" s="209">
        <v>0</v>
      </c>
      <c r="K192" s="209">
        <v>34</v>
      </c>
    </row>
    <row r="193" spans="1:11">
      <c r="A193" s="208">
        <v>42645</v>
      </c>
      <c r="B193" s="209" t="s">
        <v>511</v>
      </c>
      <c r="C193" s="209">
        <v>5</v>
      </c>
      <c r="D193" s="272" t="s">
        <v>461</v>
      </c>
      <c r="E193" s="209">
        <v>0</v>
      </c>
      <c r="F193" s="209">
        <v>0</v>
      </c>
      <c r="G193" s="209">
        <v>0</v>
      </c>
      <c r="H193" s="209">
        <v>0</v>
      </c>
      <c r="I193" s="209">
        <v>0</v>
      </c>
      <c r="J193" s="209">
        <v>0</v>
      </c>
      <c r="K193" s="209">
        <v>769</v>
      </c>
    </row>
    <row r="194" spans="1:11">
      <c r="A194" s="208">
        <v>42645</v>
      </c>
      <c r="B194" s="209" t="s">
        <v>511</v>
      </c>
      <c r="C194" s="209">
        <v>6</v>
      </c>
      <c r="D194" s="272" t="s">
        <v>462</v>
      </c>
      <c r="E194" s="209">
        <v>0</v>
      </c>
      <c r="F194" s="209">
        <v>0</v>
      </c>
      <c r="G194" s="209">
        <v>0</v>
      </c>
      <c r="H194" s="209">
        <v>0</v>
      </c>
      <c r="I194" s="209">
        <v>0</v>
      </c>
      <c r="J194" s="209">
        <v>0</v>
      </c>
      <c r="K194" s="209">
        <v>145</v>
      </c>
    </row>
    <row r="195" spans="1:11">
      <c r="A195" s="208">
        <v>42645</v>
      </c>
      <c r="B195" s="209" t="s">
        <v>511</v>
      </c>
      <c r="C195" s="209">
        <v>7</v>
      </c>
      <c r="D195" s="272" t="s">
        <v>464</v>
      </c>
      <c r="E195" s="209">
        <v>0</v>
      </c>
      <c r="F195" s="209">
        <v>0</v>
      </c>
      <c r="G195" s="209">
        <v>0</v>
      </c>
      <c r="H195" s="209">
        <v>0</v>
      </c>
      <c r="I195" s="209">
        <v>0</v>
      </c>
      <c r="J195" s="209">
        <v>0</v>
      </c>
      <c r="K195" s="209">
        <v>57</v>
      </c>
    </row>
    <row r="196" spans="1:11">
      <c r="A196" s="208">
        <v>42645</v>
      </c>
      <c r="B196" s="209" t="s">
        <v>511</v>
      </c>
      <c r="C196" s="209">
        <v>8</v>
      </c>
      <c r="D196" s="272" t="s">
        <v>504</v>
      </c>
      <c r="E196" s="209">
        <v>0</v>
      </c>
      <c r="F196" s="209">
        <v>0</v>
      </c>
      <c r="G196" s="209">
        <v>0</v>
      </c>
      <c r="H196" s="209">
        <v>0</v>
      </c>
      <c r="I196" s="209">
        <v>0</v>
      </c>
      <c r="J196" s="209">
        <v>0</v>
      </c>
      <c r="K196" s="209">
        <v>223</v>
      </c>
    </row>
    <row r="197" spans="1:11">
      <c r="A197" s="208">
        <v>42645</v>
      </c>
      <c r="B197" s="209" t="s">
        <v>511</v>
      </c>
      <c r="C197" s="209">
        <v>9</v>
      </c>
      <c r="D197" s="272" t="s">
        <v>465</v>
      </c>
      <c r="E197" s="209">
        <v>0</v>
      </c>
      <c r="F197" s="209">
        <v>0</v>
      </c>
      <c r="G197" s="209">
        <v>0</v>
      </c>
      <c r="H197" s="209">
        <v>0</v>
      </c>
      <c r="I197" s="209">
        <v>0</v>
      </c>
      <c r="J197" s="209">
        <v>0</v>
      </c>
      <c r="K197" s="209">
        <v>415</v>
      </c>
    </row>
    <row r="198" spans="1:11">
      <c r="A198" s="208">
        <v>42645</v>
      </c>
      <c r="B198" s="209" t="s">
        <v>511</v>
      </c>
      <c r="C198" s="209">
        <v>10</v>
      </c>
      <c r="D198" s="272" t="s">
        <v>505</v>
      </c>
      <c r="E198" s="209">
        <v>0</v>
      </c>
      <c r="F198" s="209">
        <v>0</v>
      </c>
      <c r="G198" s="209">
        <v>0</v>
      </c>
      <c r="H198" s="209">
        <v>0</v>
      </c>
      <c r="I198" s="209">
        <v>0</v>
      </c>
      <c r="J198" s="209">
        <v>0</v>
      </c>
      <c r="K198" s="209">
        <v>344</v>
      </c>
    </row>
    <row r="199" spans="1:11">
      <c r="A199" s="208">
        <v>42645</v>
      </c>
      <c r="B199" s="209" t="s">
        <v>511</v>
      </c>
      <c r="C199" s="209">
        <v>11</v>
      </c>
      <c r="D199" s="272" t="s">
        <v>466</v>
      </c>
      <c r="E199" s="209">
        <v>1</v>
      </c>
      <c r="F199" s="209">
        <v>1</v>
      </c>
      <c r="G199" s="209">
        <v>1</v>
      </c>
      <c r="H199" s="209">
        <v>0</v>
      </c>
      <c r="I199" s="209">
        <v>0</v>
      </c>
      <c r="J199" s="209">
        <v>0</v>
      </c>
      <c r="K199" s="209">
        <v>323</v>
      </c>
    </row>
    <row r="200" spans="1:11">
      <c r="A200" s="208">
        <v>42645</v>
      </c>
      <c r="B200" s="209" t="s">
        <v>511</v>
      </c>
      <c r="C200" s="209">
        <v>12</v>
      </c>
      <c r="D200" s="272" t="s">
        <v>467</v>
      </c>
      <c r="E200" s="209">
        <v>0</v>
      </c>
      <c r="F200" s="209">
        <v>0</v>
      </c>
      <c r="G200" s="209">
        <v>0</v>
      </c>
      <c r="H200" s="209">
        <v>0</v>
      </c>
      <c r="I200" s="209">
        <v>0</v>
      </c>
      <c r="J200" s="209">
        <v>0</v>
      </c>
      <c r="K200" s="209">
        <v>158</v>
      </c>
    </row>
    <row r="201" spans="1:11">
      <c r="A201" s="208">
        <v>42645</v>
      </c>
      <c r="B201" s="209" t="s">
        <v>511</v>
      </c>
      <c r="C201" s="209">
        <v>13</v>
      </c>
      <c r="D201" s="272" t="s">
        <v>472</v>
      </c>
      <c r="E201" s="209">
        <v>0</v>
      </c>
      <c r="F201" s="209">
        <v>0</v>
      </c>
      <c r="G201" s="209">
        <v>0</v>
      </c>
      <c r="H201" s="209">
        <v>0</v>
      </c>
      <c r="I201" s="209">
        <v>0</v>
      </c>
      <c r="J201" s="209">
        <v>0</v>
      </c>
      <c r="K201" s="209">
        <v>1</v>
      </c>
    </row>
    <row r="202" spans="1:11">
      <c r="A202" s="208">
        <v>42645</v>
      </c>
      <c r="B202" s="209" t="s">
        <v>511</v>
      </c>
      <c r="C202" s="209">
        <v>14</v>
      </c>
      <c r="D202" s="272" t="s">
        <v>508</v>
      </c>
      <c r="E202" s="209">
        <v>0</v>
      </c>
      <c r="F202" s="209">
        <v>0</v>
      </c>
      <c r="G202" s="209">
        <v>0</v>
      </c>
      <c r="H202" s="209">
        <v>0</v>
      </c>
      <c r="I202" s="209">
        <v>0</v>
      </c>
      <c r="J202" s="209">
        <v>0</v>
      </c>
      <c r="K202" s="209">
        <v>87</v>
      </c>
    </row>
    <row r="203" spans="1:11">
      <c r="A203" s="208">
        <v>42645</v>
      </c>
      <c r="B203" s="209" t="s">
        <v>511</v>
      </c>
      <c r="C203" s="209">
        <v>15</v>
      </c>
      <c r="D203" s="272" t="s">
        <v>468</v>
      </c>
      <c r="E203" s="209">
        <v>0</v>
      </c>
      <c r="F203" s="209">
        <v>0</v>
      </c>
      <c r="G203" s="209">
        <v>0</v>
      </c>
      <c r="H203" s="209">
        <v>0</v>
      </c>
      <c r="I203" s="209">
        <v>0</v>
      </c>
      <c r="J203" s="209">
        <v>0</v>
      </c>
      <c r="K203" s="209">
        <v>27</v>
      </c>
    </row>
    <row r="204" spans="1:11">
      <c r="A204" s="208">
        <v>42645</v>
      </c>
      <c r="B204" s="209" t="s">
        <v>511</v>
      </c>
      <c r="C204" s="209">
        <v>16</v>
      </c>
      <c r="D204" s="272" t="s">
        <v>489</v>
      </c>
      <c r="E204" s="209">
        <v>0</v>
      </c>
      <c r="F204" s="209">
        <v>0</v>
      </c>
      <c r="G204" s="209">
        <v>0</v>
      </c>
      <c r="H204" s="209">
        <v>0</v>
      </c>
      <c r="I204" s="209">
        <v>0</v>
      </c>
      <c r="J204" s="209">
        <v>0</v>
      </c>
      <c r="K204" s="209">
        <v>108</v>
      </c>
    </row>
    <row r="205" spans="1:11">
      <c r="A205" s="208">
        <v>42645</v>
      </c>
      <c r="B205" s="209" t="s">
        <v>511</v>
      </c>
      <c r="C205" s="209">
        <v>17</v>
      </c>
      <c r="D205" s="272" t="s">
        <v>469</v>
      </c>
      <c r="E205" s="209">
        <v>0</v>
      </c>
      <c r="F205" s="209">
        <v>0</v>
      </c>
      <c r="G205" s="209">
        <v>0</v>
      </c>
      <c r="H205" s="209">
        <v>0</v>
      </c>
      <c r="I205" s="209">
        <v>0</v>
      </c>
      <c r="J205" s="209">
        <v>0</v>
      </c>
      <c r="K205" s="209">
        <v>353</v>
      </c>
    </row>
    <row r="206" spans="1:11">
      <c r="A206" s="208">
        <v>42645</v>
      </c>
      <c r="B206" s="209" t="s">
        <v>511</v>
      </c>
      <c r="C206" s="209">
        <v>18</v>
      </c>
      <c r="D206" s="272" t="s">
        <v>470</v>
      </c>
      <c r="E206" s="209">
        <v>0</v>
      </c>
      <c r="F206" s="209">
        <v>0</v>
      </c>
      <c r="G206" s="209">
        <v>0</v>
      </c>
      <c r="H206" s="209">
        <v>0</v>
      </c>
      <c r="I206" s="209">
        <v>0</v>
      </c>
      <c r="J206" s="209">
        <v>0</v>
      </c>
      <c r="K206" s="209">
        <v>124</v>
      </c>
    </row>
    <row r="207" spans="1:11">
      <c r="A207" s="208">
        <v>42645</v>
      </c>
      <c r="B207" s="209" t="s">
        <v>511</v>
      </c>
      <c r="C207" s="209">
        <v>19</v>
      </c>
      <c r="D207" s="272" t="s">
        <v>471</v>
      </c>
      <c r="E207" s="209">
        <v>0</v>
      </c>
      <c r="F207" s="209">
        <v>0</v>
      </c>
      <c r="G207" s="209">
        <v>0</v>
      </c>
      <c r="H207" s="209">
        <v>0</v>
      </c>
      <c r="I207" s="209">
        <v>0</v>
      </c>
      <c r="J207" s="209">
        <v>0</v>
      </c>
      <c r="K207" s="209">
        <v>23</v>
      </c>
    </row>
    <row r="208" spans="1:11">
      <c r="A208" s="208">
        <v>42645</v>
      </c>
      <c r="B208" s="209" t="s">
        <v>511</v>
      </c>
      <c r="C208" s="209">
        <v>20</v>
      </c>
      <c r="D208" s="272" t="s">
        <v>510</v>
      </c>
      <c r="E208" s="209">
        <v>0</v>
      </c>
      <c r="F208" s="209">
        <v>0</v>
      </c>
      <c r="G208" s="209">
        <v>0</v>
      </c>
      <c r="H208" s="209">
        <v>0</v>
      </c>
      <c r="I208" s="209">
        <v>0</v>
      </c>
      <c r="J208" s="209">
        <v>0</v>
      </c>
      <c r="K208" s="209">
        <v>1</v>
      </c>
    </row>
    <row r="209" spans="1:11">
      <c r="A209" s="208">
        <v>42646</v>
      </c>
      <c r="B209" s="209" t="s">
        <v>511</v>
      </c>
      <c r="C209" s="209">
        <v>1</v>
      </c>
      <c r="D209" s="272" t="s">
        <v>484</v>
      </c>
      <c r="E209" s="209">
        <v>0</v>
      </c>
      <c r="F209" s="209">
        <v>0</v>
      </c>
      <c r="G209" s="209">
        <v>0</v>
      </c>
      <c r="H209" s="209">
        <v>0</v>
      </c>
      <c r="I209" s="209">
        <v>0</v>
      </c>
      <c r="J209" s="209">
        <v>0</v>
      </c>
      <c r="K209" s="209">
        <v>54</v>
      </c>
    </row>
    <row r="210" spans="1:11">
      <c r="A210" s="208">
        <v>42646</v>
      </c>
      <c r="B210" s="209" t="s">
        <v>511</v>
      </c>
      <c r="C210" s="209">
        <v>2</v>
      </c>
      <c r="D210" s="272" t="s">
        <v>461</v>
      </c>
      <c r="E210" s="209">
        <v>0</v>
      </c>
      <c r="F210" s="209">
        <v>0</v>
      </c>
      <c r="G210" s="209">
        <v>0</v>
      </c>
      <c r="H210" s="209">
        <v>0</v>
      </c>
      <c r="I210" s="209">
        <v>0</v>
      </c>
      <c r="J210" s="209">
        <v>0</v>
      </c>
      <c r="K210" s="209">
        <v>1016</v>
      </c>
    </row>
    <row r="211" spans="1:11">
      <c r="A211" s="208">
        <v>42646</v>
      </c>
      <c r="B211" s="209" t="s">
        <v>511</v>
      </c>
      <c r="C211" s="209">
        <v>3</v>
      </c>
      <c r="D211" s="272" t="s">
        <v>487</v>
      </c>
      <c r="E211" s="209">
        <v>0</v>
      </c>
      <c r="F211" s="209">
        <v>1</v>
      </c>
      <c r="G211" s="209">
        <v>1</v>
      </c>
      <c r="H211" s="209">
        <v>0</v>
      </c>
      <c r="I211" s="209">
        <v>1</v>
      </c>
      <c r="J211" s="209">
        <v>1</v>
      </c>
      <c r="K211" s="209">
        <v>227</v>
      </c>
    </row>
    <row r="212" spans="1:11">
      <c r="A212" s="208">
        <v>42646</v>
      </c>
      <c r="B212" s="209" t="s">
        <v>511</v>
      </c>
      <c r="C212" s="209">
        <v>4</v>
      </c>
      <c r="D212" s="272" t="s">
        <v>462</v>
      </c>
      <c r="E212" s="209">
        <v>0</v>
      </c>
      <c r="F212" s="209">
        <v>0</v>
      </c>
      <c r="G212" s="209">
        <v>0</v>
      </c>
      <c r="H212" s="209">
        <v>0</v>
      </c>
      <c r="I212" s="209">
        <v>0</v>
      </c>
      <c r="J212" s="209">
        <v>0</v>
      </c>
      <c r="K212" s="209">
        <v>218</v>
      </c>
    </row>
    <row r="213" spans="1:11">
      <c r="A213" s="208">
        <v>42646</v>
      </c>
      <c r="B213" s="209" t="s">
        <v>511</v>
      </c>
      <c r="C213" s="209">
        <v>5</v>
      </c>
      <c r="D213" s="272" t="s">
        <v>463</v>
      </c>
      <c r="E213" s="209">
        <v>0</v>
      </c>
      <c r="F213" s="209">
        <v>1</v>
      </c>
      <c r="G213" s="209">
        <v>1</v>
      </c>
      <c r="H213" s="209">
        <v>0</v>
      </c>
      <c r="I213" s="209">
        <v>1</v>
      </c>
      <c r="J213" s="209">
        <v>1</v>
      </c>
      <c r="K213" s="209">
        <v>1250</v>
      </c>
    </row>
    <row r="214" spans="1:11">
      <c r="A214" s="208">
        <v>42646</v>
      </c>
      <c r="B214" s="209" t="s">
        <v>511</v>
      </c>
      <c r="C214" s="209">
        <v>6</v>
      </c>
      <c r="D214" s="272" t="s">
        <v>464</v>
      </c>
      <c r="E214" s="209">
        <v>0</v>
      </c>
      <c r="F214" s="209">
        <v>0</v>
      </c>
      <c r="G214" s="209">
        <v>0</v>
      </c>
      <c r="H214" s="209">
        <v>0</v>
      </c>
      <c r="I214" s="209">
        <v>0</v>
      </c>
      <c r="J214" s="209">
        <v>0</v>
      </c>
      <c r="K214" s="209">
        <v>101</v>
      </c>
    </row>
    <row r="215" spans="1:11">
      <c r="A215" s="208">
        <v>42646</v>
      </c>
      <c r="B215" s="209" t="s">
        <v>511</v>
      </c>
      <c r="C215" s="209">
        <v>7</v>
      </c>
      <c r="D215" s="272" t="s">
        <v>504</v>
      </c>
      <c r="E215" s="209">
        <v>0</v>
      </c>
      <c r="F215" s="209">
        <v>0</v>
      </c>
      <c r="G215" s="209">
        <v>0</v>
      </c>
      <c r="H215" s="209">
        <v>0</v>
      </c>
      <c r="I215" s="209">
        <v>0</v>
      </c>
      <c r="J215" s="209">
        <v>0</v>
      </c>
      <c r="K215" s="209">
        <v>335</v>
      </c>
    </row>
    <row r="216" spans="1:11">
      <c r="A216" s="208">
        <v>42646</v>
      </c>
      <c r="B216" s="209" t="s">
        <v>511</v>
      </c>
      <c r="C216" s="209">
        <v>8</v>
      </c>
      <c r="D216" s="272" t="s">
        <v>460</v>
      </c>
      <c r="E216" s="209">
        <v>0</v>
      </c>
      <c r="F216" s="209">
        <v>2</v>
      </c>
      <c r="G216" s="209">
        <v>2</v>
      </c>
      <c r="H216" s="209">
        <v>0</v>
      </c>
      <c r="I216" s="209">
        <v>1</v>
      </c>
      <c r="J216" s="209">
        <v>1</v>
      </c>
      <c r="K216" s="209">
        <v>368</v>
      </c>
    </row>
    <row r="217" spans="1:11">
      <c r="A217" s="208">
        <v>42646</v>
      </c>
      <c r="B217" s="209" t="s">
        <v>511</v>
      </c>
      <c r="C217" s="209">
        <v>9</v>
      </c>
      <c r="D217" s="272" t="s">
        <v>465</v>
      </c>
      <c r="E217" s="209">
        <v>3</v>
      </c>
      <c r="F217" s="209">
        <v>3</v>
      </c>
      <c r="G217" s="209">
        <v>3</v>
      </c>
      <c r="H217" s="209">
        <v>0</v>
      </c>
      <c r="I217" s="209">
        <v>0</v>
      </c>
      <c r="J217" s="209">
        <v>0</v>
      </c>
      <c r="K217" s="209">
        <v>591</v>
      </c>
    </row>
    <row r="218" spans="1:11">
      <c r="A218" s="208">
        <v>42646</v>
      </c>
      <c r="B218" s="209" t="s">
        <v>511</v>
      </c>
      <c r="C218" s="209">
        <v>10</v>
      </c>
      <c r="D218" s="272" t="s">
        <v>505</v>
      </c>
      <c r="E218" s="209">
        <v>0</v>
      </c>
      <c r="F218" s="209">
        <v>0</v>
      </c>
      <c r="G218" s="209">
        <v>0</v>
      </c>
      <c r="H218" s="209">
        <v>0</v>
      </c>
      <c r="I218" s="209">
        <v>0</v>
      </c>
      <c r="J218" s="209">
        <v>0</v>
      </c>
      <c r="K218" s="209">
        <v>446</v>
      </c>
    </row>
    <row r="219" spans="1:11">
      <c r="A219" s="208">
        <v>42646</v>
      </c>
      <c r="B219" s="209" t="s">
        <v>511</v>
      </c>
      <c r="C219" s="209">
        <v>11</v>
      </c>
      <c r="D219" s="272" t="s">
        <v>466</v>
      </c>
      <c r="E219" s="209">
        <v>1</v>
      </c>
      <c r="F219" s="209">
        <v>3</v>
      </c>
      <c r="G219" s="209">
        <v>3</v>
      </c>
      <c r="H219" s="209">
        <v>0</v>
      </c>
      <c r="I219" s="209">
        <v>1</v>
      </c>
      <c r="J219" s="209">
        <v>1</v>
      </c>
      <c r="K219" s="209">
        <v>518</v>
      </c>
    </row>
    <row r="220" spans="1:11">
      <c r="A220" s="208">
        <v>42646</v>
      </c>
      <c r="B220" s="209" t="s">
        <v>511</v>
      </c>
      <c r="C220" s="209">
        <v>12</v>
      </c>
      <c r="D220" s="272" t="s">
        <v>467</v>
      </c>
      <c r="E220" s="209">
        <v>0</v>
      </c>
      <c r="F220" s="209">
        <v>0</v>
      </c>
      <c r="G220" s="209">
        <v>0</v>
      </c>
      <c r="H220" s="209">
        <v>0</v>
      </c>
      <c r="I220" s="209">
        <v>0</v>
      </c>
      <c r="J220" s="209">
        <v>0</v>
      </c>
      <c r="K220" s="209">
        <v>244</v>
      </c>
    </row>
    <row r="221" spans="1:11">
      <c r="A221" s="208">
        <v>42646</v>
      </c>
      <c r="B221" s="209" t="s">
        <v>511</v>
      </c>
      <c r="C221" s="209">
        <v>13</v>
      </c>
      <c r="D221" s="272" t="s">
        <v>472</v>
      </c>
      <c r="E221" s="209">
        <v>0</v>
      </c>
      <c r="F221" s="209">
        <v>0</v>
      </c>
      <c r="G221" s="209">
        <v>0</v>
      </c>
      <c r="H221" s="209">
        <v>0</v>
      </c>
      <c r="I221" s="209">
        <v>0</v>
      </c>
      <c r="J221" s="209">
        <v>0</v>
      </c>
      <c r="K221" s="209">
        <v>1</v>
      </c>
    </row>
    <row r="222" spans="1:11">
      <c r="A222" s="208">
        <v>42646</v>
      </c>
      <c r="B222" s="209" t="s">
        <v>511</v>
      </c>
      <c r="C222" s="209">
        <v>14</v>
      </c>
      <c r="D222" s="272" t="s">
        <v>507</v>
      </c>
      <c r="E222" s="209">
        <v>0</v>
      </c>
      <c r="F222" s="209">
        <v>0</v>
      </c>
      <c r="G222" s="209">
        <v>0</v>
      </c>
      <c r="H222" s="209">
        <v>0</v>
      </c>
      <c r="I222" s="209">
        <v>0</v>
      </c>
      <c r="J222" s="209">
        <v>0</v>
      </c>
      <c r="K222" s="209">
        <v>2</v>
      </c>
    </row>
    <row r="223" spans="1:11">
      <c r="A223" s="208">
        <v>42646</v>
      </c>
      <c r="B223" s="209" t="s">
        <v>511</v>
      </c>
      <c r="C223" s="209">
        <v>15</v>
      </c>
      <c r="D223" s="272" t="s">
        <v>479</v>
      </c>
      <c r="E223" s="209">
        <v>0</v>
      </c>
      <c r="F223" s="209">
        <v>0</v>
      </c>
      <c r="G223" s="209">
        <v>0</v>
      </c>
      <c r="H223" s="209">
        <v>0</v>
      </c>
      <c r="I223" s="209">
        <v>0</v>
      </c>
      <c r="J223" s="209">
        <v>0</v>
      </c>
      <c r="K223" s="209">
        <v>15</v>
      </c>
    </row>
    <row r="224" spans="1:11">
      <c r="A224" s="208">
        <v>42646</v>
      </c>
      <c r="B224" s="209" t="s">
        <v>511</v>
      </c>
      <c r="C224" s="209">
        <v>16</v>
      </c>
      <c r="D224" s="272" t="s">
        <v>508</v>
      </c>
      <c r="E224" s="209">
        <v>1</v>
      </c>
      <c r="F224" s="209">
        <v>1</v>
      </c>
      <c r="G224" s="209">
        <v>1</v>
      </c>
      <c r="H224" s="209">
        <v>0</v>
      </c>
      <c r="I224" s="209">
        <v>0</v>
      </c>
      <c r="J224" s="209">
        <v>0</v>
      </c>
      <c r="K224" s="209">
        <v>121</v>
      </c>
    </row>
    <row r="225" spans="1:11">
      <c r="A225" s="208">
        <v>42646</v>
      </c>
      <c r="B225" s="209" t="s">
        <v>511</v>
      </c>
      <c r="C225" s="209">
        <v>17</v>
      </c>
      <c r="D225" s="272" t="s">
        <v>468</v>
      </c>
      <c r="E225" s="209">
        <v>0</v>
      </c>
      <c r="F225" s="209">
        <v>0</v>
      </c>
      <c r="G225" s="209">
        <v>0</v>
      </c>
      <c r="H225" s="209">
        <v>0</v>
      </c>
      <c r="I225" s="209">
        <v>0</v>
      </c>
      <c r="J225" s="209">
        <v>0</v>
      </c>
      <c r="K225" s="209">
        <v>37</v>
      </c>
    </row>
    <row r="226" spans="1:11">
      <c r="A226" s="208">
        <v>42646</v>
      </c>
      <c r="B226" s="209" t="s">
        <v>511</v>
      </c>
      <c r="C226" s="209">
        <v>18</v>
      </c>
      <c r="D226" s="272" t="s">
        <v>489</v>
      </c>
      <c r="E226" s="209">
        <v>0</v>
      </c>
      <c r="F226" s="209">
        <v>0</v>
      </c>
      <c r="G226" s="209">
        <v>0</v>
      </c>
      <c r="H226" s="209">
        <v>0</v>
      </c>
      <c r="I226" s="209">
        <v>0</v>
      </c>
      <c r="J226" s="209">
        <v>0</v>
      </c>
      <c r="K226" s="209">
        <v>147</v>
      </c>
    </row>
    <row r="227" spans="1:11">
      <c r="A227" s="208">
        <v>42646</v>
      </c>
      <c r="B227" s="209" t="s">
        <v>511</v>
      </c>
      <c r="C227" s="209">
        <v>19</v>
      </c>
      <c r="D227" s="272" t="s">
        <v>469</v>
      </c>
      <c r="E227" s="209">
        <v>0</v>
      </c>
      <c r="F227" s="209">
        <v>0</v>
      </c>
      <c r="G227" s="209">
        <v>0</v>
      </c>
      <c r="H227" s="209">
        <v>0</v>
      </c>
      <c r="I227" s="209">
        <v>0</v>
      </c>
      <c r="J227" s="209">
        <v>0</v>
      </c>
      <c r="K227" s="209">
        <v>487</v>
      </c>
    </row>
    <row r="228" spans="1:11">
      <c r="A228" s="208">
        <v>42646</v>
      </c>
      <c r="B228" s="209" t="s">
        <v>511</v>
      </c>
      <c r="C228" s="209">
        <v>20</v>
      </c>
      <c r="D228" s="272" t="s">
        <v>470</v>
      </c>
      <c r="E228" s="209">
        <v>0</v>
      </c>
      <c r="F228" s="209">
        <v>0</v>
      </c>
      <c r="G228" s="209">
        <v>0</v>
      </c>
      <c r="H228" s="209">
        <v>0</v>
      </c>
      <c r="I228" s="209">
        <v>0</v>
      </c>
      <c r="J228" s="209">
        <v>0</v>
      </c>
      <c r="K228" s="209">
        <v>181</v>
      </c>
    </row>
    <row r="229" spans="1:11">
      <c r="A229" s="208">
        <v>42646</v>
      </c>
      <c r="B229" s="209" t="s">
        <v>511</v>
      </c>
      <c r="C229" s="209">
        <v>21</v>
      </c>
      <c r="D229" s="272" t="s">
        <v>471</v>
      </c>
      <c r="E229" s="209">
        <v>0</v>
      </c>
      <c r="F229" s="209">
        <v>0</v>
      </c>
      <c r="G229" s="209">
        <v>0</v>
      </c>
      <c r="H229" s="209">
        <v>0</v>
      </c>
      <c r="I229" s="209">
        <v>0</v>
      </c>
      <c r="J229" s="209">
        <v>0</v>
      </c>
      <c r="K229" s="209">
        <v>30</v>
      </c>
    </row>
    <row r="230" spans="1:11">
      <c r="A230" s="208">
        <v>42646</v>
      </c>
      <c r="B230" s="209" t="s">
        <v>511</v>
      </c>
      <c r="C230" s="209">
        <v>22</v>
      </c>
      <c r="D230" s="272" t="s">
        <v>510</v>
      </c>
      <c r="E230" s="209">
        <v>0</v>
      </c>
      <c r="F230" s="209">
        <v>0</v>
      </c>
      <c r="G230" s="209">
        <v>0</v>
      </c>
      <c r="H230" s="209">
        <v>0</v>
      </c>
      <c r="I230" s="209">
        <v>0</v>
      </c>
      <c r="J230" s="209">
        <v>0</v>
      </c>
      <c r="K230" s="209">
        <v>16</v>
      </c>
    </row>
    <row r="231" spans="1:11">
      <c r="A231" s="208">
        <v>42647</v>
      </c>
      <c r="B231" s="209" t="s">
        <v>511</v>
      </c>
      <c r="C231" s="209">
        <v>1</v>
      </c>
      <c r="D231" s="272" t="s">
        <v>504</v>
      </c>
      <c r="E231" s="209">
        <v>1</v>
      </c>
      <c r="F231" s="209">
        <v>2</v>
      </c>
      <c r="G231" s="209">
        <v>2</v>
      </c>
      <c r="H231" s="209">
        <v>1</v>
      </c>
      <c r="I231" s="209">
        <v>1</v>
      </c>
      <c r="J231" s="209">
        <v>1</v>
      </c>
      <c r="K231" s="209">
        <v>525</v>
      </c>
    </row>
    <row r="232" spans="1:11">
      <c r="A232" s="208">
        <v>42647</v>
      </c>
      <c r="B232" s="209" t="s">
        <v>511</v>
      </c>
      <c r="C232" s="209">
        <v>2</v>
      </c>
      <c r="D232" s="272" t="s">
        <v>467</v>
      </c>
      <c r="E232" s="209">
        <v>1</v>
      </c>
      <c r="F232" s="209">
        <v>1</v>
      </c>
      <c r="G232" s="209">
        <v>1</v>
      </c>
      <c r="H232" s="209">
        <v>1</v>
      </c>
      <c r="I232" s="209">
        <v>1</v>
      </c>
      <c r="J232" s="209">
        <v>1</v>
      </c>
      <c r="K232" s="209">
        <v>325</v>
      </c>
    </row>
    <row r="233" spans="1:11">
      <c r="A233" s="208">
        <v>42647</v>
      </c>
      <c r="B233" s="209" t="s">
        <v>511</v>
      </c>
      <c r="C233" s="209">
        <v>3</v>
      </c>
      <c r="D233" s="272" t="s">
        <v>484</v>
      </c>
      <c r="E233" s="209">
        <v>0</v>
      </c>
      <c r="F233" s="209">
        <v>0</v>
      </c>
      <c r="G233" s="209">
        <v>0</v>
      </c>
      <c r="H233" s="209">
        <v>0</v>
      </c>
      <c r="I233" s="209">
        <v>0</v>
      </c>
      <c r="J233" s="209">
        <v>0</v>
      </c>
      <c r="K233" s="209">
        <v>75</v>
      </c>
    </row>
    <row r="234" spans="1:11">
      <c r="A234" s="208">
        <v>42647</v>
      </c>
      <c r="B234" s="209" t="s">
        <v>511</v>
      </c>
      <c r="C234" s="209">
        <v>4</v>
      </c>
      <c r="D234" s="272" t="s">
        <v>487</v>
      </c>
      <c r="E234" s="209">
        <v>0</v>
      </c>
      <c r="F234" s="209">
        <v>2</v>
      </c>
      <c r="G234" s="209">
        <v>2</v>
      </c>
      <c r="H234" s="209">
        <v>0</v>
      </c>
      <c r="I234" s="209">
        <v>2</v>
      </c>
      <c r="J234" s="209">
        <v>2</v>
      </c>
      <c r="K234" s="209">
        <v>283</v>
      </c>
    </row>
    <row r="235" spans="1:11">
      <c r="A235" s="208">
        <v>42647</v>
      </c>
      <c r="B235" s="209" t="s">
        <v>511</v>
      </c>
      <c r="C235" s="209">
        <v>5</v>
      </c>
      <c r="D235" s="272" t="s">
        <v>462</v>
      </c>
      <c r="E235" s="209">
        <v>0</v>
      </c>
      <c r="F235" s="209">
        <v>0</v>
      </c>
      <c r="G235" s="209">
        <v>0</v>
      </c>
      <c r="H235" s="209">
        <v>0</v>
      </c>
      <c r="I235" s="209">
        <v>0</v>
      </c>
      <c r="J235" s="209">
        <v>0</v>
      </c>
      <c r="K235" s="209">
        <v>286</v>
      </c>
    </row>
    <row r="236" spans="1:11">
      <c r="A236" s="208">
        <v>42647</v>
      </c>
      <c r="B236" s="209" t="s">
        <v>511</v>
      </c>
      <c r="C236" s="209">
        <v>6</v>
      </c>
      <c r="D236" s="272" t="s">
        <v>463</v>
      </c>
      <c r="E236" s="209">
        <v>0</v>
      </c>
      <c r="F236" s="209">
        <v>2</v>
      </c>
      <c r="G236" s="209">
        <v>2</v>
      </c>
      <c r="H236" s="209">
        <v>0</v>
      </c>
      <c r="I236" s="209">
        <v>1</v>
      </c>
      <c r="J236" s="209">
        <v>1</v>
      </c>
      <c r="K236" s="209">
        <v>1571</v>
      </c>
    </row>
    <row r="237" spans="1:11">
      <c r="A237" s="208">
        <v>42647</v>
      </c>
      <c r="B237" s="209" t="s">
        <v>511</v>
      </c>
      <c r="C237" s="209">
        <v>7</v>
      </c>
      <c r="D237" s="272" t="s">
        <v>464</v>
      </c>
      <c r="E237" s="209">
        <v>0</v>
      </c>
      <c r="F237" s="209">
        <v>0</v>
      </c>
      <c r="G237" s="209">
        <v>0</v>
      </c>
      <c r="H237" s="209">
        <v>0</v>
      </c>
      <c r="I237" s="209">
        <v>0</v>
      </c>
      <c r="J237" s="209">
        <v>0</v>
      </c>
      <c r="K237" s="209">
        <v>130</v>
      </c>
    </row>
    <row r="238" spans="1:11">
      <c r="A238" s="208">
        <v>42647</v>
      </c>
      <c r="B238" s="209" t="s">
        <v>511</v>
      </c>
      <c r="C238" s="209">
        <v>8</v>
      </c>
      <c r="D238" s="272" t="s">
        <v>490</v>
      </c>
      <c r="E238" s="209">
        <v>0</v>
      </c>
      <c r="F238" s="209">
        <v>0</v>
      </c>
      <c r="G238" s="209">
        <v>0</v>
      </c>
      <c r="H238" s="209">
        <v>0</v>
      </c>
      <c r="I238" s="209">
        <v>0</v>
      </c>
      <c r="J238" s="209">
        <v>0</v>
      </c>
      <c r="K238" s="209">
        <v>1</v>
      </c>
    </row>
    <row r="239" spans="1:11">
      <c r="A239" s="208">
        <v>42647</v>
      </c>
      <c r="B239" s="209" t="s">
        <v>511</v>
      </c>
      <c r="C239" s="209">
        <v>9</v>
      </c>
      <c r="D239" s="272" t="s">
        <v>460</v>
      </c>
      <c r="E239" s="209">
        <v>0</v>
      </c>
      <c r="F239" s="209">
        <v>3</v>
      </c>
      <c r="G239" s="209">
        <v>3</v>
      </c>
      <c r="H239" s="209">
        <v>0</v>
      </c>
      <c r="I239" s="209">
        <v>1</v>
      </c>
      <c r="J239" s="209">
        <v>1</v>
      </c>
      <c r="K239" s="209">
        <v>488</v>
      </c>
    </row>
    <row r="240" spans="1:11">
      <c r="A240" s="208">
        <v>42647</v>
      </c>
      <c r="B240" s="209" t="s">
        <v>511</v>
      </c>
      <c r="C240" s="209">
        <v>10</v>
      </c>
      <c r="D240" s="272" t="s">
        <v>465</v>
      </c>
      <c r="E240" s="209">
        <v>3</v>
      </c>
      <c r="F240" s="209">
        <v>7</v>
      </c>
      <c r="G240" s="209">
        <v>7</v>
      </c>
      <c r="H240" s="209">
        <v>0</v>
      </c>
      <c r="I240" s="209">
        <v>0</v>
      </c>
      <c r="J240" s="209">
        <v>0</v>
      </c>
      <c r="K240" s="209">
        <v>748</v>
      </c>
    </row>
    <row r="241" spans="1:11">
      <c r="A241" s="208">
        <v>42647</v>
      </c>
      <c r="B241" s="209" t="s">
        <v>511</v>
      </c>
      <c r="C241" s="209">
        <v>11</v>
      </c>
      <c r="D241" s="272" t="s">
        <v>465</v>
      </c>
      <c r="E241" s="209">
        <v>3</v>
      </c>
      <c r="F241" s="209">
        <v>7</v>
      </c>
      <c r="G241" s="209">
        <v>7</v>
      </c>
      <c r="H241" s="209">
        <v>0</v>
      </c>
      <c r="I241" s="209">
        <v>0</v>
      </c>
      <c r="J241" s="209">
        <v>0</v>
      </c>
      <c r="K241" s="209">
        <v>748</v>
      </c>
    </row>
    <row r="242" spans="1:11">
      <c r="A242" s="208">
        <v>42647</v>
      </c>
      <c r="B242" s="209" t="s">
        <v>511</v>
      </c>
      <c r="C242" s="209">
        <v>12</v>
      </c>
      <c r="D242" s="272" t="s">
        <v>505</v>
      </c>
      <c r="E242" s="209">
        <v>0</v>
      </c>
      <c r="F242" s="209">
        <v>0</v>
      </c>
      <c r="G242" s="209">
        <v>0</v>
      </c>
      <c r="H242" s="209">
        <v>0</v>
      </c>
      <c r="I242" s="209">
        <v>0</v>
      </c>
      <c r="J242" s="209">
        <v>0</v>
      </c>
      <c r="K242" s="209">
        <v>580</v>
      </c>
    </row>
    <row r="243" spans="1:11">
      <c r="A243" s="208">
        <v>42647</v>
      </c>
      <c r="B243" s="209" t="s">
        <v>511</v>
      </c>
      <c r="C243" s="209">
        <v>13</v>
      </c>
      <c r="D243" s="272" t="s">
        <v>466</v>
      </c>
      <c r="E243" s="209">
        <v>1</v>
      </c>
      <c r="F243" s="209">
        <v>4</v>
      </c>
      <c r="G243" s="209">
        <v>4</v>
      </c>
      <c r="H243" s="209">
        <v>0</v>
      </c>
      <c r="I243" s="209">
        <v>1</v>
      </c>
      <c r="J243" s="209">
        <v>1</v>
      </c>
      <c r="K243" s="209">
        <v>728</v>
      </c>
    </row>
    <row r="244" spans="1:11">
      <c r="A244" s="208">
        <v>42647</v>
      </c>
      <c r="B244" s="209" t="s">
        <v>511</v>
      </c>
      <c r="C244" s="209">
        <v>14</v>
      </c>
      <c r="D244" s="272" t="s">
        <v>472</v>
      </c>
      <c r="E244" s="209">
        <v>0</v>
      </c>
      <c r="F244" s="209">
        <v>0</v>
      </c>
      <c r="G244" s="209">
        <v>0</v>
      </c>
      <c r="H244" s="209">
        <v>0</v>
      </c>
      <c r="I244" s="209">
        <v>0</v>
      </c>
      <c r="J244" s="209">
        <v>0</v>
      </c>
      <c r="K244" s="209">
        <v>1</v>
      </c>
    </row>
    <row r="245" spans="1:11">
      <c r="A245" s="208">
        <v>42647</v>
      </c>
      <c r="B245" s="209" t="s">
        <v>511</v>
      </c>
      <c r="C245" s="209">
        <v>15</v>
      </c>
      <c r="D245" s="272" t="s">
        <v>507</v>
      </c>
      <c r="E245" s="209">
        <v>0</v>
      </c>
      <c r="F245" s="209">
        <v>0</v>
      </c>
      <c r="G245" s="209">
        <v>0</v>
      </c>
      <c r="H245" s="209">
        <v>0</v>
      </c>
      <c r="I245" s="209">
        <v>0</v>
      </c>
      <c r="J245" s="209">
        <v>0</v>
      </c>
      <c r="K245" s="209">
        <v>2</v>
      </c>
    </row>
    <row r="246" spans="1:11">
      <c r="A246" s="208">
        <v>42647</v>
      </c>
      <c r="B246" s="209" t="s">
        <v>511</v>
      </c>
      <c r="C246" s="209">
        <v>16</v>
      </c>
      <c r="D246" s="272" t="s">
        <v>479</v>
      </c>
      <c r="E246" s="209">
        <v>0</v>
      </c>
      <c r="F246" s="209">
        <v>0</v>
      </c>
      <c r="G246" s="209">
        <v>0</v>
      </c>
      <c r="H246" s="209">
        <v>0</v>
      </c>
      <c r="I246" s="209">
        <v>0</v>
      </c>
      <c r="J246" s="209">
        <v>0</v>
      </c>
      <c r="K246" s="209">
        <v>97</v>
      </c>
    </row>
    <row r="247" spans="1:11">
      <c r="A247" s="208">
        <v>42647</v>
      </c>
      <c r="B247" s="209" t="s">
        <v>511</v>
      </c>
      <c r="C247" s="209">
        <v>17</v>
      </c>
      <c r="D247" s="272" t="s">
        <v>480</v>
      </c>
      <c r="E247" s="209">
        <v>0</v>
      </c>
      <c r="F247" s="209">
        <v>0</v>
      </c>
      <c r="G247" s="209">
        <v>0</v>
      </c>
      <c r="H247" s="209">
        <v>0</v>
      </c>
      <c r="I247" s="209">
        <v>0</v>
      </c>
      <c r="J247" s="209">
        <v>0</v>
      </c>
      <c r="K247" s="209">
        <v>28</v>
      </c>
    </row>
    <row r="248" spans="1:11">
      <c r="A248" s="208">
        <v>42647</v>
      </c>
      <c r="B248" s="209" t="s">
        <v>511</v>
      </c>
      <c r="C248" s="209">
        <v>18</v>
      </c>
      <c r="D248" s="272" t="s">
        <v>508</v>
      </c>
      <c r="E248" s="209">
        <v>1</v>
      </c>
      <c r="F248" s="209">
        <v>2</v>
      </c>
      <c r="G248" s="209">
        <v>2</v>
      </c>
      <c r="H248" s="209">
        <v>0</v>
      </c>
      <c r="I248" s="209">
        <v>1</v>
      </c>
      <c r="J248" s="209">
        <v>1</v>
      </c>
      <c r="K248" s="209">
        <v>154</v>
      </c>
    </row>
    <row r="249" spans="1:11">
      <c r="A249" s="208">
        <v>42647</v>
      </c>
      <c r="B249" s="209" t="s">
        <v>511</v>
      </c>
      <c r="C249" s="209">
        <v>19</v>
      </c>
      <c r="D249" s="272" t="s">
        <v>468</v>
      </c>
      <c r="E249" s="209">
        <v>0</v>
      </c>
      <c r="F249" s="209">
        <v>0</v>
      </c>
      <c r="G249" s="209">
        <v>0</v>
      </c>
      <c r="H249" s="209">
        <v>0</v>
      </c>
      <c r="I249" s="209">
        <v>0</v>
      </c>
      <c r="J249" s="209">
        <v>0</v>
      </c>
      <c r="K249" s="209">
        <v>50</v>
      </c>
    </row>
    <row r="250" spans="1:11">
      <c r="A250" s="208">
        <v>42647</v>
      </c>
      <c r="B250" s="209" t="s">
        <v>511</v>
      </c>
      <c r="C250" s="209">
        <v>20</v>
      </c>
      <c r="D250" s="272" t="s">
        <v>489</v>
      </c>
      <c r="E250" s="209">
        <v>0</v>
      </c>
      <c r="F250" s="209">
        <v>0</v>
      </c>
      <c r="G250" s="209">
        <v>0</v>
      </c>
      <c r="H250" s="209">
        <v>0</v>
      </c>
      <c r="I250" s="209">
        <v>0</v>
      </c>
      <c r="J250" s="209">
        <v>0</v>
      </c>
      <c r="K250" s="209">
        <v>181</v>
      </c>
    </row>
    <row r="251" spans="1:11">
      <c r="A251" s="208">
        <v>42647</v>
      </c>
      <c r="B251" s="209" t="s">
        <v>511</v>
      </c>
      <c r="C251" s="209">
        <v>21</v>
      </c>
      <c r="D251" s="272" t="s">
        <v>469</v>
      </c>
      <c r="E251" s="209">
        <v>0</v>
      </c>
      <c r="F251" s="209">
        <v>0</v>
      </c>
      <c r="G251" s="209">
        <v>0</v>
      </c>
      <c r="H251" s="209">
        <v>0</v>
      </c>
      <c r="I251" s="209">
        <v>0</v>
      </c>
      <c r="J251" s="209">
        <v>0</v>
      </c>
      <c r="K251" s="209">
        <v>608</v>
      </c>
    </row>
    <row r="252" spans="1:11">
      <c r="A252" s="208">
        <v>42647</v>
      </c>
      <c r="B252" s="209" t="s">
        <v>511</v>
      </c>
      <c r="C252" s="209">
        <v>22</v>
      </c>
      <c r="D252" s="272" t="s">
        <v>470</v>
      </c>
      <c r="E252" s="209">
        <v>0</v>
      </c>
      <c r="F252" s="209">
        <v>0</v>
      </c>
      <c r="G252" s="209">
        <v>0</v>
      </c>
      <c r="H252" s="209">
        <v>0</v>
      </c>
      <c r="I252" s="209">
        <v>0</v>
      </c>
      <c r="J252" s="209">
        <v>0</v>
      </c>
      <c r="K252" s="209">
        <v>229</v>
      </c>
    </row>
    <row r="253" spans="1:11">
      <c r="A253" s="208">
        <v>42647</v>
      </c>
      <c r="B253" s="209" t="s">
        <v>511</v>
      </c>
      <c r="C253" s="209">
        <v>23</v>
      </c>
      <c r="D253" s="272" t="s">
        <v>471</v>
      </c>
      <c r="E253" s="209">
        <v>0</v>
      </c>
      <c r="F253" s="209">
        <v>1</v>
      </c>
      <c r="G253" s="209">
        <v>1</v>
      </c>
      <c r="H253" s="209">
        <v>0</v>
      </c>
      <c r="I253" s="209">
        <v>0</v>
      </c>
      <c r="J253" s="209">
        <v>0</v>
      </c>
      <c r="K253" s="209">
        <v>40</v>
      </c>
    </row>
    <row r="254" spans="1:11">
      <c r="A254" s="208">
        <v>42647</v>
      </c>
      <c r="B254" s="209" t="s">
        <v>511</v>
      </c>
      <c r="C254" s="209">
        <v>24</v>
      </c>
      <c r="D254" s="272" t="s">
        <v>510</v>
      </c>
      <c r="E254" s="209">
        <v>0</v>
      </c>
      <c r="F254" s="209">
        <v>0</v>
      </c>
      <c r="G254" s="209">
        <v>0</v>
      </c>
      <c r="H254" s="209">
        <v>0</v>
      </c>
      <c r="I254" s="209">
        <v>0</v>
      </c>
      <c r="J254" s="209">
        <v>0</v>
      </c>
      <c r="K254" s="209">
        <v>54</v>
      </c>
    </row>
    <row r="255" spans="1:11">
      <c r="A255" s="208">
        <v>42648</v>
      </c>
      <c r="B255" s="209" t="s">
        <v>511</v>
      </c>
      <c r="C255" s="209">
        <v>1</v>
      </c>
      <c r="D255" s="272" t="s">
        <v>487</v>
      </c>
      <c r="E255" s="209">
        <v>1</v>
      </c>
      <c r="F255" s="209">
        <v>3</v>
      </c>
      <c r="G255" s="209">
        <v>3</v>
      </c>
      <c r="H255" s="209">
        <v>1</v>
      </c>
      <c r="I255" s="209">
        <v>3</v>
      </c>
      <c r="J255" s="209">
        <v>3</v>
      </c>
      <c r="K255" s="209">
        <v>343</v>
      </c>
    </row>
    <row r="256" spans="1:11">
      <c r="A256" s="208">
        <v>42648</v>
      </c>
      <c r="B256" s="209" t="s">
        <v>511</v>
      </c>
      <c r="C256" s="209">
        <v>2</v>
      </c>
      <c r="D256" s="272" t="s">
        <v>466</v>
      </c>
      <c r="E256" s="209">
        <v>3</v>
      </c>
      <c r="F256" s="209">
        <v>8</v>
      </c>
      <c r="G256" s="209">
        <v>8</v>
      </c>
      <c r="H256" s="209">
        <v>1</v>
      </c>
      <c r="I256" s="209">
        <v>2</v>
      </c>
      <c r="J256" s="209">
        <v>2</v>
      </c>
      <c r="K256" s="209">
        <v>861</v>
      </c>
    </row>
    <row r="257" spans="1:11">
      <c r="A257" s="208">
        <v>42648</v>
      </c>
      <c r="B257" s="209" t="s">
        <v>511</v>
      </c>
      <c r="C257" s="209">
        <v>3</v>
      </c>
      <c r="D257" s="272" t="s">
        <v>505</v>
      </c>
      <c r="E257" s="209">
        <v>1</v>
      </c>
      <c r="F257" s="209">
        <v>2</v>
      </c>
      <c r="G257" s="209">
        <v>2</v>
      </c>
      <c r="H257" s="209">
        <v>1</v>
      </c>
      <c r="I257" s="209">
        <v>1</v>
      </c>
      <c r="J257" s="209">
        <v>1</v>
      </c>
      <c r="K257" s="209">
        <v>656</v>
      </c>
    </row>
    <row r="258" spans="1:11">
      <c r="A258" s="208">
        <v>42648</v>
      </c>
      <c r="B258" s="209" t="s">
        <v>511</v>
      </c>
      <c r="C258" s="209">
        <v>4</v>
      </c>
      <c r="D258" s="272" t="s">
        <v>484</v>
      </c>
      <c r="E258" s="209">
        <v>0</v>
      </c>
      <c r="F258" s="209">
        <v>0</v>
      </c>
      <c r="G258" s="209">
        <v>0</v>
      </c>
      <c r="H258" s="209">
        <v>0</v>
      </c>
      <c r="I258" s="209">
        <v>0</v>
      </c>
      <c r="J258" s="209">
        <v>0</v>
      </c>
      <c r="K258" s="209">
        <v>91</v>
      </c>
    </row>
    <row r="259" spans="1:11">
      <c r="A259" s="208">
        <v>42648</v>
      </c>
      <c r="B259" s="209" t="s">
        <v>511</v>
      </c>
      <c r="C259" s="209">
        <v>5</v>
      </c>
      <c r="D259" s="272" t="s">
        <v>463</v>
      </c>
      <c r="E259" s="209">
        <v>0</v>
      </c>
      <c r="F259" s="209">
        <v>2</v>
      </c>
      <c r="G259" s="209">
        <v>2</v>
      </c>
      <c r="H259" s="209">
        <v>0</v>
      </c>
      <c r="I259" s="209">
        <v>1</v>
      </c>
      <c r="J259" s="209">
        <v>1</v>
      </c>
      <c r="K259" s="209">
        <v>1866</v>
      </c>
    </row>
    <row r="260" spans="1:11">
      <c r="A260" s="208">
        <v>42648</v>
      </c>
      <c r="B260" s="209" t="s">
        <v>511</v>
      </c>
      <c r="C260" s="209">
        <v>6</v>
      </c>
      <c r="D260" s="272" t="s">
        <v>464</v>
      </c>
      <c r="E260" s="209">
        <v>0</v>
      </c>
      <c r="F260" s="209">
        <v>0</v>
      </c>
      <c r="G260" s="209">
        <v>0</v>
      </c>
      <c r="H260" s="209">
        <v>0</v>
      </c>
      <c r="I260" s="209">
        <v>0</v>
      </c>
      <c r="J260" s="209">
        <v>0</v>
      </c>
      <c r="K260" s="209">
        <v>155</v>
      </c>
    </row>
    <row r="261" spans="1:11">
      <c r="A261" s="208">
        <v>42648</v>
      </c>
      <c r="B261" s="209" t="s">
        <v>511</v>
      </c>
      <c r="C261" s="209">
        <v>7</v>
      </c>
      <c r="D261" s="272" t="s">
        <v>504</v>
      </c>
      <c r="E261" s="209">
        <v>1</v>
      </c>
      <c r="F261" s="209">
        <v>4</v>
      </c>
      <c r="G261" s="209">
        <v>4</v>
      </c>
      <c r="H261" s="209">
        <v>0</v>
      </c>
      <c r="I261" s="209">
        <v>2</v>
      </c>
      <c r="J261" s="209">
        <v>2</v>
      </c>
      <c r="K261" s="209">
        <v>689</v>
      </c>
    </row>
    <row r="262" spans="1:11">
      <c r="A262" s="208">
        <v>42648</v>
      </c>
      <c r="B262" s="209" t="s">
        <v>511</v>
      </c>
      <c r="C262" s="209">
        <v>8</v>
      </c>
      <c r="D262" s="272" t="s">
        <v>490</v>
      </c>
      <c r="E262" s="209">
        <v>0</v>
      </c>
      <c r="F262" s="209">
        <v>0</v>
      </c>
      <c r="G262" s="209">
        <v>0</v>
      </c>
      <c r="H262" s="209">
        <v>0</v>
      </c>
      <c r="I262" s="209">
        <v>0</v>
      </c>
      <c r="J262" s="209">
        <v>0</v>
      </c>
      <c r="K262" s="209">
        <v>1</v>
      </c>
    </row>
    <row r="263" spans="1:11">
      <c r="A263" s="208">
        <v>42648</v>
      </c>
      <c r="B263" s="209" t="s">
        <v>511</v>
      </c>
      <c r="C263" s="209">
        <v>9</v>
      </c>
      <c r="D263" s="272" t="s">
        <v>460</v>
      </c>
      <c r="E263" s="209">
        <v>0</v>
      </c>
      <c r="F263" s="209">
        <v>3</v>
      </c>
      <c r="G263" s="209">
        <v>3</v>
      </c>
      <c r="H263" s="209">
        <v>0</v>
      </c>
      <c r="I263" s="209">
        <v>1</v>
      </c>
      <c r="J263" s="209">
        <v>1</v>
      </c>
      <c r="K263" s="209">
        <v>583</v>
      </c>
    </row>
    <row r="264" spans="1:11">
      <c r="A264" s="208">
        <v>42648</v>
      </c>
      <c r="B264" s="209" t="s">
        <v>511</v>
      </c>
      <c r="C264" s="209">
        <v>10</v>
      </c>
      <c r="D264" s="272" t="s">
        <v>465</v>
      </c>
      <c r="E264" s="209">
        <v>0</v>
      </c>
      <c r="F264" s="209">
        <v>7</v>
      </c>
      <c r="G264" s="209">
        <v>7</v>
      </c>
      <c r="H264" s="209">
        <v>0</v>
      </c>
      <c r="I264" s="209">
        <v>0</v>
      </c>
      <c r="J264" s="209">
        <v>0</v>
      </c>
      <c r="K264" s="209">
        <v>847</v>
      </c>
    </row>
    <row r="265" spans="1:11">
      <c r="A265" s="208">
        <v>42648</v>
      </c>
      <c r="B265" s="209" t="s">
        <v>511</v>
      </c>
      <c r="C265" s="209">
        <v>11</v>
      </c>
      <c r="D265" s="272" t="s">
        <v>460</v>
      </c>
      <c r="E265" s="209">
        <v>0</v>
      </c>
      <c r="F265" s="209">
        <v>3</v>
      </c>
      <c r="G265" s="209">
        <v>3</v>
      </c>
      <c r="H265" s="209">
        <v>0</v>
      </c>
      <c r="I265" s="209">
        <v>1</v>
      </c>
      <c r="J265" s="209">
        <v>1</v>
      </c>
      <c r="K265" s="209">
        <v>583</v>
      </c>
    </row>
    <row r="266" spans="1:11">
      <c r="A266" s="208">
        <v>42648</v>
      </c>
      <c r="B266" s="209" t="s">
        <v>511</v>
      </c>
      <c r="C266" s="209">
        <v>12</v>
      </c>
      <c r="D266" s="272" t="s">
        <v>465</v>
      </c>
      <c r="E266" s="209">
        <v>0</v>
      </c>
      <c r="F266" s="209">
        <v>7</v>
      </c>
      <c r="G266" s="209">
        <v>7</v>
      </c>
      <c r="H266" s="209">
        <v>0</v>
      </c>
      <c r="I266" s="209">
        <v>0</v>
      </c>
      <c r="J266" s="209">
        <v>0</v>
      </c>
      <c r="K266" s="209">
        <v>847</v>
      </c>
    </row>
    <row r="267" spans="1:11">
      <c r="A267" s="208">
        <v>42648</v>
      </c>
      <c r="B267" s="209" t="s">
        <v>511</v>
      </c>
      <c r="C267" s="209">
        <v>13</v>
      </c>
      <c r="D267" s="272" t="s">
        <v>467</v>
      </c>
      <c r="E267" s="209">
        <v>0</v>
      </c>
      <c r="F267" s="209">
        <v>1</v>
      </c>
      <c r="G267" s="209">
        <v>1</v>
      </c>
      <c r="H267" s="209">
        <v>0</v>
      </c>
      <c r="I267" s="209">
        <v>1</v>
      </c>
      <c r="J267" s="209">
        <v>1</v>
      </c>
      <c r="K267" s="209">
        <v>389</v>
      </c>
    </row>
    <row r="268" spans="1:11">
      <c r="A268" s="208">
        <v>42648</v>
      </c>
      <c r="B268" s="209" t="s">
        <v>511</v>
      </c>
      <c r="C268" s="209">
        <v>14</v>
      </c>
      <c r="D268" s="272" t="s">
        <v>472</v>
      </c>
      <c r="E268" s="209">
        <v>0</v>
      </c>
      <c r="F268" s="209">
        <v>0</v>
      </c>
      <c r="G268" s="209">
        <v>0</v>
      </c>
      <c r="H268" s="209">
        <v>0</v>
      </c>
      <c r="I268" s="209">
        <v>0</v>
      </c>
      <c r="J268" s="209">
        <v>0</v>
      </c>
      <c r="K268" s="209">
        <v>1</v>
      </c>
    </row>
    <row r="269" spans="1:11">
      <c r="A269" s="208">
        <v>42648</v>
      </c>
      <c r="B269" s="209" t="s">
        <v>511</v>
      </c>
      <c r="C269" s="209">
        <v>15</v>
      </c>
      <c r="D269" s="272" t="s">
        <v>507</v>
      </c>
      <c r="E269" s="209">
        <v>0</v>
      </c>
      <c r="F269" s="209">
        <v>0</v>
      </c>
      <c r="G269" s="209">
        <v>0</v>
      </c>
      <c r="H269" s="209">
        <v>0</v>
      </c>
      <c r="I269" s="209">
        <v>0</v>
      </c>
      <c r="J269" s="209">
        <v>0</v>
      </c>
      <c r="K269" s="209">
        <v>2</v>
      </c>
    </row>
    <row r="270" spans="1:11">
      <c r="A270" s="208">
        <v>42648</v>
      </c>
      <c r="B270" s="209" t="s">
        <v>511</v>
      </c>
      <c r="C270" s="209">
        <v>16</v>
      </c>
      <c r="D270" s="272" t="s">
        <v>479</v>
      </c>
      <c r="E270" s="209">
        <v>0</v>
      </c>
      <c r="F270" s="209">
        <v>0</v>
      </c>
      <c r="G270" s="209">
        <v>0</v>
      </c>
      <c r="H270" s="209">
        <v>0</v>
      </c>
      <c r="I270" s="209">
        <v>0</v>
      </c>
      <c r="J270" s="209">
        <v>0</v>
      </c>
      <c r="K270" s="209">
        <v>166</v>
      </c>
    </row>
    <row r="271" spans="1:11">
      <c r="A271" s="208">
        <v>42648</v>
      </c>
      <c r="B271" s="209" t="s">
        <v>511</v>
      </c>
      <c r="C271" s="209">
        <v>17</v>
      </c>
      <c r="D271" s="272" t="s">
        <v>480</v>
      </c>
      <c r="E271" s="209">
        <v>1</v>
      </c>
      <c r="F271" s="209">
        <v>1</v>
      </c>
      <c r="G271" s="209">
        <v>1</v>
      </c>
      <c r="H271" s="209">
        <v>0</v>
      </c>
      <c r="I271" s="209">
        <v>0</v>
      </c>
      <c r="J271" s="209">
        <v>0</v>
      </c>
      <c r="K271" s="209">
        <v>36</v>
      </c>
    </row>
    <row r="272" spans="1:11">
      <c r="A272" s="208">
        <v>42648</v>
      </c>
      <c r="B272" s="209" t="s">
        <v>511</v>
      </c>
      <c r="C272" s="209">
        <v>18</v>
      </c>
      <c r="D272" s="272" t="s">
        <v>508</v>
      </c>
      <c r="E272" s="209">
        <v>1</v>
      </c>
      <c r="F272" s="209">
        <v>3</v>
      </c>
      <c r="G272" s="209">
        <v>3</v>
      </c>
      <c r="H272" s="209">
        <v>0</v>
      </c>
      <c r="I272" s="209">
        <v>1</v>
      </c>
      <c r="J272" s="209">
        <v>1</v>
      </c>
      <c r="K272" s="209">
        <v>184</v>
      </c>
    </row>
    <row r="273" spans="1:11">
      <c r="A273" s="208">
        <v>42648</v>
      </c>
      <c r="B273" s="209" t="s">
        <v>511</v>
      </c>
      <c r="C273" s="209">
        <v>19</v>
      </c>
      <c r="D273" s="272" t="s">
        <v>468</v>
      </c>
      <c r="E273" s="209">
        <v>0</v>
      </c>
      <c r="F273" s="209">
        <v>0</v>
      </c>
      <c r="G273" s="209">
        <v>0</v>
      </c>
      <c r="H273" s="209">
        <v>0</v>
      </c>
      <c r="I273" s="209">
        <v>0</v>
      </c>
      <c r="J273" s="209">
        <v>0</v>
      </c>
      <c r="K273" s="209">
        <v>56</v>
      </c>
    </row>
    <row r="274" spans="1:11">
      <c r="A274" s="208">
        <v>42648</v>
      </c>
      <c r="B274" s="209" t="s">
        <v>511</v>
      </c>
      <c r="C274" s="209">
        <v>20</v>
      </c>
      <c r="D274" s="272" t="s">
        <v>489</v>
      </c>
      <c r="E274" s="209">
        <v>0</v>
      </c>
      <c r="F274" s="209">
        <v>0</v>
      </c>
      <c r="G274" s="209">
        <v>0</v>
      </c>
      <c r="H274" s="209">
        <v>0</v>
      </c>
      <c r="I274" s="209">
        <v>0</v>
      </c>
      <c r="J274" s="209">
        <v>0</v>
      </c>
      <c r="K274" s="209">
        <v>204</v>
      </c>
    </row>
    <row r="275" spans="1:11">
      <c r="A275" s="208">
        <v>42648</v>
      </c>
      <c r="B275" s="209" t="s">
        <v>511</v>
      </c>
      <c r="C275" s="209">
        <v>21</v>
      </c>
      <c r="D275" s="272" t="s">
        <v>469</v>
      </c>
      <c r="E275" s="209">
        <v>0</v>
      </c>
      <c r="F275" s="209">
        <v>0</v>
      </c>
      <c r="G275" s="209">
        <v>0</v>
      </c>
      <c r="H275" s="209">
        <v>0</v>
      </c>
      <c r="I275" s="209">
        <v>0</v>
      </c>
      <c r="J275" s="209">
        <v>0</v>
      </c>
      <c r="K275" s="209">
        <v>754</v>
      </c>
    </row>
    <row r="276" spans="1:11">
      <c r="A276" s="208">
        <v>42648</v>
      </c>
      <c r="B276" s="209" t="s">
        <v>511</v>
      </c>
      <c r="C276" s="209">
        <v>22</v>
      </c>
      <c r="D276" s="272" t="s">
        <v>470</v>
      </c>
      <c r="E276" s="209">
        <v>0</v>
      </c>
      <c r="F276" s="209">
        <v>0</v>
      </c>
      <c r="G276" s="209">
        <v>0</v>
      </c>
      <c r="H276" s="209">
        <v>0</v>
      </c>
      <c r="I276" s="209">
        <v>0</v>
      </c>
      <c r="J276" s="209">
        <v>0</v>
      </c>
      <c r="K276" s="209">
        <v>276</v>
      </c>
    </row>
    <row r="277" spans="1:11">
      <c r="A277" s="208">
        <v>42648</v>
      </c>
      <c r="B277" s="209" t="s">
        <v>511</v>
      </c>
      <c r="C277" s="209">
        <v>23</v>
      </c>
      <c r="D277" s="272" t="s">
        <v>471</v>
      </c>
      <c r="E277" s="209">
        <v>0</v>
      </c>
      <c r="F277" s="209">
        <v>1</v>
      </c>
      <c r="G277" s="209">
        <v>1</v>
      </c>
      <c r="H277" s="209">
        <v>0</v>
      </c>
      <c r="I277" s="209">
        <v>0</v>
      </c>
      <c r="J277" s="209">
        <v>0</v>
      </c>
      <c r="K277" s="209">
        <v>49</v>
      </c>
    </row>
    <row r="278" spans="1:11">
      <c r="A278" s="208">
        <v>42648</v>
      </c>
      <c r="B278" s="209" t="s">
        <v>511</v>
      </c>
      <c r="C278" s="209">
        <v>24</v>
      </c>
      <c r="D278" s="272" t="s">
        <v>510</v>
      </c>
      <c r="E278" s="209">
        <v>0</v>
      </c>
      <c r="F278" s="209">
        <v>0</v>
      </c>
      <c r="G278" s="209">
        <v>0</v>
      </c>
      <c r="H278" s="209">
        <v>0</v>
      </c>
      <c r="I278" s="209">
        <v>0</v>
      </c>
      <c r="J278" s="209">
        <v>0</v>
      </c>
      <c r="K278" s="209">
        <v>89</v>
      </c>
    </row>
    <row r="279" spans="1:11">
      <c r="A279" s="208">
        <v>42649</v>
      </c>
      <c r="B279" s="209" t="s">
        <v>511</v>
      </c>
      <c r="C279" s="209">
        <v>1</v>
      </c>
      <c r="D279" s="272" t="s">
        <v>465</v>
      </c>
      <c r="E279" s="209">
        <v>1</v>
      </c>
      <c r="F279" s="209">
        <v>8</v>
      </c>
      <c r="G279" s="209">
        <v>8</v>
      </c>
      <c r="H279" s="209">
        <v>1</v>
      </c>
      <c r="I279" s="209">
        <v>2</v>
      </c>
      <c r="J279" s="209">
        <v>2</v>
      </c>
      <c r="K279" s="209">
        <v>940</v>
      </c>
    </row>
    <row r="280" spans="1:11">
      <c r="A280" s="208">
        <v>42649</v>
      </c>
      <c r="B280" s="209" t="s">
        <v>511</v>
      </c>
      <c r="C280" s="209">
        <v>2</v>
      </c>
      <c r="D280" s="272" t="s">
        <v>508</v>
      </c>
      <c r="E280" s="209">
        <v>1</v>
      </c>
      <c r="F280" s="209">
        <v>4</v>
      </c>
      <c r="G280" s="209">
        <v>4</v>
      </c>
      <c r="H280" s="209">
        <v>1</v>
      </c>
      <c r="I280" s="209">
        <v>2</v>
      </c>
      <c r="J280" s="209">
        <v>2</v>
      </c>
      <c r="K280" s="209">
        <v>211</v>
      </c>
    </row>
    <row r="281" spans="1:11">
      <c r="A281" s="208">
        <v>42649</v>
      </c>
      <c r="B281" s="209" t="s">
        <v>511</v>
      </c>
      <c r="C281" s="209">
        <v>3</v>
      </c>
      <c r="D281" s="272" t="s">
        <v>466</v>
      </c>
      <c r="E281" s="209">
        <v>5</v>
      </c>
      <c r="F281" s="209">
        <v>14</v>
      </c>
      <c r="G281" s="209">
        <v>14</v>
      </c>
      <c r="H281" s="209">
        <v>1</v>
      </c>
      <c r="I281" s="209">
        <v>3</v>
      </c>
      <c r="J281" s="209">
        <v>3</v>
      </c>
      <c r="K281" s="209">
        <v>980</v>
      </c>
    </row>
    <row r="282" spans="1:11">
      <c r="A282" s="208">
        <v>42649</v>
      </c>
      <c r="B282" s="209" t="s">
        <v>511</v>
      </c>
      <c r="C282" s="209">
        <v>4</v>
      </c>
      <c r="D282" s="272" t="s">
        <v>484</v>
      </c>
      <c r="E282" s="209">
        <v>0</v>
      </c>
      <c r="F282" s="209">
        <v>1</v>
      </c>
      <c r="G282" s="209">
        <v>1</v>
      </c>
      <c r="H282" s="209">
        <v>0</v>
      </c>
      <c r="I282" s="209">
        <v>0</v>
      </c>
      <c r="J282" s="209">
        <v>0</v>
      </c>
      <c r="K282" s="209">
        <v>102</v>
      </c>
    </row>
    <row r="283" spans="1:11">
      <c r="A283" s="208">
        <v>42649</v>
      </c>
      <c r="B283" s="209" t="s">
        <v>511</v>
      </c>
      <c r="C283" s="209">
        <v>5</v>
      </c>
      <c r="D283" s="272" t="s">
        <v>462</v>
      </c>
      <c r="E283" s="209">
        <v>0</v>
      </c>
      <c r="F283" s="209">
        <v>0</v>
      </c>
      <c r="G283" s="209">
        <v>0</v>
      </c>
      <c r="H283" s="209">
        <v>0</v>
      </c>
      <c r="I283" s="209">
        <v>0</v>
      </c>
      <c r="J283" s="209">
        <v>0</v>
      </c>
      <c r="K283" s="209">
        <v>387</v>
      </c>
    </row>
    <row r="284" spans="1:11">
      <c r="A284" s="208">
        <v>42649</v>
      </c>
      <c r="B284" s="209" t="s">
        <v>511</v>
      </c>
      <c r="C284" s="209">
        <v>6</v>
      </c>
      <c r="D284" s="272" t="s">
        <v>463</v>
      </c>
      <c r="E284" s="209">
        <v>0</v>
      </c>
      <c r="F284" s="209">
        <v>2</v>
      </c>
      <c r="G284" s="209">
        <v>2</v>
      </c>
      <c r="H284" s="209">
        <v>0</v>
      </c>
      <c r="I284" s="209">
        <v>1</v>
      </c>
      <c r="J284" s="209">
        <v>1</v>
      </c>
      <c r="K284" s="209">
        <v>2130</v>
      </c>
    </row>
    <row r="285" spans="1:11">
      <c r="A285" s="208">
        <v>42649</v>
      </c>
      <c r="B285" s="209" t="s">
        <v>511</v>
      </c>
      <c r="C285" s="209">
        <v>7</v>
      </c>
      <c r="D285" s="272" t="s">
        <v>464</v>
      </c>
      <c r="E285" s="209">
        <v>0</v>
      </c>
      <c r="F285" s="209">
        <v>0</v>
      </c>
      <c r="G285" s="209">
        <v>0</v>
      </c>
      <c r="H285" s="209">
        <v>0</v>
      </c>
      <c r="I285" s="209">
        <v>0</v>
      </c>
      <c r="J285" s="209">
        <v>0</v>
      </c>
      <c r="K285" s="209">
        <v>174</v>
      </c>
    </row>
    <row r="286" spans="1:11">
      <c r="A286" s="208">
        <v>42649</v>
      </c>
      <c r="B286" s="209" t="s">
        <v>511</v>
      </c>
      <c r="C286" s="209">
        <v>8</v>
      </c>
      <c r="D286" s="272" t="s">
        <v>504</v>
      </c>
      <c r="E286" s="209">
        <v>1</v>
      </c>
      <c r="F286" s="209">
        <v>5</v>
      </c>
      <c r="G286" s="209">
        <v>5</v>
      </c>
      <c r="H286" s="209">
        <v>0</v>
      </c>
      <c r="I286" s="209">
        <v>3</v>
      </c>
      <c r="J286" s="209">
        <v>3</v>
      </c>
      <c r="K286" s="209">
        <v>856</v>
      </c>
    </row>
    <row r="287" spans="1:11">
      <c r="A287" s="208">
        <v>42649</v>
      </c>
      <c r="B287" s="209" t="s">
        <v>511</v>
      </c>
      <c r="C287" s="209">
        <v>9</v>
      </c>
      <c r="D287" s="272" t="s">
        <v>490</v>
      </c>
      <c r="E287" s="209">
        <v>0</v>
      </c>
      <c r="F287" s="209">
        <v>0</v>
      </c>
      <c r="G287" s="209">
        <v>0</v>
      </c>
      <c r="H287" s="209">
        <v>0</v>
      </c>
      <c r="I287" s="209">
        <v>0</v>
      </c>
      <c r="J287" s="209">
        <v>0</v>
      </c>
      <c r="K287" s="209">
        <v>1</v>
      </c>
    </row>
    <row r="288" spans="1:11">
      <c r="A288" s="208">
        <v>42649</v>
      </c>
      <c r="B288" s="209" t="s">
        <v>511</v>
      </c>
      <c r="C288" s="209">
        <v>10</v>
      </c>
      <c r="D288" s="272" t="s">
        <v>460</v>
      </c>
      <c r="E288" s="209">
        <v>0</v>
      </c>
      <c r="F288" s="209">
        <v>4</v>
      </c>
      <c r="G288" s="209">
        <v>4</v>
      </c>
      <c r="H288" s="209">
        <v>0</v>
      </c>
      <c r="I288" s="209">
        <v>1</v>
      </c>
      <c r="J288" s="209">
        <v>1</v>
      </c>
      <c r="K288" s="209">
        <v>676</v>
      </c>
    </row>
    <row r="289" spans="1:11">
      <c r="A289" s="208">
        <v>42649</v>
      </c>
      <c r="B289" s="209" t="s">
        <v>511</v>
      </c>
      <c r="C289" s="209">
        <v>11</v>
      </c>
      <c r="D289" s="272" t="s">
        <v>490</v>
      </c>
      <c r="E289" s="209">
        <v>0</v>
      </c>
      <c r="F289" s="209">
        <v>0</v>
      </c>
      <c r="G289" s="209">
        <v>0</v>
      </c>
      <c r="H289" s="209">
        <v>0</v>
      </c>
      <c r="I289" s="209">
        <v>0</v>
      </c>
      <c r="J289" s="209">
        <v>0</v>
      </c>
      <c r="K289" s="209">
        <v>1</v>
      </c>
    </row>
    <row r="290" spans="1:11">
      <c r="A290" s="208">
        <v>42649</v>
      </c>
      <c r="B290" s="209" t="s">
        <v>511</v>
      </c>
      <c r="C290" s="209">
        <v>12</v>
      </c>
      <c r="D290" s="272" t="s">
        <v>460</v>
      </c>
      <c r="E290" s="209">
        <v>0</v>
      </c>
      <c r="F290" s="209">
        <v>4</v>
      </c>
      <c r="G290" s="209">
        <v>4</v>
      </c>
      <c r="H290" s="209">
        <v>0</v>
      </c>
      <c r="I290" s="209">
        <v>1</v>
      </c>
      <c r="J290" s="209">
        <v>1</v>
      </c>
      <c r="K290" s="209">
        <v>676</v>
      </c>
    </row>
    <row r="291" spans="1:11">
      <c r="A291" s="208">
        <v>42649</v>
      </c>
      <c r="B291" s="209" t="s">
        <v>511</v>
      </c>
      <c r="C291" s="209">
        <v>13</v>
      </c>
      <c r="D291" s="272" t="s">
        <v>505</v>
      </c>
      <c r="E291" s="209">
        <v>0</v>
      </c>
      <c r="F291" s="209">
        <v>2</v>
      </c>
      <c r="G291" s="209">
        <v>2</v>
      </c>
      <c r="H291" s="209">
        <v>0</v>
      </c>
      <c r="I291" s="209">
        <v>1</v>
      </c>
      <c r="J291" s="209">
        <v>1</v>
      </c>
      <c r="K291" s="209">
        <v>746</v>
      </c>
    </row>
    <row r="292" spans="1:11">
      <c r="A292" s="208">
        <v>42649</v>
      </c>
      <c r="B292" s="209" t="s">
        <v>511</v>
      </c>
      <c r="C292" s="209">
        <v>14</v>
      </c>
      <c r="D292" s="272" t="s">
        <v>467</v>
      </c>
      <c r="E292" s="209">
        <v>0</v>
      </c>
      <c r="F292" s="209">
        <v>2</v>
      </c>
      <c r="G292" s="209">
        <v>2</v>
      </c>
      <c r="H292" s="209">
        <v>0</v>
      </c>
      <c r="I292" s="209">
        <v>1</v>
      </c>
      <c r="J292" s="209">
        <v>1</v>
      </c>
      <c r="K292" s="209">
        <v>454</v>
      </c>
    </row>
    <row r="293" spans="1:11">
      <c r="A293" s="208">
        <v>42649</v>
      </c>
      <c r="B293" s="209" t="s">
        <v>511</v>
      </c>
      <c r="C293" s="209">
        <v>15</v>
      </c>
      <c r="D293" s="272" t="s">
        <v>472</v>
      </c>
      <c r="E293" s="209">
        <v>0</v>
      </c>
      <c r="F293" s="209">
        <v>0</v>
      </c>
      <c r="G293" s="209">
        <v>0</v>
      </c>
      <c r="H293" s="209">
        <v>0</v>
      </c>
      <c r="I293" s="209">
        <v>0</v>
      </c>
      <c r="J293" s="209">
        <v>0</v>
      </c>
      <c r="K293" s="209">
        <v>1</v>
      </c>
    </row>
    <row r="294" spans="1:11">
      <c r="A294" s="208">
        <v>42649</v>
      </c>
      <c r="B294" s="209" t="s">
        <v>511</v>
      </c>
      <c r="C294" s="209">
        <v>16</v>
      </c>
      <c r="D294" s="272" t="s">
        <v>507</v>
      </c>
      <c r="E294" s="209">
        <v>0</v>
      </c>
      <c r="F294" s="209">
        <v>0</v>
      </c>
      <c r="G294" s="209">
        <v>0</v>
      </c>
      <c r="H294" s="209">
        <v>0</v>
      </c>
      <c r="I294" s="209">
        <v>0</v>
      </c>
      <c r="J294" s="209">
        <v>0</v>
      </c>
      <c r="K294" s="209">
        <v>2</v>
      </c>
    </row>
    <row r="295" spans="1:11">
      <c r="A295" s="208">
        <v>42649</v>
      </c>
      <c r="B295" s="209" t="s">
        <v>511</v>
      </c>
      <c r="C295" s="209">
        <v>17</v>
      </c>
      <c r="D295" s="272" t="s">
        <v>479</v>
      </c>
      <c r="E295" s="209">
        <v>0</v>
      </c>
      <c r="F295" s="209">
        <v>0</v>
      </c>
      <c r="G295" s="209">
        <v>0</v>
      </c>
      <c r="H295" s="209">
        <v>0</v>
      </c>
      <c r="I295" s="209">
        <v>0</v>
      </c>
      <c r="J295" s="209">
        <v>0</v>
      </c>
      <c r="K295" s="209">
        <v>216</v>
      </c>
    </row>
    <row r="296" spans="1:11">
      <c r="A296" s="208">
        <v>42649</v>
      </c>
      <c r="B296" s="209" t="s">
        <v>511</v>
      </c>
      <c r="C296" s="209">
        <v>18</v>
      </c>
      <c r="D296" s="272" t="s">
        <v>480</v>
      </c>
      <c r="E296" s="209">
        <v>0</v>
      </c>
      <c r="F296" s="209">
        <v>1</v>
      </c>
      <c r="G296" s="209">
        <v>1</v>
      </c>
      <c r="H296" s="209">
        <v>0</v>
      </c>
      <c r="I296" s="209">
        <v>0</v>
      </c>
      <c r="J296" s="209">
        <v>0</v>
      </c>
      <c r="K296" s="209">
        <v>36</v>
      </c>
    </row>
    <row r="297" spans="1:11">
      <c r="A297" s="208">
        <v>42649</v>
      </c>
      <c r="B297" s="209" t="s">
        <v>511</v>
      </c>
      <c r="C297" s="209">
        <v>19</v>
      </c>
      <c r="D297" s="272" t="s">
        <v>468</v>
      </c>
      <c r="E297" s="209">
        <v>0</v>
      </c>
      <c r="F297" s="209">
        <v>0</v>
      </c>
      <c r="G297" s="209">
        <v>0</v>
      </c>
      <c r="H297" s="209">
        <v>0</v>
      </c>
      <c r="I297" s="209">
        <v>0</v>
      </c>
      <c r="J297" s="209">
        <v>0</v>
      </c>
      <c r="K297" s="209">
        <v>60</v>
      </c>
    </row>
    <row r="298" spans="1:11">
      <c r="A298" s="208">
        <v>42649</v>
      </c>
      <c r="B298" s="209" t="s">
        <v>511</v>
      </c>
      <c r="C298" s="209">
        <v>20</v>
      </c>
      <c r="D298" s="272" t="s">
        <v>489</v>
      </c>
      <c r="E298" s="209">
        <v>0</v>
      </c>
      <c r="F298" s="209">
        <v>0</v>
      </c>
      <c r="G298" s="209">
        <v>0</v>
      </c>
      <c r="H298" s="209">
        <v>0</v>
      </c>
      <c r="I298" s="209">
        <v>0</v>
      </c>
      <c r="J298" s="209">
        <v>0</v>
      </c>
      <c r="K298" s="209">
        <v>234</v>
      </c>
    </row>
    <row r="299" spans="1:11">
      <c r="A299" s="208">
        <v>42649</v>
      </c>
      <c r="B299" s="209" t="s">
        <v>511</v>
      </c>
      <c r="C299" s="209">
        <v>21</v>
      </c>
      <c r="D299" s="272" t="s">
        <v>469</v>
      </c>
      <c r="E299" s="209">
        <v>0</v>
      </c>
      <c r="F299" s="209">
        <v>0</v>
      </c>
      <c r="G299" s="209">
        <v>0</v>
      </c>
      <c r="H299" s="209">
        <v>0</v>
      </c>
      <c r="I299" s="209">
        <v>0</v>
      </c>
      <c r="J299" s="209">
        <v>0</v>
      </c>
      <c r="K299" s="209">
        <v>865</v>
      </c>
    </row>
    <row r="300" spans="1:11">
      <c r="A300" s="208">
        <v>42649</v>
      </c>
      <c r="B300" s="209" t="s">
        <v>511</v>
      </c>
      <c r="C300" s="209">
        <v>22</v>
      </c>
      <c r="D300" s="272" t="s">
        <v>470</v>
      </c>
      <c r="E300" s="209">
        <v>0</v>
      </c>
      <c r="F300" s="209">
        <v>0</v>
      </c>
      <c r="G300" s="209">
        <v>0</v>
      </c>
      <c r="H300" s="209">
        <v>0</v>
      </c>
      <c r="I300" s="209">
        <v>0</v>
      </c>
      <c r="J300" s="209">
        <v>0</v>
      </c>
      <c r="K300" s="209">
        <v>325</v>
      </c>
    </row>
    <row r="301" spans="1:11">
      <c r="A301" s="208">
        <v>42649</v>
      </c>
      <c r="B301" s="209" t="s">
        <v>511</v>
      </c>
      <c r="C301" s="209">
        <v>23</v>
      </c>
      <c r="D301" s="272" t="s">
        <v>471</v>
      </c>
      <c r="E301" s="209">
        <v>0</v>
      </c>
      <c r="F301" s="209">
        <v>1</v>
      </c>
      <c r="G301" s="209">
        <v>1</v>
      </c>
      <c r="H301" s="209">
        <v>0</v>
      </c>
      <c r="I301" s="209">
        <v>0</v>
      </c>
      <c r="J301" s="209">
        <v>0</v>
      </c>
      <c r="K301" s="209">
        <v>58</v>
      </c>
    </row>
    <row r="302" spans="1:11">
      <c r="A302" s="208">
        <v>42649</v>
      </c>
      <c r="B302" s="209" t="s">
        <v>511</v>
      </c>
      <c r="C302" s="209">
        <v>24</v>
      </c>
      <c r="D302" s="272" t="s">
        <v>510</v>
      </c>
      <c r="E302" s="209">
        <v>0</v>
      </c>
      <c r="F302" s="209">
        <v>0</v>
      </c>
      <c r="G302" s="209">
        <v>0</v>
      </c>
      <c r="H302" s="209">
        <v>0</v>
      </c>
      <c r="I302" s="209">
        <v>0</v>
      </c>
      <c r="J302" s="209">
        <v>0</v>
      </c>
      <c r="K302" s="209">
        <v>119</v>
      </c>
    </row>
    <row r="303" spans="1:11">
      <c r="A303" s="208">
        <v>42650</v>
      </c>
      <c r="B303" s="209" t="s">
        <v>511</v>
      </c>
      <c r="C303" s="209">
        <v>1</v>
      </c>
      <c r="D303" s="272" t="s">
        <v>466</v>
      </c>
      <c r="E303" s="209">
        <v>1</v>
      </c>
      <c r="F303" s="209">
        <v>15</v>
      </c>
      <c r="G303" s="209">
        <v>15</v>
      </c>
      <c r="H303" s="209">
        <v>1</v>
      </c>
      <c r="I303" s="209">
        <v>4</v>
      </c>
      <c r="J303" s="209">
        <v>4</v>
      </c>
      <c r="K303" s="209">
        <v>1075</v>
      </c>
    </row>
    <row r="304" spans="1:11">
      <c r="A304" s="208">
        <v>42650</v>
      </c>
      <c r="B304" s="209" t="s">
        <v>511</v>
      </c>
      <c r="C304" s="209">
        <v>2</v>
      </c>
      <c r="D304" s="272" t="s">
        <v>484</v>
      </c>
      <c r="E304" s="209">
        <v>0</v>
      </c>
      <c r="F304" s="209">
        <v>1</v>
      </c>
      <c r="G304" s="209">
        <v>1</v>
      </c>
      <c r="H304" s="209">
        <v>0</v>
      </c>
      <c r="I304" s="209">
        <v>0</v>
      </c>
      <c r="J304" s="209">
        <v>0</v>
      </c>
      <c r="K304" s="209">
        <v>115</v>
      </c>
    </row>
    <row r="305" spans="1:11">
      <c r="A305" s="208">
        <v>42650</v>
      </c>
      <c r="B305" s="209" t="s">
        <v>511</v>
      </c>
      <c r="C305" s="209">
        <v>3</v>
      </c>
      <c r="D305" s="272" t="s">
        <v>487</v>
      </c>
      <c r="E305" s="209">
        <v>0</v>
      </c>
      <c r="F305" s="209">
        <v>3</v>
      </c>
      <c r="G305" s="209">
        <v>3</v>
      </c>
      <c r="H305" s="209">
        <v>0</v>
      </c>
      <c r="I305" s="209">
        <v>3</v>
      </c>
      <c r="J305" s="209">
        <v>3</v>
      </c>
      <c r="K305" s="209">
        <v>431</v>
      </c>
    </row>
    <row r="306" spans="1:11">
      <c r="A306" s="208">
        <v>42650</v>
      </c>
      <c r="B306" s="209" t="s">
        <v>511</v>
      </c>
      <c r="C306" s="209">
        <v>4</v>
      </c>
      <c r="D306" s="272" t="s">
        <v>462</v>
      </c>
      <c r="E306" s="209">
        <v>0</v>
      </c>
      <c r="F306" s="209">
        <v>0</v>
      </c>
      <c r="G306" s="209">
        <v>0</v>
      </c>
      <c r="H306" s="209">
        <v>0</v>
      </c>
      <c r="I306" s="209">
        <v>0</v>
      </c>
      <c r="J306" s="209">
        <v>0</v>
      </c>
      <c r="K306" s="209">
        <v>462</v>
      </c>
    </row>
    <row r="307" spans="1:11">
      <c r="A307" s="208">
        <v>42650</v>
      </c>
      <c r="B307" s="209" t="s">
        <v>511</v>
      </c>
      <c r="C307" s="209">
        <v>5</v>
      </c>
      <c r="D307" s="272" t="s">
        <v>463</v>
      </c>
      <c r="E307" s="209">
        <v>0</v>
      </c>
      <c r="F307" s="209">
        <v>2</v>
      </c>
      <c r="G307" s="209">
        <v>2</v>
      </c>
      <c r="H307" s="209">
        <v>0</v>
      </c>
      <c r="I307" s="209">
        <v>1</v>
      </c>
      <c r="J307" s="209">
        <v>1</v>
      </c>
      <c r="K307" s="209">
        <v>2386</v>
      </c>
    </row>
    <row r="308" spans="1:11">
      <c r="A308" s="208">
        <v>42650</v>
      </c>
      <c r="B308" s="209" t="s">
        <v>511</v>
      </c>
      <c r="C308" s="209">
        <v>6</v>
      </c>
      <c r="D308" s="272" t="s">
        <v>464</v>
      </c>
      <c r="E308" s="209">
        <v>0</v>
      </c>
      <c r="F308" s="209">
        <v>0</v>
      </c>
      <c r="G308" s="209">
        <v>0</v>
      </c>
      <c r="H308" s="209">
        <v>0</v>
      </c>
      <c r="I308" s="209">
        <v>0</v>
      </c>
      <c r="J308" s="209">
        <v>0</v>
      </c>
      <c r="K308" s="209">
        <v>198</v>
      </c>
    </row>
    <row r="309" spans="1:11">
      <c r="A309" s="208">
        <v>42650</v>
      </c>
      <c r="B309" s="209" t="s">
        <v>511</v>
      </c>
      <c r="C309" s="209">
        <v>7</v>
      </c>
      <c r="D309" s="272" t="s">
        <v>504</v>
      </c>
      <c r="E309" s="209">
        <v>1</v>
      </c>
      <c r="F309" s="209">
        <v>6</v>
      </c>
      <c r="G309" s="209">
        <v>6</v>
      </c>
      <c r="H309" s="209">
        <v>0</v>
      </c>
      <c r="I309" s="209">
        <v>3</v>
      </c>
      <c r="J309" s="209">
        <v>3</v>
      </c>
      <c r="K309" s="209">
        <v>999</v>
      </c>
    </row>
    <row r="310" spans="1:11">
      <c r="A310" s="208">
        <v>42650</v>
      </c>
      <c r="B310" s="209" t="s">
        <v>511</v>
      </c>
      <c r="C310" s="209">
        <v>8</v>
      </c>
      <c r="D310" s="272" t="s">
        <v>490</v>
      </c>
      <c r="E310" s="209">
        <v>0</v>
      </c>
      <c r="F310" s="209">
        <v>0</v>
      </c>
      <c r="G310" s="209">
        <v>0</v>
      </c>
      <c r="H310" s="209">
        <v>0</v>
      </c>
      <c r="I310" s="209">
        <v>0</v>
      </c>
      <c r="J310" s="209">
        <v>0</v>
      </c>
      <c r="K310" s="209">
        <v>1</v>
      </c>
    </row>
    <row r="311" spans="1:11">
      <c r="A311" s="208">
        <v>42650</v>
      </c>
      <c r="B311" s="209" t="s">
        <v>511</v>
      </c>
      <c r="C311" s="209">
        <v>9</v>
      </c>
      <c r="D311" s="272" t="s">
        <v>460</v>
      </c>
      <c r="E311" s="209">
        <v>0</v>
      </c>
      <c r="F311" s="209">
        <v>4</v>
      </c>
      <c r="G311" s="209">
        <v>4</v>
      </c>
      <c r="H311" s="209">
        <v>0</v>
      </c>
      <c r="I311" s="209">
        <v>1</v>
      </c>
      <c r="J311" s="209">
        <v>1</v>
      </c>
      <c r="K311" s="209">
        <v>766</v>
      </c>
    </row>
    <row r="312" spans="1:11">
      <c r="A312" s="208">
        <v>42650</v>
      </c>
      <c r="B312" s="209" t="s">
        <v>511</v>
      </c>
      <c r="C312" s="209">
        <v>10</v>
      </c>
      <c r="D312" s="272" t="s">
        <v>465</v>
      </c>
      <c r="E312" s="209">
        <v>2</v>
      </c>
      <c r="F312" s="209">
        <v>10</v>
      </c>
      <c r="G312" s="209">
        <v>10</v>
      </c>
      <c r="H312" s="209">
        <v>0</v>
      </c>
      <c r="I312" s="209">
        <v>2</v>
      </c>
      <c r="J312" s="209">
        <v>2</v>
      </c>
      <c r="K312" s="209">
        <v>1025</v>
      </c>
    </row>
    <row r="313" spans="1:11">
      <c r="A313" s="208">
        <v>42650</v>
      </c>
      <c r="B313" s="209" t="s">
        <v>511</v>
      </c>
      <c r="C313" s="209">
        <v>11</v>
      </c>
      <c r="D313" s="272" t="s">
        <v>465</v>
      </c>
      <c r="E313" s="209">
        <v>2</v>
      </c>
      <c r="F313" s="209">
        <v>10</v>
      </c>
      <c r="G313" s="209">
        <v>10</v>
      </c>
      <c r="H313" s="209">
        <v>0</v>
      </c>
      <c r="I313" s="209">
        <v>2</v>
      </c>
      <c r="J313" s="209">
        <v>2</v>
      </c>
      <c r="K313" s="209">
        <v>1025</v>
      </c>
    </row>
    <row r="314" spans="1:11">
      <c r="A314" s="208">
        <v>42650</v>
      </c>
      <c r="B314" s="209" t="s">
        <v>511</v>
      </c>
      <c r="C314" s="209">
        <v>12</v>
      </c>
      <c r="D314" s="272" t="s">
        <v>505</v>
      </c>
      <c r="E314" s="209">
        <v>1</v>
      </c>
      <c r="F314" s="209">
        <v>3</v>
      </c>
      <c r="G314" s="209">
        <v>3</v>
      </c>
      <c r="H314" s="209">
        <v>0</v>
      </c>
      <c r="I314" s="209">
        <v>2</v>
      </c>
      <c r="J314" s="209">
        <v>2</v>
      </c>
      <c r="K314" s="209">
        <v>833</v>
      </c>
    </row>
    <row r="315" spans="1:11">
      <c r="A315" s="208">
        <v>42650</v>
      </c>
      <c r="B315" s="209" t="s">
        <v>511</v>
      </c>
      <c r="C315" s="209">
        <v>13</v>
      </c>
      <c r="D315" s="272" t="s">
        <v>467</v>
      </c>
      <c r="E315" s="209">
        <v>1</v>
      </c>
      <c r="F315" s="209">
        <v>3</v>
      </c>
      <c r="G315" s="209">
        <v>3</v>
      </c>
      <c r="H315" s="209">
        <v>0</v>
      </c>
      <c r="I315" s="209">
        <v>1</v>
      </c>
      <c r="J315" s="209">
        <v>1</v>
      </c>
      <c r="K315" s="209">
        <v>513</v>
      </c>
    </row>
    <row r="316" spans="1:11">
      <c r="A316" s="208">
        <v>42650</v>
      </c>
      <c r="B316" s="209" t="s">
        <v>511</v>
      </c>
      <c r="C316" s="209">
        <v>14</v>
      </c>
      <c r="D316" s="272" t="s">
        <v>472</v>
      </c>
      <c r="E316" s="209">
        <v>0</v>
      </c>
      <c r="F316" s="209">
        <v>0</v>
      </c>
      <c r="G316" s="209">
        <v>0</v>
      </c>
      <c r="H316" s="209">
        <v>0</v>
      </c>
      <c r="I316" s="209">
        <v>0</v>
      </c>
      <c r="J316" s="209">
        <v>0</v>
      </c>
      <c r="K316" s="209">
        <v>1</v>
      </c>
    </row>
    <row r="317" spans="1:11">
      <c r="A317" s="208">
        <v>42650</v>
      </c>
      <c r="B317" s="209" t="s">
        <v>511</v>
      </c>
      <c r="C317" s="209">
        <v>15</v>
      </c>
      <c r="D317" s="272" t="s">
        <v>507</v>
      </c>
      <c r="E317" s="209">
        <v>0</v>
      </c>
      <c r="F317" s="209">
        <v>0</v>
      </c>
      <c r="G317" s="209">
        <v>0</v>
      </c>
      <c r="H317" s="209">
        <v>0</v>
      </c>
      <c r="I317" s="209">
        <v>0</v>
      </c>
      <c r="J317" s="209">
        <v>0</v>
      </c>
      <c r="K317" s="209">
        <v>2</v>
      </c>
    </row>
    <row r="318" spans="1:11">
      <c r="A318" s="208">
        <v>42650</v>
      </c>
      <c r="B318" s="209" t="s">
        <v>511</v>
      </c>
      <c r="C318" s="209">
        <v>16</v>
      </c>
      <c r="D318" s="272" t="s">
        <v>479</v>
      </c>
      <c r="E318" s="209">
        <v>0</v>
      </c>
      <c r="F318" s="209">
        <v>0</v>
      </c>
      <c r="G318" s="209">
        <v>0</v>
      </c>
      <c r="H318" s="209">
        <v>0</v>
      </c>
      <c r="I318" s="209">
        <v>0</v>
      </c>
      <c r="J318" s="209">
        <v>0</v>
      </c>
      <c r="K318" s="209">
        <v>217</v>
      </c>
    </row>
    <row r="319" spans="1:11">
      <c r="A319" s="208">
        <v>42650</v>
      </c>
      <c r="B319" s="209" t="s">
        <v>511</v>
      </c>
      <c r="C319" s="209">
        <v>17</v>
      </c>
      <c r="D319" s="272" t="s">
        <v>480</v>
      </c>
      <c r="E319" s="209">
        <v>0</v>
      </c>
      <c r="F319" s="209">
        <v>1</v>
      </c>
      <c r="G319" s="209">
        <v>1</v>
      </c>
      <c r="H319" s="209">
        <v>0</v>
      </c>
      <c r="I319" s="209">
        <v>0</v>
      </c>
      <c r="J319" s="209">
        <v>0</v>
      </c>
      <c r="K319" s="209">
        <v>50</v>
      </c>
    </row>
    <row r="320" spans="1:11">
      <c r="A320" s="208">
        <v>42650</v>
      </c>
      <c r="B320" s="209" t="s">
        <v>511</v>
      </c>
      <c r="C320" s="209">
        <v>18</v>
      </c>
      <c r="D320" s="272" t="s">
        <v>508</v>
      </c>
      <c r="E320" s="209">
        <v>0</v>
      </c>
      <c r="F320" s="209">
        <v>4</v>
      </c>
      <c r="G320" s="209">
        <v>4</v>
      </c>
      <c r="H320" s="209">
        <v>0</v>
      </c>
      <c r="I320" s="209">
        <v>2</v>
      </c>
      <c r="J320" s="209">
        <v>2</v>
      </c>
      <c r="K320" s="209">
        <v>244</v>
      </c>
    </row>
    <row r="321" spans="1:11">
      <c r="A321" s="208">
        <v>42650</v>
      </c>
      <c r="B321" s="209" t="s">
        <v>511</v>
      </c>
      <c r="C321" s="209">
        <v>19</v>
      </c>
      <c r="D321" s="272" t="s">
        <v>468</v>
      </c>
      <c r="E321" s="209">
        <v>0</v>
      </c>
      <c r="F321" s="209">
        <v>0</v>
      </c>
      <c r="G321" s="209">
        <v>0</v>
      </c>
      <c r="H321" s="209">
        <v>0</v>
      </c>
      <c r="I321" s="209">
        <v>0</v>
      </c>
      <c r="J321" s="209">
        <v>0</v>
      </c>
      <c r="K321" s="209">
        <v>66</v>
      </c>
    </row>
    <row r="322" spans="1:11">
      <c r="A322" s="208">
        <v>42650</v>
      </c>
      <c r="B322" s="209" t="s">
        <v>511</v>
      </c>
      <c r="C322" s="209">
        <v>20</v>
      </c>
      <c r="D322" s="272" t="s">
        <v>489</v>
      </c>
      <c r="E322" s="209">
        <v>0</v>
      </c>
      <c r="F322" s="209">
        <v>1</v>
      </c>
      <c r="G322" s="209">
        <v>1</v>
      </c>
      <c r="H322" s="209">
        <v>0</v>
      </c>
      <c r="I322" s="209">
        <v>1</v>
      </c>
      <c r="J322" s="209">
        <v>1</v>
      </c>
      <c r="K322" s="209">
        <v>267</v>
      </c>
    </row>
    <row r="323" spans="1:11">
      <c r="A323" s="208">
        <v>42650</v>
      </c>
      <c r="B323" s="209" t="s">
        <v>511</v>
      </c>
      <c r="C323" s="209">
        <v>21</v>
      </c>
      <c r="D323" s="272" t="s">
        <v>469</v>
      </c>
      <c r="E323" s="209">
        <v>0</v>
      </c>
      <c r="F323" s="209">
        <v>0</v>
      </c>
      <c r="G323" s="209">
        <v>0</v>
      </c>
      <c r="H323" s="209">
        <v>0</v>
      </c>
      <c r="I323" s="209">
        <v>0</v>
      </c>
      <c r="J323" s="209">
        <v>0</v>
      </c>
      <c r="K323" s="209">
        <v>989</v>
      </c>
    </row>
    <row r="324" spans="1:11">
      <c r="A324" s="208">
        <v>42650</v>
      </c>
      <c r="B324" s="209" t="s">
        <v>511</v>
      </c>
      <c r="C324" s="209">
        <v>22</v>
      </c>
      <c r="D324" s="272" t="s">
        <v>470</v>
      </c>
      <c r="E324" s="209">
        <v>0</v>
      </c>
      <c r="F324" s="209">
        <v>0</v>
      </c>
      <c r="G324" s="209">
        <v>0</v>
      </c>
      <c r="H324" s="209">
        <v>0</v>
      </c>
      <c r="I324" s="209">
        <v>0</v>
      </c>
      <c r="J324" s="209">
        <v>0</v>
      </c>
      <c r="K324" s="209">
        <v>373</v>
      </c>
    </row>
    <row r="325" spans="1:11">
      <c r="A325" s="208">
        <v>42650</v>
      </c>
      <c r="B325" s="209" t="s">
        <v>511</v>
      </c>
      <c r="C325" s="209">
        <v>23</v>
      </c>
      <c r="D325" s="272" t="s">
        <v>471</v>
      </c>
      <c r="E325" s="209">
        <v>0</v>
      </c>
      <c r="F325" s="209">
        <v>1</v>
      </c>
      <c r="G325" s="209">
        <v>1</v>
      </c>
      <c r="H325" s="209">
        <v>0</v>
      </c>
      <c r="I325" s="209">
        <v>0</v>
      </c>
      <c r="J325" s="209">
        <v>0</v>
      </c>
      <c r="K325" s="209">
        <v>74</v>
      </c>
    </row>
    <row r="326" spans="1:11">
      <c r="A326" s="208">
        <v>42650</v>
      </c>
      <c r="B326" s="209" t="s">
        <v>511</v>
      </c>
      <c r="C326" s="209">
        <v>24</v>
      </c>
      <c r="D326" s="272" t="s">
        <v>510</v>
      </c>
      <c r="E326" s="209">
        <v>0</v>
      </c>
      <c r="F326" s="209">
        <v>0</v>
      </c>
      <c r="G326" s="209">
        <v>0</v>
      </c>
      <c r="H326" s="209">
        <v>0</v>
      </c>
      <c r="I326" s="209">
        <v>0</v>
      </c>
      <c r="J326" s="209">
        <v>0</v>
      </c>
      <c r="K326" s="209">
        <v>150</v>
      </c>
    </row>
    <row r="327" spans="1:11">
      <c r="A327" s="260">
        <v>42644</v>
      </c>
      <c r="B327" s="209" t="s">
        <v>519</v>
      </c>
      <c r="C327" s="272">
        <v>1</v>
      </c>
      <c r="D327" s="272" t="s">
        <v>461</v>
      </c>
      <c r="E327" s="209">
        <v>0</v>
      </c>
      <c r="F327" s="209">
        <v>0</v>
      </c>
      <c r="G327" s="209">
        <v>0</v>
      </c>
      <c r="H327" s="209">
        <v>0</v>
      </c>
      <c r="I327" s="209">
        <v>0</v>
      </c>
      <c r="J327" s="209">
        <v>0</v>
      </c>
      <c r="K327" s="209">
        <v>9282.06</v>
      </c>
    </row>
    <row r="328" spans="1:11">
      <c r="A328" s="260">
        <v>42644</v>
      </c>
      <c r="B328" s="209" t="s">
        <v>519</v>
      </c>
      <c r="C328" s="209">
        <v>2</v>
      </c>
      <c r="D328" s="272" t="s">
        <v>463</v>
      </c>
      <c r="E328" s="209">
        <v>0</v>
      </c>
      <c r="F328" s="209">
        <v>0</v>
      </c>
      <c r="G328" s="209">
        <v>0</v>
      </c>
      <c r="H328" s="209">
        <v>0</v>
      </c>
      <c r="I328" s="209">
        <v>0</v>
      </c>
      <c r="J328" s="209">
        <v>0</v>
      </c>
      <c r="K328" s="209">
        <v>7926.92</v>
      </c>
    </row>
    <row r="329" spans="1:11">
      <c r="A329" s="260">
        <v>42644</v>
      </c>
      <c r="B329" s="209" t="s">
        <v>519</v>
      </c>
      <c r="C329" s="209">
        <v>3</v>
      </c>
      <c r="D329" s="272" t="s">
        <v>489</v>
      </c>
      <c r="E329" s="209">
        <v>0</v>
      </c>
      <c r="F329" s="209">
        <v>0</v>
      </c>
      <c r="G329" s="209">
        <v>0</v>
      </c>
      <c r="H329" s="209">
        <v>0</v>
      </c>
      <c r="I329" s="209">
        <v>0</v>
      </c>
      <c r="J329" s="209">
        <v>0</v>
      </c>
      <c r="K329" s="209">
        <v>5162.34</v>
      </c>
    </row>
    <row r="330" spans="1:11">
      <c r="A330" s="260">
        <v>42644</v>
      </c>
      <c r="B330" s="209" t="s">
        <v>519</v>
      </c>
      <c r="C330" s="209">
        <v>4</v>
      </c>
      <c r="D330" s="272" t="s">
        <v>466</v>
      </c>
      <c r="E330" s="209">
        <v>2</v>
      </c>
      <c r="F330" s="209">
        <v>2</v>
      </c>
      <c r="G330" s="209">
        <v>0</v>
      </c>
      <c r="H330" s="209">
        <v>0</v>
      </c>
      <c r="I330" s="209">
        <v>2</v>
      </c>
      <c r="J330" s="209">
        <v>0</v>
      </c>
      <c r="K330" s="209">
        <v>2988.12</v>
      </c>
    </row>
    <row r="331" spans="1:11">
      <c r="A331" s="260">
        <v>42644</v>
      </c>
      <c r="B331" s="209" t="s">
        <v>519</v>
      </c>
      <c r="C331" s="209">
        <v>5</v>
      </c>
      <c r="D331" s="272" t="s">
        <v>505</v>
      </c>
      <c r="E331" s="209">
        <v>0</v>
      </c>
      <c r="F331" s="209">
        <v>0</v>
      </c>
      <c r="G331" s="209">
        <v>0</v>
      </c>
      <c r="H331" s="209">
        <v>0</v>
      </c>
      <c r="I331" s="209">
        <v>0</v>
      </c>
      <c r="J331" s="209">
        <v>0</v>
      </c>
      <c r="K331" s="209">
        <v>2067.0700000000002</v>
      </c>
    </row>
    <row r="332" spans="1:11">
      <c r="A332" s="260">
        <v>42644</v>
      </c>
      <c r="B332" s="209" t="s">
        <v>519</v>
      </c>
      <c r="C332" s="209">
        <v>6</v>
      </c>
      <c r="D332" s="272" t="s">
        <v>465</v>
      </c>
      <c r="E332" s="209">
        <v>0</v>
      </c>
      <c r="F332" s="209">
        <v>0</v>
      </c>
      <c r="G332" s="209">
        <v>0</v>
      </c>
      <c r="H332" s="209">
        <v>0</v>
      </c>
      <c r="I332" s="209">
        <v>0</v>
      </c>
      <c r="J332" s="209">
        <v>0</v>
      </c>
      <c r="K332" s="209">
        <v>2061.12</v>
      </c>
    </row>
    <row r="333" spans="1:11">
      <c r="A333" s="260">
        <v>42644</v>
      </c>
      <c r="B333" s="209" t="s">
        <v>519</v>
      </c>
      <c r="C333" s="209">
        <v>7</v>
      </c>
      <c r="D333" s="272" t="s">
        <v>460</v>
      </c>
      <c r="E333" s="209">
        <v>1</v>
      </c>
      <c r="F333" s="209">
        <v>1</v>
      </c>
      <c r="G333" s="209">
        <v>1</v>
      </c>
      <c r="H333" s="209">
        <v>1</v>
      </c>
      <c r="I333" s="209">
        <v>1</v>
      </c>
      <c r="J333" s="209">
        <v>1</v>
      </c>
      <c r="K333" s="209">
        <v>2059.9</v>
      </c>
    </row>
    <row r="334" spans="1:11">
      <c r="A334" s="260">
        <v>42644</v>
      </c>
      <c r="B334" s="209" t="s">
        <v>519</v>
      </c>
      <c r="C334" s="209">
        <v>8</v>
      </c>
      <c r="D334" s="272" t="s">
        <v>469</v>
      </c>
      <c r="E334" s="209">
        <v>0</v>
      </c>
      <c r="F334" s="209">
        <v>0</v>
      </c>
      <c r="G334" s="209">
        <v>0</v>
      </c>
      <c r="H334" s="209">
        <v>0</v>
      </c>
      <c r="I334" s="209">
        <v>0</v>
      </c>
      <c r="J334" s="209">
        <v>0</v>
      </c>
      <c r="K334" s="209">
        <v>1726.2</v>
      </c>
    </row>
    <row r="335" spans="1:11">
      <c r="A335" s="260">
        <v>42644</v>
      </c>
      <c r="B335" s="209" t="s">
        <v>519</v>
      </c>
      <c r="C335" s="209">
        <v>9</v>
      </c>
      <c r="D335" s="272" t="s">
        <v>462</v>
      </c>
      <c r="E335" s="209">
        <v>0</v>
      </c>
      <c r="F335" s="209">
        <v>0</v>
      </c>
      <c r="G335" s="209">
        <v>0</v>
      </c>
      <c r="H335" s="209">
        <v>0</v>
      </c>
      <c r="I335" s="209">
        <v>0</v>
      </c>
      <c r="J335" s="209">
        <v>0</v>
      </c>
      <c r="K335" s="209">
        <v>1474.52</v>
      </c>
    </row>
    <row r="336" spans="1:11">
      <c r="A336" s="260">
        <v>42644</v>
      </c>
      <c r="B336" s="209" t="s">
        <v>519</v>
      </c>
      <c r="C336" s="209">
        <v>10</v>
      </c>
      <c r="D336" s="272" t="s">
        <v>504</v>
      </c>
      <c r="E336" s="209">
        <v>0</v>
      </c>
      <c r="F336" s="209">
        <v>0</v>
      </c>
      <c r="G336" s="209">
        <v>0</v>
      </c>
      <c r="H336" s="209">
        <v>0</v>
      </c>
      <c r="I336" s="209">
        <v>0</v>
      </c>
      <c r="J336" s="209">
        <v>0</v>
      </c>
      <c r="K336" s="209">
        <v>1472.93</v>
      </c>
    </row>
    <row r="337" spans="1:11">
      <c r="A337" s="260">
        <v>42644</v>
      </c>
      <c r="B337" s="209" t="s">
        <v>519</v>
      </c>
      <c r="C337" s="209">
        <v>11</v>
      </c>
      <c r="D337" s="272" t="s">
        <v>467</v>
      </c>
      <c r="E337" s="209">
        <v>0</v>
      </c>
      <c r="F337" s="209">
        <v>0</v>
      </c>
      <c r="G337" s="209">
        <v>0</v>
      </c>
      <c r="H337" s="209">
        <v>0</v>
      </c>
      <c r="I337" s="209">
        <v>0</v>
      </c>
      <c r="J337" s="209">
        <v>0</v>
      </c>
      <c r="K337" s="209">
        <v>1238.5999999999999</v>
      </c>
    </row>
    <row r="338" spans="1:11">
      <c r="A338" s="260">
        <v>42644</v>
      </c>
      <c r="B338" s="209" t="s">
        <v>519</v>
      </c>
      <c r="C338" s="209">
        <v>12</v>
      </c>
      <c r="D338" s="272" t="s">
        <v>468</v>
      </c>
      <c r="E338" s="209">
        <v>0</v>
      </c>
      <c r="F338" s="209">
        <v>0</v>
      </c>
      <c r="G338" s="209">
        <v>0</v>
      </c>
      <c r="H338" s="209">
        <v>0</v>
      </c>
      <c r="I338" s="209">
        <v>0</v>
      </c>
      <c r="J338" s="209">
        <v>0</v>
      </c>
      <c r="K338" s="209">
        <v>678.5</v>
      </c>
    </row>
    <row r="339" spans="1:11">
      <c r="A339" s="260">
        <v>42644</v>
      </c>
      <c r="B339" s="209" t="s">
        <v>519</v>
      </c>
      <c r="C339" s="209">
        <v>13</v>
      </c>
      <c r="D339" s="272" t="s">
        <v>470</v>
      </c>
      <c r="E339" s="209">
        <v>0</v>
      </c>
      <c r="F339" s="209">
        <v>0</v>
      </c>
      <c r="G339" s="209">
        <v>0</v>
      </c>
      <c r="H339" s="209">
        <v>0</v>
      </c>
      <c r="I339" s="209">
        <v>0</v>
      </c>
      <c r="J339" s="209">
        <v>0</v>
      </c>
      <c r="K339" s="209">
        <v>606.66</v>
      </c>
    </row>
    <row r="340" spans="1:11">
      <c r="A340" s="260">
        <v>42644</v>
      </c>
      <c r="B340" s="209" t="s">
        <v>519</v>
      </c>
      <c r="C340" s="209">
        <v>14</v>
      </c>
      <c r="D340" s="272" t="s">
        <v>487</v>
      </c>
      <c r="E340" s="209">
        <v>0</v>
      </c>
      <c r="F340" s="209">
        <v>0</v>
      </c>
      <c r="G340" s="209">
        <v>0</v>
      </c>
      <c r="H340" s="209">
        <v>0</v>
      </c>
      <c r="I340" s="209">
        <v>0</v>
      </c>
      <c r="J340" s="209">
        <v>0</v>
      </c>
      <c r="K340" s="209">
        <v>416</v>
      </c>
    </row>
    <row r="341" spans="1:11">
      <c r="A341" s="260">
        <v>42644</v>
      </c>
      <c r="B341" s="209" t="s">
        <v>519</v>
      </c>
      <c r="C341" s="209">
        <v>15</v>
      </c>
      <c r="D341" s="272" t="s">
        <v>484</v>
      </c>
      <c r="E341" s="209">
        <v>0</v>
      </c>
      <c r="F341" s="209">
        <v>0</v>
      </c>
      <c r="G341" s="209">
        <v>0</v>
      </c>
      <c r="H341" s="209">
        <v>0</v>
      </c>
      <c r="I341" s="209">
        <v>0</v>
      </c>
      <c r="J341" s="209">
        <v>0</v>
      </c>
      <c r="K341" s="209">
        <v>412</v>
      </c>
    </row>
    <row r="342" spans="1:11">
      <c r="A342" s="260">
        <v>42644</v>
      </c>
      <c r="B342" s="209" t="s">
        <v>519</v>
      </c>
      <c r="C342" s="209">
        <v>16</v>
      </c>
      <c r="D342" s="272" t="s">
        <v>464</v>
      </c>
      <c r="E342" s="209">
        <v>1</v>
      </c>
      <c r="F342" s="209">
        <v>1</v>
      </c>
      <c r="G342" s="209">
        <v>1</v>
      </c>
      <c r="H342" s="209">
        <v>1</v>
      </c>
      <c r="I342" s="209">
        <v>1</v>
      </c>
      <c r="J342" s="209">
        <v>1</v>
      </c>
      <c r="K342" s="209">
        <v>363.2</v>
      </c>
    </row>
    <row r="343" spans="1:11">
      <c r="A343" s="260">
        <v>42644</v>
      </c>
      <c r="B343" s="209" t="s">
        <v>519</v>
      </c>
      <c r="C343" s="209">
        <v>17</v>
      </c>
      <c r="D343" s="272" t="s">
        <v>508</v>
      </c>
      <c r="E343" s="209">
        <v>0</v>
      </c>
      <c r="F343" s="209">
        <v>0</v>
      </c>
      <c r="G343" s="209">
        <v>0</v>
      </c>
      <c r="H343" s="209">
        <v>0</v>
      </c>
      <c r="I343" s="209">
        <v>0</v>
      </c>
      <c r="J343" s="209">
        <v>0</v>
      </c>
      <c r="K343" s="209">
        <v>243.75</v>
      </c>
    </row>
    <row r="344" spans="1:11">
      <c r="A344" s="260">
        <v>42644</v>
      </c>
      <c r="B344" s="209" t="s">
        <v>519</v>
      </c>
      <c r="C344" s="209">
        <v>18</v>
      </c>
      <c r="D344" s="272" t="s">
        <v>471</v>
      </c>
      <c r="E344" s="209">
        <v>0</v>
      </c>
      <c r="F344" s="209">
        <v>0</v>
      </c>
      <c r="G344" s="209">
        <v>0</v>
      </c>
      <c r="H344" s="209">
        <v>0</v>
      </c>
      <c r="I344" s="209">
        <v>0</v>
      </c>
      <c r="J344" s="209">
        <v>0</v>
      </c>
      <c r="K344" s="209">
        <v>241.1</v>
      </c>
    </row>
    <row r="345" spans="1:11">
      <c r="A345" s="208">
        <v>42645</v>
      </c>
      <c r="B345" s="209" t="s">
        <v>519</v>
      </c>
      <c r="C345" s="209">
        <v>1</v>
      </c>
      <c r="D345" s="272" t="s">
        <v>463</v>
      </c>
      <c r="E345" s="209">
        <v>0</v>
      </c>
      <c r="F345" s="209">
        <v>0</v>
      </c>
      <c r="G345" s="209">
        <v>0</v>
      </c>
      <c r="H345" s="209">
        <v>0</v>
      </c>
      <c r="I345" s="209">
        <v>0</v>
      </c>
      <c r="J345" s="209">
        <v>0</v>
      </c>
      <c r="K345" s="209">
        <v>16018.83</v>
      </c>
    </row>
    <row r="346" spans="1:11">
      <c r="A346" s="208">
        <v>42645</v>
      </c>
      <c r="B346" s="209" t="s">
        <v>519</v>
      </c>
      <c r="C346" s="209">
        <v>2</v>
      </c>
      <c r="D346" s="272" t="s">
        <v>461</v>
      </c>
      <c r="E346" s="209">
        <v>0</v>
      </c>
      <c r="F346" s="209">
        <v>0</v>
      </c>
      <c r="G346" s="209">
        <v>0</v>
      </c>
      <c r="H346" s="209">
        <v>0</v>
      </c>
      <c r="I346" s="209">
        <v>0</v>
      </c>
      <c r="J346" s="209">
        <v>0</v>
      </c>
      <c r="K346" s="209">
        <v>12073.19</v>
      </c>
    </row>
    <row r="347" spans="1:11">
      <c r="A347" s="208">
        <v>42645</v>
      </c>
      <c r="B347" s="209" t="s">
        <v>519</v>
      </c>
      <c r="C347" s="209">
        <v>3</v>
      </c>
      <c r="D347" s="272" t="s">
        <v>465</v>
      </c>
      <c r="E347" s="209">
        <v>2</v>
      </c>
      <c r="F347" s="209">
        <v>2</v>
      </c>
      <c r="G347" s="209">
        <v>0</v>
      </c>
      <c r="H347" s="209">
        <v>0</v>
      </c>
      <c r="I347" s="209">
        <v>1.94</v>
      </c>
      <c r="J347" s="209">
        <v>0</v>
      </c>
      <c r="K347" s="209">
        <v>10326.719999999999</v>
      </c>
    </row>
    <row r="348" spans="1:11">
      <c r="A348" s="208">
        <v>42645</v>
      </c>
      <c r="B348" s="209" t="s">
        <v>519</v>
      </c>
      <c r="C348" s="209">
        <v>4</v>
      </c>
      <c r="D348" s="272" t="s">
        <v>489</v>
      </c>
      <c r="E348" s="209">
        <v>0</v>
      </c>
      <c r="F348" s="209">
        <v>0</v>
      </c>
      <c r="G348" s="209">
        <v>0</v>
      </c>
      <c r="H348" s="209">
        <v>0</v>
      </c>
      <c r="I348" s="209">
        <v>0</v>
      </c>
      <c r="J348" s="209">
        <v>0</v>
      </c>
      <c r="K348" s="209">
        <v>9129.7099999999991</v>
      </c>
    </row>
    <row r="349" spans="1:11">
      <c r="A349" s="208">
        <v>42645</v>
      </c>
      <c r="B349" s="209" t="s">
        <v>519</v>
      </c>
      <c r="C349" s="209">
        <v>5</v>
      </c>
      <c r="D349" s="272" t="s">
        <v>466</v>
      </c>
      <c r="E349" s="209">
        <v>5</v>
      </c>
      <c r="F349" s="209">
        <v>8</v>
      </c>
      <c r="G349" s="209">
        <v>1</v>
      </c>
      <c r="H349" s="209">
        <v>1</v>
      </c>
      <c r="I349" s="209">
        <v>8</v>
      </c>
      <c r="J349" s="209">
        <v>1</v>
      </c>
      <c r="K349" s="209">
        <v>6716.95</v>
      </c>
    </row>
    <row r="350" spans="1:11">
      <c r="A350" s="208">
        <v>42645</v>
      </c>
      <c r="B350" s="209" t="s">
        <v>519</v>
      </c>
      <c r="C350" s="209">
        <v>6</v>
      </c>
      <c r="D350" s="272" t="s">
        <v>470</v>
      </c>
      <c r="E350" s="209">
        <v>5</v>
      </c>
      <c r="F350" s="209">
        <v>5</v>
      </c>
      <c r="G350" s="209">
        <v>4</v>
      </c>
      <c r="H350" s="209">
        <v>4</v>
      </c>
      <c r="I350" s="209">
        <v>5</v>
      </c>
      <c r="J350" s="209">
        <v>4</v>
      </c>
      <c r="K350" s="209">
        <v>5591.42</v>
      </c>
    </row>
    <row r="351" spans="1:11">
      <c r="A351" s="208">
        <v>42645</v>
      </c>
      <c r="B351" s="209" t="s">
        <v>519</v>
      </c>
      <c r="C351" s="209">
        <v>7</v>
      </c>
      <c r="D351" s="272" t="s">
        <v>505</v>
      </c>
      <c r="E351" s="209">
        <v>0</v>
      </c>
      <c r="F351" s="209">
        <v>0</v>
      </c>
      <c r="G351" s="209">
        <v>0</v>
      </c>
      <c r="H351" s="209">
        <v>0</v>
      </c>
      <c r="I351" s="209">
        <v>0</v>
      </c>
      <c r="J351" s="209">
        <v>0</v>
      </c>
      <c r="K351" s="209">
        <v>4454.2299999999996</v>
      </c>
    </row>
    <row r="352" spans="1:11">
      <c r="A352" s="208">
        <v>42645</v>
      </c>
      <c r="B352" s="209" t="s">
        <v>519</v>
      </c>
      <c r="C352" s="209">
        <v>8</v>
      </c>
      <c r="D352" s="272" t="s">
        <v>460</v>
      </c>
      <c r="E352" s="209">
        <v>1</v>
      </c>
      <c r="F352" s="209">
        <v>3</v>
      </c>
      <c r="G352" s="209">
        <v>0</v>
      </c>
      <c r="H352" s="209">
        <v>2</v>
      </c>
      <c r="I352" s="209">
        <v>3</v>
      </c>
      <c r="J352" s="209">
        <v>2</v>
      </c>
      <c r="K352" s="209">
        <v>3929.28</v>
      </c>
    </row>
    <row r="353" spans="1:11">
      <c r="A353" s="208">
        <v>42645</v>
      </c>
      <c r="B353" s="209" t="s">
        <v>519</v>
      </c>
      <c r="C353" s="209">
        <v>9</v>
      </c>
      <c r="D353" s="272" t="s">
        <v>469</v>
      </c>
      <c r="E353" s="209">
        <v>0</v>
      </c>
      <c r="F353" s="209">
        <v>0</v>
      </c>
      <c r="G353" s="209">
        <v>0</v>
      </c>
      <c r="H353" s="209">
        <v>0</v>
      </c>
      <c r="I353" s="209">
        <v>0</v>
      </c>
      <c r="J353" s="209">
        <v>0</v>
      </c>
      <c r="K353" s="209">
        <v>3922.5</v>
      </c>
    </row>
    <row r="354" spans="1:11">
      <c r="A354" s="208">
        <v>42645</v>
      </c>
      <c r="B354" s="209" t="s">
        <v>519</v>
      </c>
      <c r="C354" s="209">
        <v>10</v>
      </c>
      <c r="D354" s="272" t="s">
        <v>504</v>
      </c>
      <c r="E354" s="209">
        <v>0</v>
      </c>
      <c r="F354" s="209">
        <v>0</v>
      </c>
      <c r="G354" s="209">
        <v>0</v>
      </c>
      <c r="H354" s="209">
        <v>0</v>
      </c>
      <c r="I354" s="209">
        <v>0</v>
      </c>
      <c r="J354" s="209">
        <v>0</v>
      </c>
      <c r="K354" s="209">
        <v>3405.71</v>
      </c>
    </row>
    <row r="355" spans="1:11">
      <c r="A355" s="208">
        <v>42645</v>
      </c>
      <c r="B355" s="209" t="s">
        <v>519</v>
      </c>
      <c r="C355" s="209">
        <v>11</v>
      </c>
      <c r="D355" s="272" t="s">
        <v>462</v>
      </c>
      <c r="E355" s="209">
        <v>0</v>
      </c>
      <c r="F355" s="209">
        <v>0</v>
      </c>
      <c r="G355" s="209">
        <v>0</v>
      </c>
      <c r="H355" s="209">
        <v>0</v>
      </c>
      <c r="I355" s="209">
        <v>0</v>
      </c>
      <c r="J355" s="209">
        <v>0</v>
      </c>
      <c r="K355" s="209">
        <v>3356.82</v>
      </c>
    </row>
    <row r="356" spans="1:11">
      <c r="A356" s="208">
        <v>42645</v>
      </c>
      <c r="B356" s="209" t="s">
        <v>519</v>
      </c>
      <c r="C356" s="209">
        <v>12</v>
      </c>
      <c r="D356" s="272" t="s">
        <v>467</v>
      </c>
      <c r="E356" s="209">
        <v>0</v>
      </c>
      <c r="F356" s="209">
        <v>0</v>
      </c>
      <c r="G356" s="209">
        <v>0</v>
      </c>
      <c r="H356" s="209">
        <v>0</v>
      </c>
      <c r="I356" s="209">
        <v>0</v>
      </c>
      <c r="J356" s="209">
        <v>0</v>
      </c>
      <c r="K356" s="209">
        <v>2573.71</v>
      </c>
    </row>
    <row r="357" spans="1:11">
      <c r="A357" s="208">
        <v>42645</v>
      </c>
      <c r="B357" s="209" t="s">
        <v>519</v>
      </c>
      <c r="C357" s="209">
        <v>13</v>
      </c>
      <c r="D357" s="272" t="s">
        <v>468</v>
      </c>
      <c r="E357" s="209">
        <v>0</v>
      </c>
      <c r="F357" s="209">
        <v>0</v>
      </c>
      <c r="G357" s="209">
        <v>0</v>
      </c>
      <c r="H357" s="209">
        <v>0</v>
      </c>
      <c r="I357" s="209">
        <v>0</v>
      </c>
      <c r="J357" s="209">
        <v>0</v>
      </c>
      <c r="K357" s="209">
        <v>1572.5</v>
      </c>
    </row>
    <row r="358" spans="1:11">
      <c r="A358" s="208">
        <v>42645</v>
      </c>
      <c r="B358" s="209" t="s">
        <v>519</v>
      </c>
      <c r="C358" s="209">
        <v>14</v>
      </c>
      <c r="D358" s="272" t="s">
        <v>484</v>
      </c>
      <c r="E358" s="209">
        <v>0</v>
      </c>
      <c r="F358" s="209">
        <v>0</v>
      </c>
      <c r="G358" s="209">
        <v>0</v>
      </c>
      <c r="H358" s="209">
        <v>0</v>
      </c>
      <c r="I358" s="209">
        <v>0</v>
      </c>
      <c r="J358" s="209">
        <v>0</v>
      </c>
      <c r="K358" s="209">
        <v>1424</v>
      </c>
    </row>
    <row r="359" spans="1:11">
      <c r="A359" s="208">
        <v>42645</v>
      </c>
      <c r="B359" s="209" t="s">
        <v>519</v>
      </c>
      <c r="C359" s="209">
        <v>15</v>
      </c>
      <c r="D359" s="272" t="s">
        <v>487</v>
      </c>
      <c r="E359" s="209">
        <v>0</v>
      </c>
      <c r="F359" s="209">
        <v>0</v>
      </c>
      <c r="G359" s="209">
        <v>0</v>
      </c>
      <c r="H359" s="209">
        <v>0</v>
      </c>
      <c r="I359" s="209">
        <v>0</v>
      </c>
      <c r="J359" s="209">
        <v>0</v>
      </c>
      <c r="K359" s="209">
        <v>1300</v>
      </c>
    </row>
    <row r="360" spans="1:11">
      <c r="A360" s="208">
        <v>42645</v>
      </c>
      <c r="B360" s="209" t="s">
        <v>519</v>
      </c>
      <c r="C360" s="209">
        <v>16</v>
      </c>
      <c r="D360" s="272" t="s">
        <v>490</v>
      </c>
      <c r="E360" s="209">
        <v>1</v>
      </c>
      <c r="F360" s="209">
        <v>1</v>
      </c>
      <c r="G360" s="209">
        <v>0</v>
      </c>
      <c r="H360" s="209">
        <v>0</v>
      </c>
      <c r="I360" s="209">
        <v>1</v>
      </c>
      <c r="J360" s="209">
        <v>0</v>
      </c>
      <c r="K360" s="209">
        <v>1012.1</v>
      </c>
    </row>
    <row r="361" spans="1:11">
      <c r="A361" s="208">
        <v>42645</v>
      </c>
      <c r="B361" s="209" t="s">
        <v>519</v>
      </c>
      <c r="C361" s="209">
        <v>17</v>
      </c>
      <c r="D361" s="272" t="s">
        <v>464</v>
      </c>
      <c r="E361" s="209">
        <v>0</v>
      </c>
      <c r="F361" s="209">
        <v>2</v>
      </c>
      <c r="G361" s="209">
        <v>0</v>
      </c>
      <c r="H361" s="209">
        <v>1</v>
      </c>
      <c r="I361" s="209">
        <v>2</v>
      </c>
      <c r="J361" s="209">
        <v>1</v>
      </c>
      <c r="K361" s="209">
        <v>717.8</v>
      </c>
    </row>
    <row r="362" spans="1:11">
      <c r="A362" s="208">
        <v>42645</v>
      </c>
      <c r="B362" s="209" t="s">
        <v>519</v>
      </c>
      <c r="C362" s="209">
        <v>18</v>
      </c>
      <c r="D362" s="272" t="s">
        <v>471</v>
      </c>
      <c r="E362" s="209">
        <v>0</v>
      </c>
      <c r="F362" s="209">
        <v>0</v>
      </c>
      <c r="G362" s="209">
        <v>0</v>
      </c>
      <c r="H362" s="209">
        <v>0</v>
      </c>
      <c r="I362" s="209">
        <v>0</v>
      </c>
      <c r="J362" s="209">
        <v>0</v>
      </c>
      <c r="K362" s="209">
        <v>517.20000000000005</v>
      </c>
    </row>
    <row r="363" spans="1:11">
      <c r="A363" s="208">
        <v>42645</v>
      </c>
      <c r="B363" s="209" t="s">
        <v>519</v>
      </c>
      <c r="C363" s="209">
        <v>19</v>
      </c>
      <c r="D363" s="272" t="s">
        <v>508</v>
      </c>
      <c r="E363" s="209">
        <v>0</v>
      </c>
      <c r="F363" s="209">
        <v>0</v>
      </c>
      <c r="G363" s="209">
        <v>0</v>
      </c>
      <c r="H363" s="209">
        <v>0</v>
      </c>
      <c r="I363" s="209">
        <v>0</v>
      </c>
      <c r="J363" s="209">
        <v>0</v>
      </c>
      <c r="K363" s="209">
        <v>490.8</v>
      </c>
    </row>
    <row r="364" spans="1:11">
      <c r="A364" s="208">
        <v>42645</v>
      </c>
      <c r="B364" s="209" t="s">
        <v>519</v>
      </c>
      <c r="C364" s="209">
        <v>20</v>
      </c>
      <c r="D364" s="272" t="s">
        <v>510</v>
      </c>
      <c r="E364" s="209">
        <v>0</v>
      </c>
      <c r="F364" s="209">
        <v>0</v>
      </c>
      <c r="G364" s="209">
        <v>0</v>
      </c>
      <c r="H364" s="209">
        <v>0</v>
      </c>
      <c r="I364" s="209">
        <v>0</v>
      </c>
      <c r="J364" s="209">
        <v>0</v>
      </c>
      <c r="K364" s="209">
        <v>378</v>
      </c>
    </row>
    <row r="365" spans="1:11">
      <c r="A365" s="208">
        <v>42645</v>
      </c>
      <c r="B365" s="209" t="s">
        <v>519</v>
      </c>
      <c r="C365" s="209">
        <v>21</v>
      </c>
      <c r="D365" s="272" t="s">
        <v>479</v>
      </c>
      <c r="E365" s="209">
        <v>0</v>
      </c>
      <c r="F365" s="209">
        <v>0</v>
      </c>
      <c r="G365" s="209">
        <v>0</v>
      </c>
      <c r="H365" s="209">
        <v>0</v>
      </c>
      <c r="I365" s="209">
        <v>0</v>
      </c>
      <c r="J365" s="209">
        <v>0</v>
      </c>
      <c r="K365" s="209">
        <v>148</v>
      </c>
    </row>
    <row r="366" spans="1:11">
      <c r="A366" s="208">
        <v>42645</v>
      </c>
      <c r="B366" s="209" t="s">
        <v>519</v>
      </c>
      <c r="C366" s="209">
        <v>22</v>
      </c>
      <c r="D366" s="272" t="s">
        <v>472</v>
      </c>
      <c r="E366" s="209">
        <v>0</v>
      </c>
      <c r="F366" s="209">
        <v>0</v>
      </c>
      <c r="G366" s="209">
        <v>0</v>
      </c>
      <c r="H366" s="209">
        <v>0</v>
      </c>
      <c r="I366" s="209">
        <v>0</v>
      </c>
      <c r="J366" s="209">
        <v>0</v>
      </c>
      <c r="K366" s="209">
        <v>8</v>
      </c>
    </row>
    <row r="367" spans="1:11">
      <c r="A367" s="208">
        <v>42646</v>
      </c>
      <c r="B367" s="209" t="s">
        <v>519</v>
      </c>
      <c r="C367" s="209">
        <v>1</v>
      </c>
      <c r="D367" s="272" t="s">
        <v>463</v>
      </c>
      <c r="E367" s="209">
        <v>0</v>
      </c>
      <c r="F367" s="209">
        <v>0</v>
      </c>
      <c r="G367" s="209">
        <v>0</v>
      </c>
      <c r="H367" s="209">
        <v>0</v>
      </c>
      <c r="I367" s="209">
        <v>0</v>
      </c>
      <c r="J367" s="209">
        <v>0</v>
      </c>
      <c r="K367" s="209">
        <v>23702.12</v>
      </c>
    </row>
    <row r="368" spans="1:11">
      <c r="A368" s="208">
        <v>42646</v>
      </c>
      <c r="B368" s="209" t="s">
        <v>519</v>
      </c>
      <c r="C368" s="209">
        <v>2</v>
      </c>
      <c r="D368" s="272" t="s">
        <v>465</v>
      </c>
      <c r="E368" s="209">
        <v>4</v>
      </c>
      <c r="F368" s="209">
        <v>6</v>
      </c>
      <c r="G368" s="209">
        <v>2</v>
      </c>
      <c r="H368" s="209">
        <v>3</v>
      </c>
      <c r="I368" s="209">
        <v>3.2</v>
      </c>
      <c r="J368" s="209">
        <v>1.6</v>
      </c>
      <c r="K368" s="209">
        <v>18726.240000000002</v>
      </c>
    </row>
    <row r="369" spans="1:11">
      <c r="A369" s="208">
        <v>42646</v>
      </c>
      <c r="B369" s="209" t="s">
        <v>519</v>
      </c>
      <c r="C369" s="209">
        <v>3</v>
      </c>
      <c r="D369" s="272" t="s">
        <v>461</v>
      </c>
      <c r="E369" s="209">
        <v>0</v>
      </c>
      <c r="F369" s="209">
        <v>0</v>
      </c>
      <c r="G369" s="209">
        <v>0</v>
      </c>
      <c r="H369" s="209">
        <v>0</v>
      </c>
      <c r="I369" s="209">
        <v>0</v>
      </c>
      <c r="J369" s="209">
        <v>0</v>
      </c>
      <c r="K369" s="209">
        <v>12503.3</v>
      </c>
    </row>
    <row r="370" spans="1:11">
      <c r="A370" s="208">
        <v>42646</v>
      </c>
      <c r="B370" s="209" t="s">
        <v>519</v>
      </c>
      <c r="C370" s="209">
        <v>4</v>
      </c>
      <c r="D370" s="272" t="s">
        <v>489</v>
      </c>
      <c r="E370" s="209">
        <v>0</v>
      </c>
      <c r="F370" s="209">
        <v>1</v>
      </c>
      <c r="G370" s="209">
        <v>0</v>
      </c>
      <c r="H370" s="209">
        <v>1</v>
      </c>
      <c r="I370" s="209">
        <v>0.85</v>
      </c>
      <c r="J370" s="209">
        <v>0.85</v>
      </c>
      <c r="K370" s="209">
        <v>11740.93</v>
      </c>
    </row>
    <row r="371" spans="1:11">
      <c r="A371" s="208">
        <v>42646</v>
      </c>
      <c r="B371" s="209" t="s">
        <v>519</v>
      </c>
      <c r="C371" s="209">
        <v>5</v>
      </c>
      <c r="D371" s="272" t="s">
        <v>466</v>
      </c>
      <c r="E371" s="209">
        <v>3</v>
      </c>
      <c r="F371" s="209">
        <v>11</v>
      </c>
      <c r="G371" s="209">
        <v>0</v>
      </c>
      <c r="H371" s="209">
        <v>2</v>
      </c>
      <c r="I371" s="209">
        <v>11</v>
      </c>
      <c r="J371" s="209">
        <v>2</v>
      </c>
      <c r="K371" s="209">
        <v>8224.8799999999992</v>
      </c>
    </row>
    <row r="372" spans="1:11">
      <c r="A372" s="208">
        <v>42646</v>
      </c>
      <c r="B372" s="209" t="s">
        <v>519</v>
      </c>
      <c r="C372" s="209">
        <v>6</v>
      </c>
      <c r="D372" s="272" t="s">
        <v>470</v>
      </c>
      <c r="E372" s="209">
        <v>0</v>
      </c>
      <c r="F372" s="209">
        <v>5</v>
      </c>
      <c r="G372" s="209">
        <v>0</v>
      </c>
      <c r="H372" s="209">
        <v>4</v>
      </c>
      <c r="I372" s="209">
        <v>5</v>
      </c>
      <c r="J372" s="209">
        <v>4</v>
      </c>
      <c r="K372" s="209">
        <v>7579.68</v>
      </c>
    </row>
    <row r="373" spans="1:11">
      <c r="A373" s="208">
        <v>42646</v>
      </c>
      <c r="B373" s="209" t="s">
        <v>519</v>
      </c>
      <c r="C373" s="209">
        <v>7</v>
      </c>
      <c r="D373" s="272" t="s">
        <v>505</v>
      </c>
      <c r="E373" s="209">
        <v>0</v>
      </c>
      <c r="F373" s="209">
        <v>0</v>
      </c>
      <c r="G373" s="209">
        <v>0</v>
      </c>
      <c r="H373" s="209">
        <v>0</v>
      </c>
      <c r="I373" s="209">
        <v>0</v>
      </c>
      <c r="J373" s="209">
        <v>0</v>
      </c>
      <c r="K373" s="209">
        <v>6253.13</v>
      </c>
    </row>
    <row r="374" spans="1:11">
      <c r="A374" s="208">
        <v>42646</v>
      </c>
      <c r="B374" s="209" t="s">
        <v>519</v>
      </c>
      <c r="C374" s="209">
        <v>8</v>
      </c>
      <c r="D374" s="272" t="s">
        <v>504</v>
      </c>
      <c r="E374" s="209">
        <v>0</v>
      </c>
      <c r="F374" s="209">
        <v>0</v>
      </c>
      <c r="G374" s="209">
        <v>0</v>
      </c>
      <c r="H374" s="209">
        <v>0</v>
      </c>
      <c r="I374" s="209">
        <v>0</v>
      </c>
      <c r="J374" s="209">
        <v>0</v>
      </c>
      <c r="K374" s="209">
        <v>6104.05</v>
      </c>
    </row>
    <row r="375" spans="1:11">
      <c r="A375" s="208">
        <v>42646</v>
      </c>
      <c r="B375" s="209" t="s">
        <v>519</v>
      </c>
      <c r="C375" s="209">
        <v>9</v>
      </c>
      <c r="D375" s="272" t="s">
        <v>469</v>
      </c>
      <c r="E375" s="209">
        <v>0</v>
      </c>
      <c r="F375" s="209">
        <v>0</v>
      </c>
      <c r="G375" s="209">
        <v>0</v>
      </c>
      <c r="H375" s="209">
        <v>0</v>
      </c>
      <c r="I375" s="209">
        <v>0</v>
      </c>
      <c r="J375" s="209">
        <v>0</v>
      </c>
      <c r="K375" s="209">
        <v>4938.1000000000004</v>
      </c>
    </row>
    <row r="376" spans="1:11">
      <c r="A376" s="208">
        <v>42646</v>
      </c>
      <c r="B376" s="209" t="s">
        <v>519</v>
      </c>
      <c r="C376" s="209">
        <v>10</v>
      </c>
      <c r="D376" s="272" t="s">
        <v>462</v>
      </c>
      <c r="E376" s="209">
        <v>0</v>
      </c>
      <c r="F376" s="209">
        <v>0</v>
      </c>
      <c r="G376" s="209">
        <v>0</v>
      </c>
      <c r="H376" s="209">
        <v>0</v>
      </c>
      <c r="I376" s="209">
        <v>0</v>
      </c>
      <c r="J376" s="209">
        <v>0</v>
      </c>
      <c r="K376" s="209">
        <v>4089.92</v>
      </c>
    </row>
    <row r="377" spans="1:11">
      <c r="A377" s="208">
        <v>42646</v>
      </c>
      <c r="B377" s="209" t="s">
        <v>519</v>
      </c>
      <c r="C377" s="209">
        <v>11</v>
      </c>
      <c r="D377" s="272" t="s">
        <v>460</v>
      </c>
      <c r="E377" s="209">
        <v>1</v>
      </c>
      <c r="F377" s="209">
        <v>4</v>
      </c>
      <c r="G377" s="209">
        <v>0</v>
      </c>
      <c r="H377" s="209">
        <v>2</v>
      </c>
      <c r="I377" s="209">
        <v>4</v>
      </c>
      <c r="J377" s="209">
        <v>2</v>
      </c>
      <c r="K377" s="209">
        <v>3998.09</v>
      </c>
    </row>
    <row r="378" spans="1:11">
      <c r="A378" s="208">
        <v>42646</v>
      </c>
      <c r="B378" s="209" t="s">
        <v>519</v>
      </c>
      <c r="C378" s="209">
        <v>12</v>
      </c>
      <c r="D378" s="272" t="s">
        <v>490</v>
      </c>
      <c r="E378" s="209">
        <v>1</v>
      </c>
      <c r="F378" s="209">
        <v>2</v>
      </c>
      <c r="G378" s="209">
        <v>1</v>
      </c>
      <c r="H378" s="209">
        <v>1</v>
      </c>
      <c r="I378" s="209">
        <v>2</v>
      </c>
      <c r="J378" s="209">
        <v>1</v>
      </c>
      <c r="K378" s="209">
        <v>3244.1</v>
      </c>
    </row>
    <row r="379" spans="1:11">
      <c r="A379" s="208">
        <v>42646</v>
      </c>
      <c r="B379" s="209" t="s">
        <v>519</v>
      </c>
      <c r="C379" s="209">
        <v>13</v>
      </c>
      <c r="D379" s="272" t="s">
        <v>484</v>
      </c>
      <c r="E379" s="209">
        <v>2</v>
      </c>
      <c r="F379" s="209">
        <v>2</v>
      </c>
      <c r="G379" s="209">
        <v>2</v>
      </c>
      <c r="H379" s="209">
        <v>2</v>
      </c>
      <c r="I379" s="209">
        <v>2</v>
      </c>
      <c r="J379" s="209">
        <v>2</v>
      </c>
      <c r="K379" s="209">
        <v>2792</v>
      </c>
    </row>
    <row r="380" spans="1:11">
      <c r="A380" s="208">
        <v>42646</v>
      </c>
      <c r="B380" s="209" t="s">
        <v>519</v>
      </c>
      <c r="C380" s="209">
        <v>14</v>
      </c>
      <c r="D380" s="272" t="s">
        <v>467</v>
      </c>
      <c r="E380" s="209">
        <v>0</v>
      </c>
      <c r="F380" s="209">
        <v>0</v>
      </c>
      <c r="G380" s="209">
        <v>0</v>
      </c>
      <c r="H380" s="209">
        <v>0</v>
      </c>
      <c r="I380" s="209">
        <v>0</v>
      </c>
      <c r="J380" s="209">
        <v>0</v>
      </c>
      <c r="K380" s="209">
        <v>2579.09</v>
      </c>
    </row>
    <row r="381" spans="1:11">
      <c r="A381" s="208">
        <v>42646</v>
      </c>
      <c r="B381" s="209" t="s">
        <v>519</v>
      </c>
      <c r="C381" s="209">
        <v>15</v>
      </c>
      <c r="D381" s="272" t="s">
        <v>487</v>
      </c>
      <c r="E381" s="209">
        <v>0</v>
      </c>
      <c r="F381" s="209">
        <v>0</v>
      </c>
      <c r="G381" s="209">
        <v>0</v>
      </c>
      <c r="H381" s="209">
        <v>0</v>
      </c>
      <c r="I381" s="209">
        <v>0</v>
      </c>
      <c r="J381" s="209">
        <v>0</v>
      </c>
      <c r="K381" s="209">
        <v>2442.0700000000002</v>
      </c>
    </row>
    <row r="382" spans="1:11">
      <c r="A382" s="208">
        <v>42646</v>
      </c>
      <c r="B382" s="209" t="s">
        <v>519</v>
      </c>
      <c r="C382" s="209">
        <v>16</v>
      </c>
      <c r="D382" s="272" t="s">
        <v>468</v>
      </c>
      <c r="E382" s="209">
        <v>0</v>
      </c>
      <c r="F382" s="209">
        <v>0</v>
      </c>
      <c r="G382" s="209">
        <v>0</v>
      </c>
      <c r="H382" s="209">
        <v>0</v>
      </c>
      <c r="I382" s="209">
        <v>0</v>
      </c>
      <c r="J382" s="209">
        <v>0</v>
      </c>
      <c r="K382" s="209">
        <v>1909.5</v>
      </c>
    </row>
    <row r="383" spans="1:11">
      <c r="A383" s="208">
        <v>42646</v>
      </c>
      <c r="B383" s="209" t="s">
        <v>519</v>
      </c>
      <c r="C383" s="209">
        <v>17</v>
      </c>
      <c r="D383" s="272" t="s">
        <v>464</v>
      </c>
      <c r="E383" s="209">
        <v>0</v>
      </c>
      <c r="F383" s="209">
        <v>2</v>
      </c>
      <c r="G383" s="209">
        <v>0</v>
      </c>
      <c r="H383" s="209">
        <v>1</v>
      </c>
      <c r="I383" s="209">
        <v>2</v>
      </c>
      <c r="J383" s="209">
        <v>1</v>
      </c>
      <c r="K383" s="209">
        <v>936.5</v>
      </c>
    </row>
    <row r="384" spans="1:11">
      <c r="A384" s="208">
        <v>42646</v>
      </c>
      <c r="B384" s="209" t="s">
        <v>519</v>
      </c>
      <c r="C384" s="209">
        <v>18</v>
      </c>
      <c r="D384" s="272" t="s">
        <v>510</v>
      </c>
      <c r="E384" s="209">
        <v>0</v>
      </c>
      <c r="F384" s="209">
        <v>0</v>
      </c>
      <c r="G384" s="209">
        <v>0</v>
      </c>
      <c r="H384" s="209">
        <v>0</v>
      </c>
      <c r="I384" s="209">
        <v>0</v>
      </c>
      <c r="J384" s="209">
        <v>0</v>
      </c>
      <c r="K384" s="209">
        <v>855.01</v>
      </c>
    </row>
    <row r="385" spans="1:11">
      <c r="A385" s="208">
        <v>42646</v>
      </c>
      <c r="B385" s="209" t="s">
        <v>519</v>
      </c>
      <c r="C385" s="209">
        <v>19</v>
      </c>
      <c r="D385" s="272" t="s">
        <v>479</v>
      </c>
      <c r="E385" s="209">
        <v>0</v>
      </c>
      <c r="F385" s="209">
        <v>0</v>
      </c>
      <c r="G385" s="209">
        <v>0</v>
      </c>
      <c r="H385" s="209">
        <v>0</v>
      </c>
      <c r="I385" s="209">
        <v>0</v>
      </c>
      <c r="J385" s="209">
        <v>0</v>
      </c>
      <c r="K385" s="209">
        <v>822</v>
      </c>
    </row>
    <row r="386" spans="1:11">
      <c r="A386" s="208">
        <v>42646</v>
      </c>
      <c r="B386" s="209" t="s">
        <v>519</v>
      </c>
      <c r="C386" s="209">
        <v>20</v>
      </c>
      <c r="D386" s="272" t="s">
        <v>471</v>
      </c>
      <c r="E386" s="209">
        <v>0</v>
      </c>
      <c r="F386" s="209">
        <v>0</v>
      </c>
      <c r="G386" s="209">
        <v>0</v>
      </c>
      <c r="H386" s="209">
        <v>0</v>
      </c>
      <c r="I386" s="209">
        <v>0</v>
      </c>
      <c r="J386" s="209">
        <v>0</v>
      </c>
      <c r="K386" s="209">
        <v>805.2</v>
      </c>
    </row>
    <row r="387" spans="1:11">
      <c r="A387" s="208">
        <v>42646</v>
      </c>
      <c r="B387" s="209" t="s">
        <v>519</v>
      </c>
      <c r="C387" s="209">
        <v>21</v>
      </c>
      <c r="D387" s="272" t="s">
        <v>508</v>
      </c>
      <c r="E387" s="209">
        <v>0</v>
      </c>
      <c r="F387" s="209">
        <v>1</v>
      </c>
      <c r="G387" s="209">
        <v>0</v>
      </c>
      <c r="H387" s="209">
        <v>1</v>
      </c>
      <c r="I387" s="209">
        <v>1</v>
      </c>
      <c r="J387" s="209">
        <v>1</v>
      </c>
      <c r="K387" s="209">
        <v>678.08</v>
      </c>
    </row>
    <row r="388" spans="1:11">
      <c r="A388" s="208">
        <v>42646</v>
      </c>
      <c r="B388" s="209" t="s">
        <v>519</v>
      </c>
      <c r="C388" s="209">
        <v>22</v>
      </c>
      <c r="D388" s="272" t="s">
        <v>480</v>
      </c>
      <c r="E388" s="209">
        <v>0</v>
      </c>
      <c r="F388" s="209">
        <v>0</v>
      </c>
      <c r="G388" s="209">
        <v>0</v>
      </c>
      <c r="H388" s="209">
        <v>0</v>
      </c>
      <c r="I388" s="209">
        <v>0</v>
      </c>
      <c r="J388" s="209">
        <v>0</v>
      </c>
      <c r="K388" s="209">
        <v>26</v>
      </c>
    </row>
    <row r="389" spans="1:11">
      <c r="A389" s="208">
        <v>42646</v>
      </c>
      <c r="B389" s="209" t="s">
        <v>519</v>
      </c>
      <c r="C389" s="209">
        <v>23</v>
      </c>
      <c r="D389" s="272" t="s">
        <v>472</v>
      </c>
      <c r="E389" s="209">
        <v>0</v>
      </c>
      <c r="F389" s="209">
        <v>0</v>
      </c>
      <c r="G389" s="209">
        <v>0</v>
      </c>
      <c r="H389" s="209">
        <v>0</v>
      </c>
      <c r="I389" s="209">
        <v>0</v>
      </c>
      <c r="J389" s="209">
        <v>0</v>
      </c>
      <c r="K389" s="209">
        <v>23.11</v>
      </c>
    </row>
    <row r="390" spans="1:11">
      <c r="A390" s="208">
        <v>42647</v>
      </c>
      <c r="B390" s="209" t="s">
        <v>519</v>
      </c>
      <c r="C390" s="209">
        <v>1</v>
      </c>
      <c r="D390" s="272" t="s">
        <v>463</v>
      </c>
      <c r="E390" s="209">
        <v>0</v>
      </c>
      <c r="F390" s="209">
        <v>1</v>
      </c>
      <c r="G390" s="209">
        <v>0</v>
      </c>
      <c r="H390" s="209">
        <v>0</v>
      </c>
      <c r="I390" s="209">
        <v>0.32</v>
      </c>
      <c r="J390" s="209">
        <v>0</v>
      </c>
      <c r="K390" s="209">
        <v>31178.99</v>
      </c>
    </row>
    <row r="391" spans="1:11">
      <c r="A391" s="208">
        <v>42647</v>
      </c>
      <c r="B391" s="209" t="s">
        <v>519</v>
      </c>
      <c r="C391" s="209">
        <v>2</v>
      </c>
      <c r="D391" s="272" t="s">
        <v>465</v>
      </c>
      <c r="E391" s="209">
        <v>2</v>
      </c>
      <c r="F391" s="209">
        <v>9</v>
      </c>
      <c r="G391" s="209">
        <v>1</v>
      </c>
      <c r="H391" s="209">
        <v>5</v>
      </c>
      <c r="I391" s="209">
        <v>4.46</v>
      </c>
      <c r="J391" s="209">
        <v>2.48</v>
      </c>
      <c r="K391" s="209">
        <v>20166.189999999999</v>
      </c>
    </row>
    <row r="392" spans="1:11">
      <c r="A392" s="208">
        <v>42647</v>
      </c>
      <c r="B392" s="209" t="s">
        <v>519</v>
      </c>
      <c r="C392" s="209">
        <v>3</v>
      </c>
      <c r="D392" s="272" t="s">
        <v>461</v>
      </c>
      <c r="E392" s="209">
        <v>0</v>
      </c>
      <c r="F392" s="209">
        <v>0</v>
      </c>
      <c r="G392" s="209">
        <v>0</v>
      </c>
      <c r="H392" s="209">
        <v>0</v>
      </c>
      <c r="I392" s="209">
        <v>0</v>
      </c>
      <c r="J392" s="209">
        <v>0</v>
      </c>
      <c r="K392" s="209">
        <v>13389.73</v>
      </c>
    </row>
    <row r="393" spans="1:11">
      <c r="A393" s="208">
        <v>42647</v>
      </c>
      <c r="B393" s="209" t="s">
        <v>519</v>
      </c>
      <c r="C393" s="209">
        <v>4</v>
      </c>
      <c r="D393" s="272" t="s">
        <v>489</v>
      </c>
      <c r="E393" s="209">
        <v>2</v>
      </c>
      <c r="F393" s="209">
        <v>4</v>
      </c>
      <c r="G393" s="209">
        <v>0</v>
      </c>
      <c r="H393" s="209">
        <v>1</v>
      </c>
      <c r="I393" s="209">
        <v>3</v>
      </c>
      <c r="J393" s="209">
        <v>0.75</v>
      </c>
      <c r="K393" s="209">
        <v>13345.08</v>
      </c>
    </row>
    <row r="394" spans="1:11">
      <c r="A394" s="208">
        <v>42647</v>
      </c>
      <c r="B394" s="209" t="s">
        <v>519</v>
      </c>
      <c r="C394" s="209">
        <v>5</v>
      </c>
      <c r="D394" s="272" t="s">
        <v>504</v>
      </c>
      <c r="E394" s="209">
        <v>1</v>
      </c>
      <c r="F394" s="209">
        <v>1</v>
      </c>
      <c r="G394" s="209">
        <v>1</v>
      </c>
      <c r="H394" s="209">
        <v>1</v>
      </c>
      <c r="I394" s="209">
        <v>1</v>
      </c>
      <c r="J394" s="209">
        <v>1</v>
      </c>
      <c r="K394" s="209">
        <v>9771.84</v>
      </c>
    </row>
    <row r="395" spans="1:11">
      <c r="A395" s="208">
        <v>42647</v>
      </c>
      <c r="B395" s="209" t="s">
        <v>519</v>
      </c>
      <c r="C395" s="209">
        <v>6</v>
      </c>
      <c r="D395" s="272" t="s">
        <v>470</v>
      </c>
      <c r="E395" s="209">
        <v>2</v>
      </c>
      <c r="F395" s="209">
        <v>8</v>
      </c>
      <c r="G395" s="209">
        <v>2</v>
      </c>
      <c r="H395" s="209">
        <v>7</v>
      </c>
      <c r="I395" s="209">
        <v>8</v>
      </c>
      <c r="J395" s="209">
        <v>7</v>
      </c>
      <c r="K395" s="209">
        <v>9579.7900000000009</v>
      </c>
    </row>
    <row r="396" spans="1:11">
      <c r="A396" s="208">
        <v>42647</v>
      </c>
      <c r="B396" s="209" t="s">
        <v>519</v>
      </c>
      <c r="C396" s="209">
        <v>7</v>
      </c>
      <c r="D396" s="272" t="s">
        <v>466</v>
      </c>
      <c r="E396" s="209">
        <v>4</v>
      </c>
      <c r="F396" s="209">
        <v>15</v>
      </c>
      <c r="G396" s="209">
        <v>1</v>
      </c>
      <c r="H396" s="209">
        <v>3</v>
      </c>
      <c r="I396" s="209">
        <v>15</v>
      </c>
      <c r="J396" s="209">
        <v>3</v>
      </c>
      <c r="K396" s="209">
        <v>8896.0300000000007</v>
      </c>
    </row>
    <row r="397" spans="1:11">
      <c r="A397" s="208">
        <v>42647</v>
      </c>
      <c r="B397" s="209" t="s">
        <v>519</v>
      </c>
      <c r="C397" s="209">
        <v>8</v>
      </c>
      <c r="D397" s="272" t="s">
        <v>505</v>
      </c>
      <c r="E397" s="209">
        <v>0</v>
      </c>
      <c r="F397" s="209">
        <v>0</v>
      </c>
      <c r="G397" s="209">
        <v>0</v>
      </c>
      <c r="H397" s="209">
        <v>0</v>
      </c>
      <c r="I397" s="209">
        <v>0</v>
      </c>
      <c r="J397" s="209">
        <v>0</v>
      </c>
      <c r="K397" s="209">
        <v>7911.94</v>
      </c>
    </row>
    <row r="398" spans="1:11">
      <c r="A398" s="208">
        <v>42647</v>
      </c>
      <c r="B398" s="209" t="s">
        <v>519</v>
      </c>
      <c r="C398" s="209">
        <v>9</v>
      </c>
      <c r="D398" s="272" t="s">
        <v>469</v>
      </c>
      <c r="E398" s="209">
        <v>0</v>
      </c>
      <c r="F398" s="209">
        <v>0</v>
      </c>
      <c r="G398" s="209">
        <v>0</v>
      </c>
      <c r="H398" s="209">
        <v>0</v>
      </c>
      <c r="I398" s="209">
        <v>0</v>
      </c>
      <c r="J398" s="209">
        <v>0</v>
      </c>
      <c r="K398" s="209">
        <v>6431.9</v>
      </c>
    </row>
    <row r="399" spans="1:11">
      <c r="A399" s="208">
        <v>42647</v>
      </c>
      <c r="B399" s="209" t="s">
        <v>519</v>
      </c>
      <c r="C399" s="209">
        <v>10</v>
      </c>
      <c r="D399" s="272" t="s">
        <v>462</v>
      </c>
      <c r="E399" s="209">
        <v>0</v>
      </c>
      <c r="F399" s="209">
        <v>0</v>
      </c>
      <c r="G399" s="209">
        <v>0</v>
      </c>
      <c r="H399" s="209">
        <v>0</v>
      </c>
      <c r="I399" s="209">
        <v>0</v>
      </c>
      <c r="J399" s="209">
        <v>0</v>
      </c>
      <c r="K399" s="209">
        <v>5639.42</v>
      </c>
    </row>
    <row r="400" spans="1:11">
      <c r="A400" s="208">
        <v>42647</v>
      </c>
      <c r="B400" s="209" t="s">
        <v>519</v>
      </c>
      <c r="C400" s="209">
        <v>11</v>
      </c>
      <c r="D400" s="272" t="s">
        <v>490</v>
      </c>
      <c r="E400" s="209">
        <v>3</v>
      </c>
      <c r="F400" s="209">
        <v>6</v>
      </c>
      <c r="G400" s="209">
        <v>3</v>
      </c>
      <c r="H400" s="209">
        <v>5</v>
      </c>
      <c r="I400" s="209">
        <v>6</v>
      </c>
      <c r="J400" s="209">
        <v>5</v>
      </c>
      <c r="K400" s="209">
        <v>5620.2</v>
      </c>
    </row>
    <row r="401" spans="1:11">
      <c r="A401" s="208">
        <v>42647</v>
      </c>
      <c r="B401" s="209" t="s">
        <v>519</v>
      </c>
      <c r="C401" s="209">
        <v>12</v>
      </c>
      <c r="D401" s="272" t="s">
        <v>484</v>
      </c>
      <c r="E401" s="209">
        <v>4</v>
      </c>
      <c r="F401" s="209">
        <v>6</v>
      </c>
      <c r="G401" s="209">
        <v>4</v>
      </c>
      <c r="H401" s="209">
        <v>6</v>
      </c>
      <c r="I401" s="209">
        <v>6</v>
      </c>
      <c r="J401" s="209">
        <v>6</v>
      </c>
      <c r="K401" s="209">
        <v>4788.2</v>
      </c>
    </row>
    <row r="402" spans="1:11">
      <c r="A402" s="208">
        <v>42647</v>
      </c>
      <c r="B402" s="209" t="s">
        <v>519</v>
      </c>
      <c r="C402" s="209">
        <v>13</v>
      </c>
      <c r="D402" s="272" t="s">
        <v>460</v>
      </c>
      <c r="E402" s="209">
        <v>1</v>
      </c>
      <c r="F402" s="209">
        <v>5</v>
      </c>
      <c r="G402" s="209">
        <v>0</v>
      </c>
      <c r="H402" s="209">
        <v>2</v>
      </c>
      <c r="I402" s="209">
        <v>5</v>
      </c>
      <c r="J402" s="209">
        <v>2</v>
      </c>
      <c r="K402" s="209">
        <v>4007.97</v>
      </c>
    </row>
    <row r="403" spans="1:11">
      <c r="A403" s="208">
        <v>42647</v>
      </c>
      <c r="B403" s="209" t="s">
        <v>519</v>
      </c>
      <c r="C403" s="209">
        <v>14</v>
      </c>
      <c r="D403" s="272" t="s">
        <v>487</v>
      </c>
      <c r="E403" s="209">
        <v>0</v>
      </c>
      <c r="F403" s="209">
        <v>1</v>
      </c>
      <c r="G403" s="209">
        <v>0</v>
      </c>
      <c r="H403" s="209">
        <v>1</v>
      </c>
      <c r="I403" s="209">
        <v>1</v>
      </c>
      <c r="J403" s="209">
        <v>1</v>
      </c>
      <c r="K403" s="209">
        <v>3673.27</v>
      </c>
    </row>
    <row r="404" spans="1:11">
      <c r="A404" s="208">
        <v>42647</v>
      </c>
      <c r="B404" s="209" t="s">
        <v>519</v>
      </c>
      <c r="C404" s="209">
        <v>15</v>
      </c>
      <c r="D404" s="272" t="s">
        <v>468</v>
      </c>
      <c r="E404" s="209">
        <v>0</v>
      </c>
      <c r="F404" s="209">
        <v>0</v>
      </c>
      <c r="G404" s="209">
        <v>0</v>
      </c>
      <c r="H404" s="209">
        <v>0</v>
      </c>
      <c r="I404" s="209">
        <v>0</v>
      </c>
      <c r="J404" s="209">
        <v>0</v>
      </c>
      <c r="K404" s="209">
        <v>2831.62</v>
      </c>
    </row>
    <row r="405" spans="1:11">
      <c r="A405" s="208">
        <v>42647</v>
      </c>
      <c r="B405" s="209" t="s">
        <v>519</v>
      </c>
      <c r="C405" s="209">
        <v>16</v>
      </c>
      <c r="D405" s="272" t="s">
        <v>467</v>
      </c>
      <c r="E405" s="209">
        <v>0</v>
      </c>
      <c r="F405" s="209">
        <v>0</v>
      </c>
      <c r="G405" s="209">
        <v>0</v>
      </c>
      <c r="H405" s="209">
        <v>0</v>
      </c>
      <c r="I405" s="209">
        <v>0</v>
      </c>
      <c r="J405" s="209">
        <v>0</v>
      </c>
      <c r="K405" s="209">
        <v>2587.7800000000002</v>
      </c>
    </row>
    <row r="406" spans="1:11">
      <c r="A406" s="208">
        <v>42647</v>
      </c>
      <c r="B406" s="209" t="s">
        <v>519</v>
      </c>
      <c r="C406" s="209">
        <v>17</v>
      </c>
      <c r="D406" s="272" t="s">
        <v>479</v>
      </c>
      <c r="E406" s="209">
        <v>0</v>
      </c>
      <c r="F406" s="209">
        <v>0</v>
      </c>
      <c r="G406" s="209">
        <v>0</v>
      </c>
      <c r="H406" s="209">
        <v>0</v>
      </c>
      <c r="I406" s="209">
        <v>0</v>
      </c>
      <c r="J406" s="209">
        <v>0</v>
      </c>
      <c r="K406" s="209">
        <v>2496</v>
      </c>
    </row>
    <row r="407" spans="1:11">
      <c r="A407" s="208">
        <v>42647</v>
      </c>
      <c r="B407" s="209" t="s">
        <v>519</v>
      </c>
      <c r="C407" s="209">
        <v>18</v>
      </c>
      <c r="D407" s="272" t="s">
        <v>510</v>
      </c>
      <c r="E407" s="209">
        <v>1</v>
      </c>
      <c r="F407" s="209">
        <v>1</v>
      </c>
      <c r="G407" s="209">
        <v>1</v>
      </c>
      <c r="H407" s="209">
        <v>1</v>
      </c>
      <c r="I407" s="209">
        <v>1</v>
      </c>
      <c r="J407" s="209">
        <v>1</v>
      </c>
      <c r="K407" s="209">
        <v>1584.16</v>
      </c>
    </row>
    <row r="408" spans="1:11">
      <c r="A408" s="208">
        <v>42647</v>
      </c>
      <c r="B408" s="209" t="s">
        <v>519</v>
      </c>
      <c r="C408" s="209">
        <v>19</v>
      </c>
      <c r="D408" s="272" t="s">
        <v>508</v>
      </c>
      <c r="E408" s="209">
        <v>0</v>
      </c>
      <c r="F408" s="209">
        <v>1</v>
      </c>
      <c r="G408" s="209">
        <v>0</v>
      </c>
      <c r="H408" s="209">
        <v>1</v>
      </c>
      <c r="I408" s="209">
        <v>1</v>
      </c>
      <c r="J408" s="209">
        <v>1</v>
      </c>
      <c r="K408" s="209">
        <v>1170.6400000000001</v>
      </c>
    </row>
    <row r="409" spans="1:11">
      <c r="A409" s="208">
        <v>42647</v>
      </c>
      <c r="B409" s="209" t="s">
        <v>519</v>
      </c>
      <c r="C409" s="209">
        <v>20</v>
      </c>
      <c r="D409" s="272" t="s">
        <v>471</v>
      </c>
      <c r="E409" s="209">
        <v>0</v>
      </c>
      <c r="F409" s="209">
        <v>0</v>
      </c>
      <c r="G409" s="209">
        <v>0</v>
      </c>
      <c r="H409" s="209">
        <v>0</v>
      </c>
      <c r="I409" s="209">
        <v>0</v>
      </c>
      <c r="J409" s="209">
        <v>0</v>
      </c>
      <c r="K409" s="209">
        <v>1121.2</v>
      </c>
    </row>
    <row r="410" spans="1:11">
      <c r="A410" s="208">
        <v>42647</v>
      </c>
      <c r="B410" s="209" t="s">
        <v>519</v>
      </c>
      <c r="C410" s="209">
        <v>21</v>
      </c>
      <c r="D410" s="272" t="s">
        <v>464</v>
      </c>
      <c r="E410" s="209">
        <v>0</v>
      </c>
      <c r="F410" s="209">
        <v>2</v>
      </c>
      <c r="G410" s="209">
        <v>0</v>
      </c>
      <c r="H410" s="209">
        <v>1</v>
      </c>
      <c r="I410" s="209">
        <v>2</v>
      </c>
      <c r="J410" s="209">
        <v>1</v>
      </c>
      <c r="K410" s="209">
        <v>1014.9</v>
      </c>
    </row>
    <row r="411" spans="1:11">
      <c r="A411" s="208">
        <v>42647</v>
      </c>
      <c r="B411" s="209" t="s">
        <v>519</v>
      </c>
      <c r="C411" s="209">
        <v>22</v>
      </c>
      <c r="D411" s="272" t="s">
        <v>480</v>
      </c>
      <c r="E411" s="209">
        <v>0</v>
      </c>
      <c r="F411" s="209">
        <v>0</v>
      </c>
      <c r="G411" s="209">
        <v>0</v>
      </c>
      <c r="H411" s="209">
        <v>0</v>
      </c>
      <c r="I411" s="209">
        <v>0</v>
      </c>
      <c r="J411" s="209">
        <v>0</v>
      </c>
      <c r="K411" s="209">
        <v>576</v>
      </c>
    </row>
    <row r="412" spans="1:11">
      <c r="A412" s="208">
        <v>42647</v>
      </c>
      <c r="B412" s="209" t="s">
        <v>519</v>
      </c>
      <c r="C412" s="209">
        <v>23</v>
      </c>
      <c r="D412" s="272" t="s">
        <v>472</v>
      </c>
      <c r="E412" s="209">
        <v>0</v>
      </c>
      <c r="F412" s="209">
        <v>0</v>
      </c>
      <c r="G412" s="209">
        <v>0</v>
      </c>
      <c r="H412" s="209">
        <v>0</v>
      </c>
      <c r="I412" s="209">
        <v>0</v>
      </c>
      <c r="J412" s="209">
        <v>0</v>
      </c>
      <c r="K412" s="209">
        <v>23.11</v>
      </c>
    </row>
    <row r="413" spans="1:11">
      <c r="A413" s="208">
        <v>42648</v>
      </c>
      <c r="B413" s="209" t="s">
        <v>519</v>
      </c>
      <c r="C413" s="209">
        <v>1</v>
      </c>
      <c r="D413" s="272" t="s">
        <v>463</v>
      </c>
      <c r="E413" s="209">
        <v>0</v>
      </c>
      <c r="F413" s="209">
        <v>1</v>
      </c>
      <c r="G413" s="209">
        <v>0</v>
      </c>
      <c r="H413" s="209">
        <v>0</v>
      </c>
      <c r="I413" s="209">
        <v>0.24</v>
      </c>
      <c r="J413" s="209">
        <v>0</v>
      </c>
      <c r="K413" s="209">
        <v>41017.82</v>
      </c>
    </row>
    <row r="414" spans="1:11">
      <c r="A414" s="208">
        <v>42648</v>
      </c>
      <c r="B414" s="209" t="s">
        <v>519</v>
      </c>
      <c r="C414" s="209">
        <v>2</v>
      </c>
      <c r="D414" s="272" t="s">
        <v>465</v>
      </c>
      <c r="E414" s="209">
        <v>3</v>
      </c>
      <c r="F414" s="209">
        <v>12</v>
      </c>
      <c r="G414" s="209">
        <v>1</v>
      </c>
      <c r="H414" s="209">
        <v>6</v>
      </c>
      <c r="I414" s="209">
        <v>5.68</v>
      </c>
      <c r="J414" s="209">
        <v>2.84</v>
      </c>
      <c r="K414" s="209">
        <v>21125.8</v>
      </c>
    </row>
    <row r="415" spans="1:11">
      <c r="A415" s="208">
        <v>42648</v>
      </c>
      <c r="B415" s="209" t="s">
        <v>519</v>
      </c>
      <c r="C415" s="209">
        <v>3</v>
      </c>
      <c r="D415" s="272" t="s">
        <v>461</v>
      </c>
      <c r="E415" s="209">
        <v>0</v>
      </c>
      <c r="F415" s="209">
        <v>0</v>
      </c>
      <c r="G415" s="209">
        <v>0</v>
      </c>
      <c r="H415" s="209">
        <v>0</v>
      </c>
      <c r="I415" s="209">
        <v>0</v>
      </c>
      <c r="J415" s="209">
        <v>0</v>
      </c>
      <c r="K415" s="209">
        <v>15733.73</v>
      </c>
    </row>
    <row r="416" spans="1:11">
      <c r="A416" s="208">
        <v>42648</v>
      </c>
      <c r="B416" s="209" t="s">
        <v>519</v>
      </c>
      <c r="C416" s="209">
        <v>4</v>
      </c>
      <c r="D416" s="272" t="s">
        <v>489</v>
      </c>
      <c r="E416" s="209">
        <v>1</v>
      </c>
      <c r="F416" s="209">
        <v>5</v>
      </c>
      <c r="G416" s="209">
        <v>1</v>
      </c>
      <c r="H416" s="209">
        <v>2</v>
      </c>
      <c r="I416" s="209">
        <v>3.69</v>
      </c>
      <c r="J416" s="209">
        <v>1.48</v>
      </c>
      <c r="K416" s="209">
        <v>13542.25</v>
      </c>
    </row>
    <row r="417" spans="1:11">
      <c r="A417" s="208">
        <v>42648</v>
      </c>
      <c r="B417" s="209" t="s">
        <v>519</v>
      </c>
      <c r="C417" s="209">
        <v>5</v>
      </c>
      <c r="D417" s="272" t="s">
        <v>504</v>
      </c>
      <c r="E417" s="209">
        <v>0</v>
      </c>
      <c r="F417" s="209">
        <v>1</v>
      </c>
      <c r="G417" s="209">
        <v>0</v>
      </c>
      <c r="H417" s="209">
        <v>1</v>
      </c>
      <c r="I417" s="209">
        <v>0.83</v>
      </c>
      <c r="J417" s="209">
        <v>0.83</v>
      </c>
      <c r="K417" s="209">
        <v>12083.42</v>
      </c>
    </row>
    <row r="418" spans="1:11">
      <c r="A418" s="208">
        <v>42648</v>
      </c>
      <c r="B418" s="209" t="s">
        <v>519</v>
      </c>
      <c r="C418" s="209">
        <v>6</v>
      </c>
      <c r="D418" s="272" t="s">
        <v>466</v>
      </c>
      <c r="E418" s="209">
        <v>0</v>
      </c>
      <c r="F418" s="209">
        <v>15</v>
      </c>
      <c r="G418" s="209">
        <v>0</v>
      </c>
      <c r="H418" s="209">
        <v>3</v>
      </c>
      <c r="I418" s="209">
        <v>15</v>
      </c>
      <c r="J418" s="209">
        <v>3</v>
      </c>
      <c r="K418" s="209">
        <v>9824.67</v>
      </c>
    </row>
    <row r="419" spans="1:11">
      <c r="A419" s="208">
        <v>42648</v>
      </c>
      <c r="B419" s="209" t="s">
        <v>519</v>
      </c>
      <c r="C419" s="209">
        <v>7</v>
      </c>
      <c r="D419" s="272" t="s">
        <v>470</v>
      </c>
      <c r="E419" s="209">
        <v>1</v>
      </c>
      <c r="F419" s="209">
        <v>9</v>
      </c>
      <c r="G419" s="209">
        <v>0</v>
      </c>
      <c r="H419" s="209">
        <v>8</v>
      </c>
      <c r="I419" s="209">
        <v>9</v>
      </c>
      <c r="J419" s="209">
        <v>8</v>
      </c>
      <c r="K419" s="209">
        <v>9579.8799999999992</v>
      </c>
    </row>
    <row r="420" spans="1:11">
      <c r="A420" s="208">
        <v>42648</v>
      </c>
      <c r="B420" s="209" t="s">
        <v>519</v>
      </c>
      <c r="C420" s="209">
        <v>8</v>
      </c>
      <c r="D420" s="272" t="s">
        <v>469</v>
      </c>
      <c r="E420" s="209">
        <v>0</v>
      </c>
      <c r="F420" s="209">
        <v>0</v>
      </c>
      <c r="G420" s="209">
        <v>0</v>
      </c>
      <c r="H420" s="209">
        <v>0</v>
      </c>
      <c r="I420" s="209">
        <v>0</v>
      </c>
      <c r="J420" s="209">
        <v>0</v>
      </c>
      <c r="K420" s="209">
        <v>9258.7199999999993</v>
      </c>
    </row>
    <row r="421" spans="1:11">
      <c r="A421" s="208">
        <v>42648</v>
      </c>
      <c r="B421" s="209" t="s">
        <v>519</v>
      </c>
      <c r="C421" s="209">
        <v>9</v>
      </c>
      <c r="D421" s="272" t="s">
        <v>505</v>
      </c>
      <c r="E421" s="209">
        <v>0</v>
      </c>
      <c r="F421" s="209">
        <v>0</v>
      </c>
      <c r="G421" s="209">
        <v>0</v>
      </c>
      <c r="H421" s="209">
        <v>0</v>
      </c>
      <c r="I421" s="209">
        <v>0</v>
      </c>
      <c r="J421" s="209">
        <v>0</v>
      </c>
      <c r="K421" s="209">
        <v>9105.7999999999993</v>
      </c>
    </row>
    <row r="422" spans="1:11">
      <c r="A422" s="208">
        <v>42648</v>
      </c>
      <c r="B422" s="209" t="s">
        <v>519</v>
      </c>
      <c r="C422" s="209">
        <v>10</v>
      </c>
      <c r="D422" s="272" t="s">
        <v>462</v>
      </c>
      <c r="E422" s="209">
        <v>0</v>
      </c>
      <c r="F422" s="209">
        <v>0</v>
      </c>
      <c r="G422" s="209">
        <v>0</v>
      </c>
      <c r="H422" s="209">
        <v>0</v>
      </c>
      <c r="I422" s="209">
        <v>0</v>
      </c>
      <c r="J422" s="209">
        <v>0</v>
      </c>
      <c r="K422" s="209">
        <v>7292.92</v>
      </c>
    </row>
    <row r="423" spans="1:11">
      <c r="A423" s="208">
        <v>42648</v>
      </c>
      <c r="B423" s="209" t="s">
        <v>519</v>
      </c>
      <c r="C423" s="209">
        <v>11</v>
      </c>
      <c r="D423" s="272" t="s">
        <v>490</v>
      </c>
      <c r="E423" s="209">
        <v>1</v>
      </c>
      <c r="F423" s="209">
        <v>8</v>
      </c>
      <c r="G423" s="209">
        <v>1</v>
      </c>
      <c r="H423" s="209">
        <v>7</v>
      </c>
      <c r="I423" s="209">
        <v>8</v>
      </c>
      <c r="J423" s="209">
        <v>7</v>
      </c>
      <c r="K423" s="209">
        <v>5620.2</v>
      </c>
    </row>
    <row r="424" spans="1:11">
      <c r="A424" s="208">
        <v>42648</v>
      </c>
      <c r="B424" s="209" t="s">
        <v>519</v>
      </c>
      <c r="C424" s="209">
        <v>12</v>
      </c>
      <c r="D424" s="272" t="s">
        <v>479</v>
      </c>
      <c r="E424" s="209">
        <v>0</v>
      </c>
      <c r="F424" s="209">
        <v>0</v>
      </c>
      <c r="G424" s="209">
        <v>0</v>
      </c>
      <c r="H424" s="209">
        <v>0</v>
      </c>
      <c r="I424" s="209">
        <v>0</v>
      </c>
      <c r="J424" s="209">
        <v>0</v>
      </c>
      <c r="K424" s="209">
        <v>5194</v>
      </c>
    </row>
    <row r="425" spans="1:11">
      <c r="A425" s="208">
        <v>42648</v>
      </c>
      <c r="B425" s="209" t="s">
        <v>519</v>
      </c>
      <c r="C425" s="209">
        <v>13</v>
      </c>
      <c r="D425" s="272" t="s">
        <v>484</v>
      </c>
      <c r="E425" s="209">
        <v>0</v>
      </c>
      <c r="F425" s="209">
        <v>7</v>
      </c>
      <c r="G425" s="209">
        <v>0</v>
      </c>
      <c r="H425" s="209">
        <v>7</v>
      </c>
      <c r="I425" s="209">
        <v>7</v>
      </c>
      <c r="J425" s="209">
        <v>7</v>
      </c>
      <c r="K425" s="209">
        <v>5045.2700000000004</v>
      </c>
    </row>
    <row r="426" spans="1:11">
      <c r="A426" s="208">
        <v>42648</v>
      </c>
      <c r="B426" s="209" t="s">
        <v>519</v>
      </c>
      <c r="C426" s="209">
        <v>14</v>
      </c>
      <c r="D426" s="272" t="s">
        <v>487</v>
      </c>
      <c r="E426" s="209">
        <v>0</v>
      </c>
      <c r="F426" s="209">
        <v>1</v>
      </c>
      <c r="G426" s="209">
        <v>0</v>
      </c>
      <c r="H426" s="209">
        <v>1</v>
      </c>
      <c r="I426" s="209">
        <v>1</v>
      </c>
      <c r="J426" s="209">
        <v>1</v>
      </c>
      <c r="K426" s="209">
        <v>4607.3999999999996</v>
      </c>
    </row>
    <row r="427" spans="1:11">
      <c r="A427" s="208">
        <v>42648</v>
      </c>
      <c r="B427" s="209" t="s">
        <v>519</v>
      </c>
      <c r="C427" s="209">
        <v>15</v>
      </c>
      <c r="D427" s="272" t="s">
        <v>480</v>
      </c>
      <c r="E427" s="209">
        <v>0</v>
      </c>
      <c r="F427" s="209">
        <v>0</v>
      </c>
      <c r="G427" s="209">
        <v>0</v>
      </c>
      <c r="H427" s="209">
        <v>0</v>
      </c>
      <c r="I427" s="209">
        <v>0</v>
      </c>
      <c r="J427" s="209">
        <v>0</v>
      </c>
      <c r="K427" s="209">
        <v>4417.8</v>
      </c>
    </row>
    <row r="428" spans="1:11">
      <c r="A428" s="208">
        <v>42648</v>
      </c>
      <c r="B428" s="209" t="s">
        <v>519</v>
      </c>
      <c r="C428" s="209">
        <v>16</v>
      </c>
      <c r="D428" s="272" t="s">
        <v>460</v>
      </c>
      <c r="E428" s="209">
        <v>0</v>
      </c>
      <c r="F428" s="209">
        <v>6</v>
      </c>
      <c r="G428" s="209">
        <v>0</v>
      </c>
      <c r="H428" s="209">
        <v>2</v>
      </c>
      <c r="I428" s="209">
        <v>6</v>
      </c>
      <c r="J428" s="209">
        <v>2</v>
      </c>
      <c r="K428" s="209">
        <v>4011.94</v>
      </c>
    </row>
    <row r="429" spans="1:11">
      <c r="A429" s="208">
        <v>42648</v>
      </c>
      <c r="B429" s="209" t="s">
        <v>519</v>
      </c>
      <c r="C429" s="209">
        <v>17</v>
      </c>
      <c r="D429" s="272" t="s">
        <v>468</v>
      </c>
      <c r="E429" s="209">
        <v>0</v>
      </c>
      <c r="F429" s="209">
        <v>0</v>
      </c>
      <c r="G429" s="209">
        <v>0</v>
      </c>
      <c r="H429" s="209">
        <v>0</v>
      </c>
      <c r="I429" s="209">
        <v>0</v>
      </c>
      <c r="J429" s="209">
        <v>0</v>
      </c>
      <c r="K429" s="209">
        <v>3598.62</v>
      </c>
    </row>
    <row r="430" spans="1:11">
      <c r="A430" s="208">
        <v>42648</v>
      </c>
      <c r="B430" s="209" t="s">
        <v>519</v>
      </c>
      <c r="C430" s="209">
        <v>18</v>
      </c>
      <c r="D430" s="272" t="s">
        <v>467</v>
      </c>
      <c r="E430" s="209">
        <v>0</v>
      </c>
      <c r="F430" s="209">
        <v>0</v>
      </c>
      <c r="G430" s="209">
        <v>0</v>
      </c>
      <c r="H430" s="209">
        <v>0</v>
      </c>
      <c r="I430" s="209">
        <v>0</v>
      </c>
      <c r="J430" s="209">
        <v>0</v>
      </c>
      <c r="K430" s="209">
        <v>2594.5700000000002</v>
      </c>
    </row>
    <row r="431" spans="1:11">
      <c r="A431" s="208">
        <v>42648</v>
      </c>
      <c r="B431" s="209" t="s">
        <v>519</v>
      </c>
      <c r="C431" s="209">
        <v>19</v>
      </c>
      <c r="D431" s="272" t="s">
        <v>510</v>
      </c>
      <c r="E431" s="209">
        <v>1</v>
      </c>
      <c r="F431" s="209">
        <v>2</v>
      </c>
      <c r="G431" s="209">
        <v>1</v>
      </c>
      <c r="H431" s="209">
        <v>2</v>
      </c>
      <c r="I431" s="209">
        <v>2</v>
      </c>
      <c r="J431" s="209">
        <v>2</v>
      </c>
      <c r="K431" s="209">
        <v>2372.36</v>
      </c>
    </row>
    <row r="432" spans="1:11">
      <c r="A432" s="208">
        <v>42648</v>
      </c>
      <c r="B432" s="209" t="s">
        <v>519</v>
      </c>
      <c r="C432" s="209">
        <v>20</v>
      </c>
      <c r="D432" s="272" t="s">
        <v>471</v>
      </c>
      <c r="E432" s="209">
        <v>0</v>
      </c>
      <c r="F432" s="209">
        <v>0</v>
      </c>
      <c r="G432" s="209">
        <v>0</v>
      </c>
      <c r="H432" s="209">
        <v>0</v>
      </c>
      <c r="I432" s="209">
        <v>0</v>
      </c>
      <c r="J432" s="209">
        <v>0</v>
      </c>
      <c r="K432" s="209">
        <v>1825.21</v>
      </c>
    </row>
    <row r="433" spans="1:11">
      <c r="A433" s="208">
        <v>42648</v>
      </c>
      <c r="B433" s="209" t="s">
        <v>519</v>
      </c>
      <c r="C433" s="209">
        <v>21</v>
      </c>
      <c r="D433" s="272" t="s">
        <v>508</v>
      </c>
      <c r="E433" s="209">
        <v>0</v>
      </c>
      <c r="F433" s="209">
        <v>1</v>
      </c>
      <c r="G433" s="209">
        <v>0</v>
      </c>
      <c r="H433" s="209">
        <v>1</v>
      </c>
      <c r="I433" s="209">
        <v>1</v>
      </c>
      <c r="J433" s="209">
        <v>1</v>
      </c>
      <c r="K433" s="209">
        <v>1465.67</v>
      </c>
    </row>
    <row r="434" spans="1:11">
      <c r="A434" s="208">
        <v>42648</v>
      </c>
      <c r="B434" s="209" t="s">
        <v>519</v>
      </c>
      <c r="C434" s="209">
        <v>22</v>
      </c>
      <c r="D434" s="272" t="s">
        <v>464</v>
      </c>
      <c r="E434" s="209">
        <v>1</v>
      </c>
      <c r="F434" s="209">
        <v>3</v>
      </c>
      <c r="G434" s="209">
        <v>1</v>
      </c>
      <c r="H434" s="209">
        <v>2</v>
      </c>
      <c r="I434" s="209">
        <v>3</v>
      </c>
      <c r="J434" s="209">
        <v>2</v>
      </c>
      <c r="K434" s="209">
        <v>1015.25</v>
      </c>
    </row>
    <row r="435" spans="1:11">
      <c r="A435" s="208">
        <v>42648</v>
      </c>
      <c r="B435" s="209" t="s">
        <v>519</v>
      </c>
      <c r="C435" s="209">
        <v>23</v>
      </c>
      <c r="D435" s="272" t="s">
        <v>472</v>
      </c>
      <c r="E435" s="209">
        <v>0</v>
      </c>
      <c r="F435" s="209">
        <v>0</v>
      </c>
      <c r="G435" s="209">
        <v>0</v>
      </c>
      <c r="H435" s="209">
        <v>0</v>
      </c>
      <c r="I435" s="209">
        <v>0</v>
      </c>
      <c r="J435" s="209">
        <v>0</v>
      </c>
      <c r="K435" s="209">
        <v>23.11</v>
      </c>
    </row>
    <row r="436" spans="1:11">
      <c r="A436" s="208">
        <v>42649</v>
      </c>
      <c r="B436" s="209" t="s">
        <v>519</v>
      </c>
      <c r="C436" s="209">
        <v>1</v>
      </c>
      <c r="D436" s="272" t="s">
        <v>463</v>
      </c>
      <c r="E436" s="209">
        <v>0</v>
      </c>
      <c r="F436" s="209">
        <v>1</v>
      </c>
      <c r="G436" s="209">
        <v>0</v>
      </c>
      <c r="H436" s="209">
        <v>0</v>
      </c>
      <c r="I436" s="209">
        <v>0.19</v>
      </c>
      <c r="J436" s="209">
        <v>0</v>
      </c>
      <c r="K436" s="209">
        <v>51367.57</v>
      </c>
    </row>
    <row r="437" spans="1:11">
      <c r="A437" s="208">
        <v>42649</v>
      </c>
      <c r="B437" s="209" t="s">
        <v>519</v>
      </c>
      <c r="C437" s="209">
        <v>2</v>
      </c>
      <c r="D437" s="272" t="s">
        <v>465</v>
      </c>
      <c r="E437" s="209">
        <v>1</v>
      </c>
      <c r="F437" s="209">
        <v>13</v>
      </c>
      <c r="G437" s="209">
        <v>0</v>
      </c>
      <c r="H437" s="209">
        <v>6</v>
      </c>
      <c r="I437" s="209">
        <v>5.82</v>
      </c>
      <c r="J437" s="209">
        <v>2.69</v>
      </c>
      <c r="K437" s="209">
        <v>22319.07</v>
      </c>
    </row>
    <row r="438" spans="1:11">
      <c r="A438" s="208">
        <v>42649</v>
      </c>
      <c r="B438" s="209" t="s">
        <v>519</v>
      </c>
      <c r="C438" s="209">
        <v>3</v>
      </c>
      <c r="D438" s="272" t="s">
        <v>461</v>
      </c>
      <c r="E438" s="209">
        <v>0</v>
      </c>
      <c r="F438" s="209">
        <v>0</v>
      </c>
      <c r="G438" s="209">
        <v>0</v>
      </c>
      <c r="H438" s="209">
        <v>0</v>
      </c>
      <c r="I438" s="209">
        <v>0</v>
      </c>
      <c r="J438" s="209">
        <v>0</v>
      </c>
      <c r="K438" s="209">
        <v>19053.669999999998</v>
      </c>
    </row>
    <row r="439" spans="1:11">
      <c r="A439" s="208">
        <v>42649</v>
      </c>
      <c r="B439" s="209" t="s">
        <v>519</v>
      </c>
      <c r="C439" s="209">
        <v>4</v>
      </c>
      <c r="D439" s="272" t="s">
        <v>504</v>
      </c>
      <c r="E439" s="209">
        <v>0</v>
      </c>
      <c r="F439" s="209">
        <v>2</v>
      </c>
      <c r="G439" s="209">
        <v>0</v>
      </c>
      <c r="H439" s="209">
        <v>2</v>
      </c>
      <c r="I439" s="209">
        <v>1.42</v>
      </c>
      <c r="J439" s="209">
        <v>1.42</v>
      </c>
      <c r="K439" s="209">
        <v>14070.98</v>
      </c>
    </row>
    <row r="440" spans="1:11">
      <c r="A440" s="208">
        <v>42649</v>
      </c>
      <c r="B440" s="209" t="s">
        <v>519</v>
      </c>
      <c r="C440" s="209">
        <v>5</v>
      </c>
      <c r="D440" s="272" t="s">
        <v>489</v>
      </c>
      <c r="E440" s="209">
        <v>0</v>
      </c>
      <c r="F440" s="209">
        <v>6</v>
      </c>
      <c r="G440" s="209">
        <v>0</v>
      </c>
      <c r="H440" s="209">
        <v>3</v>
      </c>
      <c r="I440" s="209">
        <v>4.3899999999999997</v>
      </c>
      <c r="J440" s="209">
        <v>2.19</v>
      </c>
      <c r="K440" s="209">
        <v>13669.44</v>
      </c>
    </row>
    <row r="441" spans="1:11">
      <c r="A441" s="208">
        <v>42649</v>
      </c>
      <c r="B441" s="209" t="s">
        <v>519</v>
      </c>
      <c r="C441" s="209">
        <v>6</v>
      </c>
      <c r="D441" s="272" t="s">
        <v>469</v>
      </c>
      <c r="E441" s="209">
        <v>0</v>
      </c>
      <c r="F441" s="209">
        <v>0</v>
      </c>
      <c r="G441" s="209">
        <v>0</v>
      </c>
      <c r="H441" s="209">
        <v>0</v>
      </c>
      <c r="I441" s="209">
        <v>0</v>
      </c>
      <c r="J441" s="209">
        <v>0</v>
      </c>
      <c r="K441" s="209">
        <v>12493.54</v>
      </c>
    </row>
    <row r="442" spans="1:11">
      <c r="A442" s="208">
        <v>42649</v>
      </c>
      <c r="B442" s="209" t="s">
        <v>519</v>
      </c>
      <c r="C442" s="209">
        <v>7</v>
      </c>
      <c r="D442" s="272" t="s">
        <v>466</v>
      </c>
      <c r="E442" s="209">
        <v>1</v>
      </c>
      <c r="F442" s="209">
        <v>17</v>
      </c>
      <c r="G442" s="209">
        <v>0</v>
      </c>
      <c r="H442" s="209">
        <v>4</v>
      </c>
      <c r="I442" s="209">
        <v>15.6</v>
      </c>
      <c r="J442" s="209">
        <v>3.67</v>
      </c>
      <c r="K442" s="209">
        <v>10900.22</v>
      </c>
    </row>
    <row r="443" spans="1:11">
      <c r="A443" s="208">
        <v>42649</v>
      </c>
      <c r="B443" s="209" t="s">
        <v>519</v>
      </c>
      <c r="C443" s="209">
        <v>8</v>
      </c>
      <c r="D443" s="272" t="s">
        <v>505</v>
      </c>
      <c r="E443" s="209">
        <v>0</v>
      </c>
      <c r="F443" s="209">
        <v>1</v>
      </c>
      <c r="G443" s="209">
        <v>0</v>
      </c>
      <c r="H443" s="209">
        <v>0</v>
      </c>
      <c r="I443" s="209">
        <v>0.95</v>
      </c>
      <c r="J443" s="209">
        <v>0</v>
      </c>
      <c r="K443" s="209">
        <v>10509.81</v>
      </c>
    </row>
    <row r="444" spans="1:11">
      <c r="A444" s="208">
        <v>42649</v>
      </c>
      <c r="B444" s="209" t="s">
        <v>519</v>
      </c>
      <c r="C444" s="209">
        <v>9</v>
      </c>
      <c r="D444" s="272" t="s">
        <v>470</v>
      </c>
      <c r="E444" s="209">
        <v>1</v>
      </c>
      <c r="F444" s="209">
        <v>11</v>
      </c>
      <c r="G444" s="209">
        <v>1</v>
      </c>
      <c r="H444" s="209">
        <v>9</v>
      </c>
      <c r="I444" s="209">
        <v>11</v>
      </c>
      <c r="J444" s="209">
        <v>9</v>
      </c>
      <c r="K444" s="209">
        <v>9579.9500000000007</v>
      </c>
    </row>
    <row r="445" spans="1:11">
      <c r="A445" s="208">
        <v>42649</v>
      </c>
      <c r="B445" s="209" t="s">
        <v>519</v>
      </c>
      <c r="C445" s="209">
        <v>10</v>
      </c>
      <c r="D445" s="272" t="s">
        <v>462</v>
      </c>
      <c r="E445" s="209">
        <v>0</v>
      </c>
      <c r="F445" s="209">
        <v>0</v>
      </c>
      <c r="G445" s="209">
        <v>0</v>
      </c>
      <c r="H445" s="209">
        <v>0</v>
      </c>
      <c r="I445" s="209">
        <v>0</v>
      </c>
      <c r="J445" s="209">
        <v>0</v>
      </c>
      <c r="K445" s="209">
        <v>8962.5300000000007</v>
      </c>
    </row>
    <row r="446" spans="1:11">
      <c r="A446" s="208">
        <v>42649</v>
      </c>
      <c r="B446" s="209" t="s">
        <v>519</v>
      </c>
      <c r="C446" s="209">
        <v>11</v>
      </c>
      <c r="D446" s="272" t="s">
        <v>480</v>
      </c>
      <c r="E446" s="209">
        <v>0</v>
      </c>
      <c r="F446" s="209">
        <v>0</v>
      </c>
      <c r="G446" s="209">
        <v>0</v>
      </c>
      <c r="H446" s="209">
        <v>0</v>
      </c>
      <c r="I446" s="209">
        <v>0</v>
      </c>
      <c r="J446" s="209">
        <v>0</v>
      </c>
      <c r="K446" s="209">
        <v>8755.5</v>
      </c>
    </row>
    <row r="447" spans="1:11">
      <c r="A447" s="208">
        <v>42649</v>
      </c>
      <c r="B447" s="209" t="s">
        <v>519</v>
      </c>
      <c r="C447" s="209">
        <v>12</v>
      </c>
      <c r="D447" s="272" t="s">
        <v>479</v>
      </c>
      <c r="E447" s="209">
        <v>0</v>
      </c>
      <c r="F447" s="209">
        <v>0</v>
      </c>
      <c r="G447" s="209">
        <v>0</v>
      </c>
      <c r="H447" s="209">
        <v>0</v>
      </c>
      <c r="I447" s="209">
        <v>0</v>
      </c>
      <c r="J447" s="209">
        <v>0</v>
      </c>
      <c r="K447" s="209">
        <v>7544</v>
      </c>
    </row>
    <row r="448" spans="1:11">
      <c r="A448" s="208">
        <v>42649</v>
      </c>
      <c r="B448" s="209" t="s">
        <v>519</v>
      </c>
      <c r="C448" s="209">
        <v>13</v>
      </c>
      <c r="D448" s="272" t="s">
        <v>490</v>
      </c>
      <c r="E448" s="209">
        <v>0</v>
      </c>
      <c r="F448" s="209">
        <v>8</v>
      </c>
      <c r="G448" s="209">
        <v>0</v>
      </c>
      <c r="H448" s="209">
        <v>7</v>
      </c>
      <c r="I448" s="209">
        <v>8</v>
      </c>
      <c r="J448" s="209">
        <v>7</v>
      </c>
      <c r="K448" s="209">
        <v>5638.2</v>
      </c>
    </row>
    <row r="449" spans="1:11">
      <c r="A449" s="208">
        <v>42649</v>
      </c>
      <c r="B449" s="209" t="s">
        <v>519</v>
      </c>
      <c r="C449" s="209">
        <v>14</v>
      </c>
      <c r="D449" s="272" t="s">
        <v>487</v>
      </c>
      <c r="E449" s="209">
        <v>0</v>
      </c>
      <c r="F449" s="209">
        <v>1</v>
      </c>
      <c r="G449" s="209">
        <v>0</v>
      </c>
      <c r="H449" s="209">
        <v>1</v>
      </c>
      <c r="I449" s="209">
        <v>1</v>
      </c>
      <c r="J449" s="209">
        <v>1</v>
      </c>
      <c r="K449" s="209">
        <v>5435.54</v>
      </c>
    </row>
    <row r="450" spans="1:11">
      <c r="A450" s="208">
        <v>42649</v>
      </c>
      <c r="B450" s="209" t="s">
        <v>519</v>
      </c>
      <c r="C450" s="209">
        <v>15</v>
      </c>
      <c r="D450" s="272" t="s">
        <v>484</v>
      </c>
      <c r="E450" s="209">
        <v>0</v>
      </c>
      <c r="F450" s="209">
        <v>8</v>
      </c>
      <c r="G450" s="209">
        <v>0</v>
      </c>
      <c r="H450" s="209">
        <v>7</v>
      </c>
      <c r="I450" s="209">
        <v>8</v>
      </c>
      <c r="J450" s="209">
        <v>7</v>
      </c>
      <c r="K450" s="209">
        <v>5384.29</v>
      </c>
    </row>
    <row r="451" spans="1:11">
      <c r="A451" s="208">
        <v>42649</v>
      </c>
      <c r="B451" s="209" t="s">
        <v>519</v>
      </c>
      <c r="C451" s="209">
        <v>16</v>
      </c>
      <c r="D451" s="272" t="s">
        <v>468</v>
      </c>
      <c r="E451" s="209">
        <v>0</v>
      </c>
      <c r="F451" s="209">
        <v>0</v>
      </c>
      <c r="G451" s="209">
        <v>0</v>
      </c>
      <c r="H451" s="209">
        <v>0</v>
      </c>
      <c r="I451" s="209">
        <v>0</v>
      </c>
      <c r="J451" s="209">
        <v>0</v>
      </c>
      <c r="K451" s="209">
        <v>4449.8500000000004</v>
      </c>
    </row>
    <row r="452" spans="1:11">
      <c r="A452" s="208">
        <v>42649</v>
      </c>
      <c r="B452" s="209" t="s">
        <v>519</v>
      </c>
      <c r="C452" s="209">
        <v>17</v>
      </c>
      <c r="D452" s="272" t="s">
        <v>460</v>
      </c>
      <c r="E452" s="209">
        <v>0</v>
      </c>
      <c r="F452" s="209">
        <v>6</v>
      </c>
      <c r="G452" s="209">
        <v>0</v>
      </c>
      <c r="H452" s="209">
        <v>2</v>
      </c>
      <c r="I452" s="209">
        <v>6</v>
      </c>
      <c r="J452" s="209">
        <v>2</v>
      </c>
      <c r="K452" s="209">
        <v>4014.55</v>
      </c>
    </row>
    <row r="453" spans="1:11">
      <c r="A453" s="208">
        <v>42649</v>
      </c>
      <c r="B453" s="209" t="s">
        <v>519</v>
      </c>
      <c r="C453" s="209">
        <v>18</v>
      </c>
      <c r="D453" s="272" t="s">
        <v>510</v>
      </c>
      <c r="E453" s="209">
        <v>1</v>
      </c>
      <c r="F453" s="209">
        <v>3</v>
      </c>
      <c r="G453" s="209">
        <v>0</v>
      </c>
      <c r="H453" s="209">
        <v>3</v>
      </c>
      <c r="I453" s="209">
        <v>3</v>
      </c>
      <c r="J453" s="209">
        <v>3</v>
      </c>
      <c r="K453" s="209">
        <v>3146.48</v>
      </c>
    </row>
    <row r="454" spans="1:11">
      <c r="A454" s="208">
        <v>42649</v>
      </c>
      <c r="B454" s="209" t="s">
        <v>519</v>
      </c>
      <c r="C454" s="209">
        <v>19</v>
      </c>
      <c r="D454" s="272" t="s">
        <v>467</v>
      </c>
      <c r="E454" s="209">
        <v>0</v>
      </c>
      <c r="F454" s="209">
        <v>0</v>
      </c>
      <c r="G454" s="209">
        <v>0</v>
      </c>
      <c r="H454" s="209">
        <v>0</v>
      </c>
      <c r="I454" s="209">
        <v>0</v>
      </c>
      <c r="J454" s="209">
        <v>0</v>
      </c>
      <c r="K454" s="209">
        <v>2603.2199999999998</v>
      </c>
    </row>
    <row r="455" spans="1:11">
      <c r="A455" s="208">
        <v>42649</v>
      </c>
      <c r="B455" s="209" t="s">
        <v>519</v>
      </c>
      <c r="C455" s="209">
        <v>20</v>
      </c>
      <c r="D455" s="272" t="s">
        <v>471</v>
      </c>
      <c r="E455" s="209">
        <v>0</v>
      </c>
      <c r="F455" s="209">
        <v>0</v>
      </c>
      <c r="G455" s="209">
        <v>0</v>
      </c>
      <c r="H455" s="209">
        <v>0</v>
      </c>
      <c r="I455" s="209">
        <v>0</v>
      </c>
      <c r="J455" s="209">
        <v>0</v>
      </c>
      <c r="K455" s="209">
        <v>2472.21</v>
      </c>
    </row>
    <row r="456" spans="1:11">
      <c r="A456" s="208">
        <v>42649</v>
      </c>
      <c r="B456" s="209" t="s">
        <v>519</v>
      </c>
      <c r="C456" s="209">
        <v>21</v>
      </c>
      <c r="D456" s="272" t="s">
        <v>508</v>
      </c>
      <c r="E456" s="209">
        <v>0</v>
      </c>
      <c r="F456" s="209">
        <v>2</v>
      </c>
      <c r="G456" s="209">
        <v>0</v>
      </c>
      <c r="H456" s="209">
        <v>1</v>
      </c>
      <c r="I456" s="209">
        <v>2</v>
      </c>
      <c r="J456" s="209">
        <v>1</v>
      </c>
      <c r="K456" s="209">
        <v>1725.95</v>
      </c>
    </row>
    <row r="457" spans="1:11">
      <c r="A457" s="208">
        <v>42649</v>
      </c>
      <c r="B457" s="209" t="s">
        <v>519</v>
      </c>
      <c r="C457" s="209">
        <v>22</v>
      </c>
      <c r="D457" s="272" t="s">
        <v>464</v>
      </c>
      <c r="E457" s="209">
        <v>0</v>
      </c>
      <c r="F457" s="209">
        <v>3</v>
      </c>
      <c r="G457" s="209">
        <v>0</v>
      </c>
      <c r="H457" s="209">
        <v>2</v>
      </c>
      <c r="I457" s="209">
        <v>3</v>
      </c>
      <c r="J457" s="209">
        <v>2</v>
      </c>
      <c r="K457" s="209">
        <v>1019.59</v>
      </c>
    </row>
    <row r="458" spans="1:11">
      <c r="A458" s="208">
        <v>42649</v>
      </c>
      <c r="B458" s="209" t="s">
        <v>519</v>
      </c>
      <c r="C458" s="209">
        <v>23</v>
      </c>
      <c r="D458" s="272" t="s">
        <v>472</v>
      </c>
      <c r="E458" s="209">
        <v>0</v>
      </c>
      <c r="F458" s="209">
        <v>0</v>
      </c>
      <c r="G458" s="209">
        <v>0</v>
      </c>
      <c r="H458" s="209">
        <v>0</v>
      </c>
      <c r="I458" s="209">
        <v>0</v>
      </c>
      <c r="J458" s="209">
        <v>0</v>
      </c>
      <c r="K458" s="209">
        <v>33.11</v>
      </c>
    </row>
    <row r="459" spans="1:11">
      <c r="A459" s="208">
        <v>42650</v>
      </c>
      <c r="B459" s="209" t="s">
        <v>519</v>
      </c>
      <c r="C459" s="209">
        <v>1</v>
      </c>
      <c r="D459" s="272" t="s">
        <v>463</v>
      </c>
      <c r="E459" s="209">
        <v>0</v>
      </c>
      <c r="F459" s="209">
        <v>1</v>
      </c>
      <c r="G459" s="209">
        <v>0</v>
      </c>
      <c r="H459" s="209">
        <v>0</v>
      </c>
      <c r="I459" s="209">
        <v>0.16</v>
      </c>
      <c r="J459" s="209">
        <v>0</v>
      </c>
      <c r="K459" s="209">
        <v>60759.45</v>
      </c>
    </row>
    <row r="460" spans="1:11">
      <c r="A460" s="208">
        <v>42650</v>
      </c>
      <c r="B460" s="209" t="s">
        <v>519</v>
      </c>
      <c r="C460" s="209">
        <v>2</v>
      </c>
      <c r="D460" s="272" t="s">
        <v>465</v>
      </c>
      <c r="E460" s="209">
        <v>3</v>
      </c>
      <c r="F460" s="209">
        <v>17</v>
      </c>
      <c r="G460" s="209">
        <v>0</v>
      </c>
      <c r="H460" s="209">
        <v>7</v>
      </c>
      <c r="I460" s="209">
        <v>7.24</v>
      </c>
      <c r="J460" s="209">
        <v>2.98</v>
      </c>
      <c r="K460" s="209">
        <v>23482.14</v>
      </c>
    </row>
    <row r="461" spans="1:11">
      <c r="A461" s="208">
        <v>42650</v>
      </c>
      <c r="B461" s="209" t="s">
        <v>519</v>
      </c>
      <c r="C461" s="209">
        <v>3</v>
      </c>
      <c r="D461" s="272" t="s">
        <v>461</v>
      </c>
      <c r="E461" s="209">
        <v>0</v>
      </c>
      <c r="F461" s="209">
        <v>0</v>
      </c>
      <c r="G461" s="209">
        <v>0</v>
      </c>
      <c r="H461" s="209">
        <v>0</v>
      </c>
      <c r="I461" s="209">
        <v>0</v>
      </c>
      <c r="J461" s="209">
        <v>0</v>
      </c>
      <c r="K461" s="209">
        <v>22213.29</v>
      </c>
    </row>
    <row r="462" spans="1:11">
      <c r="A462" s="208">
        <v>42650</v>
      </c>
      <c r="B462" s="209" t="s">
        <v>519</v>
      </c>
      <c r="C462" s="209">
        <v>4</v>
      </c>
      <c r="D462" s="272" t="s">
        <v>504</v>
      </c>
      <c r="E462" s="209">
        <v>0</v>
      </c>
      <c r="F462" s="209">
        <v>3</v>
      </c>
      <c r="G462" s="209">
        <v>0</v>
      </c>
      <c r="H462" s="209">
        <v>3</v>
      </c>
      <c r="I462" s="209">
        <v>1.87</v>
      </c>
      <c r="J462" s="209">
        <v>1.87</v>
      </c>
      <c r="K462" s="209">
        <v>16075.92</v>
      </c>
    </row>
    <row r="463" spans="1:11">
      <c r="A463" s="208">
        <v>42650</v>
      </c>
      <c r="B463" s="209" t="s">
        <v>519</v>
      </c>
      <c r="C463" s="209">
        <v>5</v>
      </c>
      <c r="D463" s="272" t="s">
        <v>469</v>
      </c>
      <c r="E463" s="209">
        <v>0</v>
      </c>
      <c r="F463" s="209">
        <v>0</v>
      </c>
      <c r="G463" s="209">
        <v>0</v>
      </c>
      <c r="H463" s="209">
        <v>0</v>
      </c>
      <c r="I463" s="209">
        <v>0</v>
      </c>
      <c r="J463" s="209">
        <v>0</v>
      </c>
      <c r="K463" s="209">
        <v>15264.36</v>
      </c>
    </row>
    <row r="464" spans="1:11">
      <c r="A464" s="208">
        <v>42650</v>
      </c>
      <c r="B464" s="209" t="s">
        <v>519</v>
      </c>
      <c r="C464" s="209">
        <v>6</v>
      </c>
      <c r="D464" s="272" t="s">
        <v>489</v>
      </c>
      <c r="E464" s="209">
        <v>1</v>
      </c>
      <c r="F464" s="209">
        <v>7</v>
      </c>
      <c r="G464" s="209">
        <v>0</v>
      </c>
      <c r="H464" s="209">
        <v>3</v>
      </c>
      <c r="I464" s="209">
        <v>5</v>
      </c>
      <c r="J464" s="209">
        <v>2.14</v>
      </c>
      <c r="K464" s="209">
        <v>13998.74</v>
      </c>
    </row>
    <row r="465" spans="1:11">
      <c r="A465" s="208">
        <v>42650</v>
      </c>
      <c r="B465" s="209" t="s">
        <v>519</v>
      </c>
      <c r="C465" s="209">
        <v>7</v>
      </c>
      <c r="D465" s="272" t="s">
        <v>466</v>
      </c>
      <c r="E465" s="209">
        <v>0</v>
      </c>
      <c r="F465" s="209">
        <v>18</v>
      </c>
      <c r="G465" s="209">
        <v>0</v>
      </c>
      <c r="H465" s="209">
        <v>4</v>
      </c>
      <c r="I465" s="209">
        <v>15.05</v>
      </c>
      <c r="J465" s="209">
        <v>3.35</v>
      </c>
      <c r="K465" s="209">
        <v>11957.75</v>
      </c>
    </row>
    <row r="466" spans="1:11">
      <c r="A466" s="208">
        <v>42650</v>
      </c>
      <c r="B466" s="209" t="s">
        <v>519</v>
      </c>
      <c r="C466" s="209">
        <v>8</v>
      </c>
      <c r="D466" s="272" t="s">
        <v>505</v>
      </c>
      <c r="E466" s="209">
        <v>2</v>
      </c>
      <c r="F466" s="209">
        <v>3</v>
      </c>
      <c r="G466" s="209">
        <v>0</v>
      </c>
      <c r="H466" s="209">
        <v>1</v>
      </c>
      <c r="I466" s="209">
        <v>2.56</v>
      </c>
      <c r="J466" s="209">
        <v>0.85</v>
      </c>
      <c r="K466" s="209">
        <v>11737.98</v>
      </c>
    </row>
    <row r="467" spans="1:11">
      <c r="A467" s="208">
        <v>42650</v>
      </c>
      <c r="B467" s="209" t="s">
        <v>519</v>
      </c>
      <c r="C467" s="209">
        <v>9</v>
      </c>
      <c r="D467" s="272" t="s">
        <v>480</v>
      </c>
      <c r="E467" s="209">
        <v>2</v>
      </c>
      <c r="F467" s="209">
        <v>2</v>
      </c>
      <c r="G467" s="209">
        <v>2</v>
      </c>
      <c r="H467" s="209">
        <v>2</v>
      </c>
      <c r="I467" s="209">
        <v>1.7</v>
      </c>
      <c r="J467" s="209">
        <v>1.7</v>
      </c>
      <c r="K467" s="209">
        <v>11733.1</v>
      </c>
    </row>
    <row r="468" spans="1:11">
      <c r="A468" s="208">
        <v>42650</v>
      </c>
      <c r="B468" s="209" t="s">
        <v>519</v>
      </c>
      <c r="C468" s="209">
        <v>10</v>
      </c>
      <c r="D468" s="272" t="s">
        <v>462</v>
      </c>
      <c r="E468" s="209">
        <v>0</v>
      </c>
      <c r="F468" s="209">
        <v>0</v>
      </c>
      <c r="G468" s="209">
        <v>0</v>
      </c>
      <c r="H468" s="209">
        <v>0</v>
      </c>
      <c r="I468" s="209">
        <v>0</v>
      </c>
      <c r="J468" s="209">
        <v>0</v>
      </c>
      <c r="K468" s="209">
        <v>10239.07</v>
      </c>
    </row>
    <row r="469" spans="1:11">
      <c r="A469" s="208">
        <v>42650</v>
      </c>
      <c r="B469" s="209" t="s">
        <v>519</v>
      </c>
      <c r="C469" s="209">
        <v>11</v>
      </c>
      <c r="D469" s="272" t="s">
        <v>470</v>
      </c>
      <c r="E469" s="209">
        <v>0</v>
      </c>
      <c r="F469" s="209">
        <v>11</v>
      </c>
      <c r="G469" s="209">
        <v>0</v>
      </c>
      <c r="H469" s="209">
        <v>9</v>
      </c>
      <c r="I469" s="209">
        <v>11</v>
      </c>
      <c r="J469" s="209">
        <v>9</v>
      </c>
      <c r="K469" s="209">
        <v>9579.99</v>
      </c>
    </row>
    <row r="470" spans="1:11">
      <c r="A470" s="208">
        <v>42650</v>
      </c>
      <c r="B470" s="209" t="s">
        <v>519</v>
      </c>
      <c r="C470" s="209">
        <v>12</v>
      </c>
      <c r="D470" s="272" t="s">
        <v>479</v>
      </c>
      <c r="E470" s="209">
        <v>0</v>
      </c>
      <c r="F470" s="209">
        <v>0</v>
      </c>
      <c r="G470" s="209">
        <v>0</v>
      </c>
      <c r="H470" s="209">
        <v>0</v>
      </c>
      <c r="I470" s="209">
        <v>0</v>
      </c>
      <c r="J470" s="209">
        <v>0</v>
      </c>
      <c r="K470" s="209">
        <v>9372</v>
      </c>
    </row>
    <row r="471" spans="1:11">
      <c r="A471" s="208">
        <v>42650</v>
      </c>
      <c r="B471" s="209" t="s">
        <v>519</v>
      </c>
      <c r="C471" s="209">
        <v>13</v>
      </c>
      <c r="D471" s="272" t="s">
        <v>487</v>
      </c>
      <c r="E471" s="209">
        <v>0</v>
      </c>
      <c r="F471" s="209">
        <v>2</v>
      </c>
      <c r="G471" s="209">
        <v>0</v>
      </c>
      <c r="H471" s="209">
        <v>2</v>
      </c>
      <c r="I471" s="209">
        <v>2</v>
      </c>
      <c r="J471" s="209">
        <v>2</v>
      </c>
      <c r="K471" s="209">
        <v>6346.67</v>
      </c>
    </row>
    <row r="472" spans="1:11">
      <c r="A472" s="208">
        <v>42650</v>
      </c>
      <c r="B472" s="209" t="s">
        <v>519</v>
      </c>
      <c r="C472" s="209">
        <v>14</v>
      </c>
      <c r="D472" s="272" t="s">
        <v>490</v>
      </c>
      <c r="E472" s="209">
        <v>1</v>
      </c>
      <c r="F472" s="209">
        <v>9</v>
      </c>
      <c r="G472" s="209">
        <v>1</v>
      </c>
      <c r="H472" s="209">
        <v>8</v>
      </c>
      <c r="I472" s="209">
        <v>9</v>
      </c>
      <c r="J472" s="209">
        <v>8</v>
      </c>
      <c r="K472" s="209">
        <v>5638.2</v>
      </c>
    </row>
    <row r="473" spans="1:11">
      <c r="A473" s="208">
        <v>42650</v>
      </c>
      <c r="B473" s="209" t="s">
        <v>519</v>
      </c>
      <c r="C473" s="209">
        <v>15</v>
      </c>
      <c r="D473" s="272" t="s">
        <v>484</v>
      </c>
      <c r="E473" s="209">
        <v>0</v>
      </c>
      <c r="F473" s="209">
        <v>8</v>
      </c>
      <c r="G473" s="209">
        <v>0</v>
      </c>
      <c r="H473" s="209">
        <v>7</v>
      </c>
      <c r="I473" s="209">
        <v>8</v>
      </c>
      <c r="J473" s="209">
        <v>7</v>
      </c>
      <c r="K473" s="209">
        <v>5596.33</v>
      </c>
    </row>
    <row r="474" spans="1:11">
      <c r="A474" s="208">
        <v>42650</v>
      </c>
      <c r="B474" s="209" t="s">
        <v>519</v>
      </c>
      <c r="C474" s="209">
        <v>16</v>
      </c>
      <c r="D474" s="272" t="s">
        <v>468</v>
      </c>
      <c r="E474" s="209">
        <v>0</v>
      </c>
      <c r="F474" s="209">
        <v>0</v>
      </c>
      <c r="G474" s="209">
        <v>0</v>
      </c>
      <c r="H474" s="209">
        <v>0</v>
      </c>
      <c r="I474" s="209">
        <v>0</v>
      </c>
      <c r="J474" s="209">
        <v>0</v>
      </c>
      <c r="K474" s="209">
        <v>5352.85</v>
      </c>
    </row>
    <row r="475" spans="1:11">
      <c r="A475" s="208">
        <v>42650</v>
      </c>
      <c r="B475" s="209" t="s">
        <v>519</v>
      </c>
      <c r="C475" s="209">
        <v>17</v>
      </c>
      <c r="D475" s="272" t="s">
        <v>460</v>
      </c>
      <c r="E475" s="209">
        <v>0</v>
      </c>
      <c r="F475" s="209">
        <v>6</v>
      </c>
      <c r="G475" s="209">
        <v>0</v>
      </c>
      <c r="H475" s="209">
        <v>2</v>
      </c>
      <c r="I475" s="209">
        <v>6</v>
      </c>
      <c r="J475" s="209">
        <v>2</v>
      </c>
      <c r="K475" s="209">
        <v>4026.1</v>
      </c>
    </row>
    <row r="476" spans="1:11">
      <c r="A476" s="208">
        <v>42650</v>
      </c>
      <c r="B476" s="209" t="s">
        <v>519</v>
      </c>
      <c r="C476" s="209">
        <v>18</v>
      </c>
      <c r="D476" s="272" t="s">
        <v>510</v>
      </c>
      <c r="E476" s="209">
        <v>0</v>
      </c>
      <c r="F476" s="209">
        <v>3</v>
      </c>
      <c r="G476" s="209">
        <v>0</v>
      </c>
      <c r="H476" s="209">
        <v>3</v>
      </c>
      <c r="I476" s="209">
        <v>3</v>
      </c>
      <c r="J476" s="209">
        <v>3</v>
      </c>
      <c r="K476" s="209">
        <v>3553.59</v>
      </c>
    </row>
    <row r="477" spans="1:11">
      <c r="A477" s="208">
        <v>42650</v>
      </c>
      <c r="B477" s="209" t="s">
        <v>519</v>
      </c>
      <c r="C477" s="209">
        <v>19</v>
      </c>
      <c r="D477" s="272" t="s">
        <v>471</v>
      </c>
      <c r="E477" s="209">
        <v>0</v>
      </c>
      <c r="F477" s="209">
        <v>0</v>
      </c>
      <c r="G477" s="209">
        <v>0</v>
      </c>
      <c r="H477" s="209">
        <v>0</v>
      </c>
      <c r="I477" s="209">
        <v>0</v>
      </c>
      <c r="J477" s="209">
        <v>0</v>
      </c>
      <c r="K477" s="209">
        <v>2936.21</v>
      </c>
    </row>
    <row r="478" spans="1:11">
      <c r="A478" s="208">
        <v>42650</v>
      </c>
      <c r="B478" s="209" t="s">
        <v>519</v>
      </c>
      <c r="C478" s="209">
        <v>20</v>
      </c>
      <c r="D478" s="272" t="s">
        <v>467</v>
      </c>
      <c r="E478" s="209">
        <v>0</v>
      </c>
      <c r="F478" s="209">
        <v>0</v>
      </c>
      <c r="G478" s="209">
        <v>0</v>
      </c>
      <c r="H478" s="209">
        <v>0</v>
      </c>
      <c r="I478" s="209">
        <v>0</v>
      </c>
      <c r="J478" s="209">
        <v>0</v>
      </c>
      <c r="K478" s="209">
        <v>2621.63</v>
      </c>
    </row>
    <row r="479" spans="1:11">
      <c r="A479" s="208">
        <v>42650</v>
      </c>
      <c r="B479" s="209" t="s">
        <v>519</v>
      </c>
      <c r="C479" s="209">
        <v>21</v>
      </c>
      <c r="D479" s="272" t="s">
        <v>508</v>
      </c>
      <c r="E479" s="209">
        <v>0</v>
      </c>
      <c r="F479" s="209">
        <v>2</v>
      </c>
      <c r="G479" s="209">
        <v>0</v>
      </c>
      <c r="H479" s="209">
        <v>1</v>
      </c>
      <c r="I479" s="209">
        <v>2</v>
      </c>
      <c r="J479" s="209">
        <v>1</v>
      </c>
      <c r="K479" s="209">
        <v>1911.41</v>
      </c>
    </row>
    <row r="480" spans="1:11">
      <c r="A480" s="208">
        <v>42650</v>
      </c>
      <c r="B480" s="209" t="s">
        <v>519</v>
      </c>
      <c r="C480" s="209">
        <v>22</v>
      </c>
      <c r="D480" s="272" t="s">
        <v>464</v>
      </c>
      <c r="E480" s="209">
        <v>0</v>
      </c>
      <c r="F480" s="209">
        <v>3</v>
      </c>
      <c r="G480" s="209">
        <v>0</v>
      </c>
      <c r="H480" s="209">
        <v>2</v>
      </c>
      <c r="I480" s="209">
        <v>3</v>
      </c>
      <c r="J480" s="209">
        <v>2</v>
      </c>
      <c r="K480" s="209">
        <v>1019.7</v>
      </c>
    </row>
    <row r="481" spans="1:11">
      <c r="A481" s="208">
        <v>42650</v>
      </c>
      <c r="B481" s="209" t="s">
        <v>519</v>
      </c>
      <c r="C481" s="209">
        <v>23</v>
      </c>
      <c r="D481" s="272" t="s">
        <v>472</v>
      </c>
      <c r="E481" s="209">
        <v>0</v>
      </c>
      <c r="F481" s="209">
        <v>0</v>
      </c>
      <c r="G481" s="209">
        <v>0</v>
      </c>
      <c r="H481" s="209">
        <v>0</v>
      </c>
      <c r="I481" s="209">
        <v>0</v>
      </c>
      <c r="J481" s="209">
        <v>0</v>
      </c>
      <c r="K481" s="209">
        <v>91.11</v>
      </c>
    </row>
    <row r="482" spans="1:11">
      <c r="A482" s="260">
        <v>42644</v>
      </c>
      <c r="B482" s="209" t="s">
        <v>529</v>
      </c>
      <c r="C482" s="209">
        <v>1</v>
      </c>
      <c r="D482" s="272" t="s">
        <v>489</v>
      </c>
      <c r="E482" s="209">
        <v>5</v>
      </c>
      <c r="F482" s="209">
        <v>5</v>
      </c>
      <c r="G482" s="209">
        <v>2</v>
      </c>
      <c r="H482" s="209">
        <v>2</v>
      </c>
      <c r="I482" s="209">
        <v>2.0699999999999998</v>
      </c>
      <c r="J482" s="209">
        <v>0.83</v>
      </c>
      <c r="K482" s="209">
        <v>24139.1</v>
      </c>
    </row>
    <row r="483" spans="1:11">
      <c r="A483" s="260">
        <v>42644</v>
      </c>
      <c r="B483" s="209" t="s">
        <v>529</v>
      </c>
      <c r="C483" s="209">
        <v>2</v>
      </c>
      <c r="D483" s="272" t="s">
        <v>461</v>
      </c>
      <c r="E483" s="209">
        <v>0</v>
      </c>
      <c r="F483" s="209">
        <v>0</v>
      </c>
      <c r="G483" s="209">
        <v>0</v>
      </c>
      <c r="H483" s="209">
        <v>0</v>
      </c>
      <c r="I483" s="209">
        <v>0</v>
      </c>
      <c r="J483" s="209">
        <v>0</v>
      </c>
      <c r="K483" s="209">
        <v>13984</v>
      </c>
    </row>
    <row r="484" spans="1:11">
      <c r="A484" s="260">
        <v>42644</v>
      </c>
      <c r="B484" s="209" t="s">
        <v>529</v>
      </c>
      <c r="C484" s="209">
        <v>3</v>
      </c>
      <c r="D484" s="272" t="s">
        <v>462</v>
      </c>
      <c r="E484" s="209">
        <v>0</v>
      </c>
      <c r="F484" s="209">
        <v>0</v>
      </c>
      <c r="G484" s="209">
        <v>0</v>
      </c>
      <c r="H484" s="209">
        <v>0</v>
      </c>
      <c r="I484" s="209">
        <v>0</v>
      </c>
      <c r="J484" s="209">
        <v>0</v>
      </c>
      <c r="K484" s="209">
        <v>7424</v>
      </c>
    </row>
    <row r="485" spans="1:11">
      <c r="A485" s="260">
        <v>42644</v>
      </c>
      <c r="B485" s="209" t="s">
        <v>529</v>
      </c>
      <c r="C485" s="209">
        <v>4</v>
      </c>
      <c r="D485" s="272" t="s">
        <v>490</v>
      </c>
      <c r="E485" s="209">
        <v>11</v>
      </c>
      <c r="F485" s="209">
        <v>11</v>
      </c>
      <c r="G485" s="209">
        <v>6</v>
      </c>
      <c r="H485" s="209">
        <v>6</v>
      </c>
      <c r="I485" s="209">
        <v>11</v>
      </c>
      <c r="J485" s="209">
        <v>6</v>
      </c>
      <c r="K485" s="209">
        <v>5420</v>
      </c>
    </row>
    <row r="486" spans="1:11">
      <c r="A486" s="260">
        <v>42644</v>
      </c>
      <c r="B486" s="209" t="s">
        <v>529</v>
      </c>
      <c r="C486" s="209">
        <v>5</v>
      </c>
      <c r="D486" s="272" t="s">
        <v>463</v>
      </c>
      <c r="E486" s="209">
        <v>0</v>
      </c>
      <c r="F486" s="209">
        <v>0</v>
      </c>
      <c r="G486" s="209">
        <v>0</v>
      </c>
      <c r="H486" s="209">
        <v>0</v>
      </c>
      <c r="I486" s="209">
        <v>0</v>
      </c>
      <c r="J486" s="209">
        <v>0</v>
      </c>
      <c r="K486" s="209">
        <v>4812</v>
      </c>
    </row>
    <row r="487" spans="1:11">
      <c r="A487" s="260">
        <v>42644</v>
      </c>
      <c r="B487" s="209" t="s">
        <v>529</v>
      </c>
      <c r="C487" s="209">
        <v>6</v>
      </c>
      <c r="D487" s="272" t="s">
        <v>468</v>
      </c>
      <c r="E487" s="209">
        <v>0</v>
      </c>
      <c r="F487" s="209">
        <v>0</v>
      </c>
      <c r="G487" s="209">
        <v>0</v>
      </c>
      <c r="H487" s="209">
        <v>0</v>
      </c>
      <c r="I487" s="209">
        <v>0</v>
      </c>
      <c r="J487" s="209">
        <v>0</v>
      </c>
      <c r="K487" s="209">
        <v>4587</v>
      </c>
    </row>
    <row r="488" spans="1:11">
      <c r="A488" s="260">
        <v>42644</v>
      </c>
      <c r="B488" s="209" t="s">
        <v>529</v>
      </c>
      <c r="C488" s="209">
        <v>7</v>
      </c>
      <c r="D488" s="272" t="s">
        <v>504</v>
      </c>
      <c r="E488" s="209">
        <v>1</v>
      </c>
      <c r="F488" s="209">
        <v>1</v>
      </c>
      <c r="G488" s="209">
        <v>1</v>
      </c>
      <c r="H488" s="209">
        <v>1</v>
      </c>
      <c r="I488" s="209">
        <v>1</v>
      </c>
      <c r="J488" s="209">
        <v>1</v>
      </c>
      <c r="K488" s="209">
        <v>4235</v>
      </c>
    </row>
    <row r="489" spans="1:11">
      <c r="A489" s="260">
        <v>42644</v>
      </c>
      <c r="B489" s="209" t="s">
        <v>529</v>
      </c>
      <c r="C489" s="209">
        <v>8</v>
      </c>
      <c r="D489" s="272" t="s">
        <v>470</v>
      </c>
      <c r="E489" s="209">
        <v>3</v>
      </c>
      <c r="F489" s="209">
        <v>3</v>
      </c>
      <c r="G489" s="209">
        <v>2</v>
      </c>
      <c r="H489" s="209">
        <v>2</v>
      </c>
      <c r="I489" s="209">
        <v>3</v>
      </c>
      <c r="J489" s="209">
        <v>2</v>
      </c>
      <c r="K489" s="209">
        <v>4140</v>
      </c>
    </row>
    <row r="490" spans="1:11">
      <c r="A490" s="260">
        <v>42644</v>
      </c>
      <c r="B490" s="209" t="s">
        <v>529</v>
      </c>
      <c r="C490" s="209">
        <v>9</v>
      </c>
      <c r="D490" s="272" t="s">
        <v>466</v>
      </c>
      <c r="E490" s="209">
        <v>2</v>
      </c>
      <c r="F490" s="209">
        <v>2</v>
      </c>
      <c r="G490" s="209">
        <v>1</v>
      </c>
      <c r="H490" s="209">
        <v>1</v>
      </c>
      <c r="I490" s="209">
        <v>2</v>
      </c>
      <c r="J490" s="209">
        <v>1</v>
      </c>
      <c r="K490" s="209">
        <v>3655</v>
      </c>
    </row>
    <row r="491" spans="1:11">
      <c r="A491" s="260">
        <v>42644</v>
      </c>
      <c r="B491" s="209" t="s">
        <v>529</v>
      </c>
      <c r="C491" s="209">
        <v>10</v>
      </c>
      <c r="D491" s="272" t="s">
        <v>464</v>
      </c>
      <c r="E491" s="209">
        <v>3</v>
      </c>
      <c r="F491" s="209">
        <v>3</v>
      </c>
      <c r="G491" s="209">
        <v>2</v>
      </c>
      <c r="H491" s="209">
        <v>2</v>
      </c>
      <c r="I491" s="209">
        <v>3</v>
      </c>
      <c r="J491" s="209">
        <v>2</v>
      </c>
      <c r="K491" s="209">
        <v>3550.11</v>
      </c>
    </row>
    <row r="492" spans="1:11">
      <c r="A492" s="260">
        <v>42644</v>
      </c>
      <c r="B492" s="209" t="s">
        <v>529</v>
      </c>
      <c r="C492" s="209">
        <v>1</v>
      </c>
      <c r="D492" s="272" t="s">
        <v>471</v>
      </c>
      <c r="E492" s="209">
        <v>0</v>
      </c>
      <c r="F492" s="209">
        <v>0</v>
      </c>
      <c r="G492" s="209">
        <v>0</v>
      </c>
      <c r="H492" s="209">
        <v>0</v>
      </c>
      <c r="I492" s="209">
        <v>0</v>
      </c>
      <c r="J492" s="209">
        <v>0</v>
      </c>
      <c r="K492" s="209">
        <v>3451</v>
      </c>
    </row>
    <row r="493" spans="1:11">
      <c r="A493" s="260">
        <v>42644</v>
      </c>
      <c r="B493" s="209" t="s">
        <v>529</v>
      </c>
      <c r="C493" s="209">
        <v>12</v>
      </c>
      <c r="D493" s="272" t="s">
        <v>505</v>
      </c>
      <c r="E493" s="209">
        <v>0</v>
      </c>
      <c r="F493" s="209">
        <v>0</v>
      </c>
      <c r="G493" s="209">
        <v>0</v>
      </c>
      <c r="H493" s="209">
        <v>0</v>
      </c>
      <c r="I493" s="209">
        <v>0</v>
      </c>
      <c r="J493" s="209">
        <v>0</v>
      </c>
      <c r="K493" s="209">
        <v>3356</v>
      </c>
    </row>
    <row r="494" spans="1:11">
      <c r="A494" s="260">
        <v>42644</v>
      </c>
      <c r="B494" s="209" t="s">
        <v>529</v>
      </c>
      <c r="C494" s="209">
        <v>13</v>
      </c>
      <c r="D494" s="272" t="s">
        <v>469</v>
      </c>
      <c r="E494" s="209">
        <v>0</v>
      </c>
      <c r="F494" s="209">
        <v>0</v>
      </c>
      <c r="G494" s="209">
        <v>0</v>
      </c>
      <c r="H494" s="209">
        <v>0</v>
      </c>
      <c r="I494" s="209">
        <v>0</v>
      </c>
      <c r="J494" s="209">
        <v>0</v>
      </c>
      <c r="K494" s="209">
        <v>2878</v>
      </c>
    </row>
    <row r="495" spans="1:11">
      <c r="A495" s="260">
        <v>42644</v>
      </c>
      <c r="B495" s="209" t="s">
        <v>529</v>
      </c>
      <c r="C495" s="209">
        <v>14</v>
      </c>
      <c r="D495" s="272" t="s">
        <v>507</v>
      </c>
      <c r="E495" s="209">
        <v>0</v>
      </c>
      <c r="F495" s="209">
        <v>0</v>
      </c>
      <c r="G495" s="209">
        <v>0</v>
      </c>
      <c r="H495" s="209">
        <v>0</v>
      </c>
      <c r="I495" s="209">
        <v>0</v>
      </c>
      <c r="J495" s="209">
        <v>0</v>
      </c>
      <c r="K495" s="209">
        <v>2810</v>
      </c>
    </row>
    <row r="496" spans="1:11">
      <c r="A496" s="260">
        <v>42644</v>
      </c>
      <c r="B496" s="209" t="s">
        <v>529</v>
      </c>
      <c r="C496" s="209">
        <v>15</v>
      </c>
      <c r="D496" s="272" t="s">
        <v>484</v>
      </c>
      <c r="E496" s="209">
        <v>1</v>
      </c>
      <c r="F496" s="209">
        <v>1</v>
      </c>
      <c r="G496" s="209">
        <v>0</v>
      </c>
      <c r="H496" s="209">
        <v>0</v>
      </c>
      <c r="I496" s="209">
        <v>1</v>
      </c>
      <c r="J496" s="209">
        <v>0</v>
      </c>
      <c r="K496" s="209">
        <v>2708</v>
      </c>
    </row>
    <row r="497" spans="1:11">
      <c r="A497" s="260">
        <v>42644</v>
      </c>
      <c r="B497" s="209" t="s">
        <v>529</v>
      </c>
      <c r="C497" s="209">
        <v>16</v>
      </c>
      <c r="D497" s="272" t="s">
        <v>487</v>
      </c>
      <c r="E497" s="209">
        <v>0</v>
      </c>
      <c r="F497" s="209">
        <v>0</v>
      </c>
      <c r="G497" s="209">
        <v>0</v>
      </c>
      <c r="H497" s="209">
        <v>0</v>
      </c>
      <c r="I497" s="209">
        <v>0</v>
      </c>
      <c r="J497" s="209">
        <v>0</v>
      </c>
      <c r="K497" s="209">
        <v>2606.1999999999998</v>
      </c>
    </row>
    <row r="498" spans="1:11">
      <c r="A498" s="260">
        <v>42644</v>
      </c>
      <c r="B498" s="209" t="s">
        <v>529</v>
      </c>
      <c r="C498" s="209">
        <v>17</v>
      </c>
      <c r="D498" s="272" t="s">
        <v>479</v>
      </c>
      <c r="E498" s="209">
        <v>0</v>
      </c>
      <c r="F498" s="209">
        <v>0</v>
      </c>
      <c r="G498" s="209">
        <v>0</v>
      </c>
      <c r="H498" s="209">
        <v>0</v>
      </c>
      <c r="I498" s="209">
        <v>0</v>
      </c>
      <c r="J498" s="209">
        <v>0</v>
      </c>
      <c r="K498" s="209">
        <v>1444</v>
      </c>
    </row>
    <row r="499" spans="1:11">
      <c r="A499" s="260">
        <v>42644</v>
      </c>
      <c r="B499" s="209" t="s">
        <v>529</v>
      </c>
      <c r="C499" s="209">
        <v>18</v>
      </c>
      <c r="D499" s="272" t="s">
        <v>510</v>
      </c>
      <c r="E499" s="209">
        <v>0</v>
      </c>
      <c r="F499" s="209">
        <v>0</v>
      </c>
      <c r="G499" s="209">
        <v>0</v>
      </c>
      <c r="H499" s="209">
        <v>0</v>
      </c>
      <c r="I499" s="209">
        <v>0</v>
      </c>
      <c r="J499" s="209">
        <v>0</v>
      </c>
      <c r="K499" s="209">
        <v>460</v>
      </c>
    </row>
    <row r="500" spans="1:11">
      <c r="A500" s="260">
        <v>42644</v>
      </c>
      <c r="B500" s="209" t="s">
        <v>529</v>
      </c>
      <c r="C500" s="209">
        <v>19</v>
      </c>
      <c r="D500" s="272" t="s">
        <v>508</v>
      </c>
      <c r="E500" s="209">
        <v>0</v>
      </c>
      <c r="F500" s="209">
        <v>0</v>
      </c>
      <c r="G500" s="209">
        <v>0</v>
      </c>
      <c r="H500" s="209">
        <v>0</v>
      </c>
      <c r="I500" s="209">
        <v>0</v>
      </c>
      <c r="J500" s="209">
        <v>0</v>
      </c>
      <c r="K500" s="209">
        <v>445</v>
      </c>
    </row>
    <row r="501" spans="1:11">
      <c r="A501" s="260">
        <v>42644</v>
      </c>
      <c r="B501" s="209" t="s">
        <v>529</v>
      </c>
      <c r="C501" s="209">
        <v>20</v>
      </c>
      <c r="D501" s="272" t="s">
        <v>460</v>
      </c>
      <c r="E501" s="209">
        <v>0</v>
      </c>
      <c r="F501" s="209">
        <v>0</v>
      </c>
      <c r="G501" s="209">
        <v>0</v>
      </c>
      <c r="H501" s="209">
        <v>0</v>
      </c>
      <c r="I501" s="209">
        <v>0</v>
      </c>
      <c r="J501" s="209">
        <v>0</v>
      </c>
      <c r="K501" s="209">
        <v>166</v>
      </c>
    </row>
    <row r="502" spans="1:11">
      <c r="A502" s="260">
        <v>42644</v>
      </c>
      <c r="B502" s="209" t="s">
        <v>529</v>
      </c>
      <c r="C502" s="209">
        <v>21</v>
      </c>
      <c r="D502" s="272" t="s">
        <v>465</v>
      </c>
      <c r="E502" s="209">
        <v>0</v>
      </c>
      <c r="F502" s="209">
        <v>0</v>
      </c>
      <c r="G502" s="209">
        <v>0</v>
      </c>
      <c r="H502" s="209">
        <v>0</v>
      </c>
      <c r="I502" s="209">
        <v>0</v>
      </c>
      <c r="J502" s="209">
        <v>0</v>
      </c>
      <c r="K502" s="209">
        <v>8</v>
      </c>
    </row>
    <row r="503" spans="1:11">
      <c r="A503" s="260">
        <v>42644</v>
      </c>
      <c r="B503" s="209" t="s">
        <v>529</v>
      </c>
      <c r="C503" s="209">
        <v>22</v>
      </c>
      <c r="D503" s="272" t="s">
        <v>549</v>
      </c>
      <c r="E503" s="209">
        <v>0</v>
      </c>
      <c r="F503" s="209">
        <v>0</v>
      </c>
      <c r="G503" s="209" t="s">
        <v>242</v>
      </c>
      <c r="H503" s="209" t="s">
        <v>242</v>
      </c>
      <c r="I503" s="209">
        <v>0</v>
      </c>
      <c r="J503" s="209" t="s">
        <v>242</v>
      </c>
      <c r="K503" s="209">
        <v>0</v>
      </c>
    </row>
    <row r="504" spans="1:11">
      <c r="A504" s="208">
        <v>42645</v>
      </c>
      <c r="B504" s="209" t="s">
        <v>529</v>
      </c>
      <c r="C504" s="209">
        <v>1</v>
      </c>
      <c r="D504" s="272" t="s">
        <v>489</v>
      </c>
      <c r="E504" s="209">
        <v>4</v>
      </c>
      <c r="F504" s="209">
        <v>10</v>
      </c>
      <c r="G504" s="209">
        <v>2</v>
      </c>
      <c r="H504" s="209">
        <v>4</v>
      </c>
      <c r="I504" s="209">
        <v>2.58</v>
      </c>
      <c r="J504" s="209">
        <v>1.03</v>
      </c>
      <c r="K504" s="209">
        <v>38733.199999999997</v>
      </c>
    </row>
    <row r="505" spans="1:11">
      <c r="A505" s="208">
        <v>42645</v>
      </c>
      <c r="B505" s="209" t="s">
        <v>529</v>
      </c>
      <c r="C505" s="209">
        <v>2</v>
      </c>
      <c r="D505" s="272" t="s">
        <v>461</v>
      </c>
      <c r="E505" s="209">
        <v>0</v>
      </c>
      <c r="F505" s="209">
        <v>0</v>
      </c>
      <c r="G505" s="209">
        <v>0</v>
      </c>
      <c r="H505" s="209">
        <v>0</v>
      </c>
      <c r="I505" s="209">
        <v>0</v>
      </c>
      <c r="J505" s="209">
        <v>0</v>
      </c>
      <c r="K505" s="209">
        <v>16917</v>
      </c>
    </row>
    <row r="506" spans="1:11">
      <c r="A506" s="208">
        <v>42645</v>
      </c>
      <c r="B506" s="209" t="s">
        <v>529</v>
      </c>
      <c r="C506" s="209">
        <v>3</v>
      </c>
      <c r="D506" s="272" t="s">
        <v>462</v>
      </c>
      <c r="E506" s="209">
        <v>0</v>
      </c>
      <c r="F506" s="209">
        <v>0</v>
      </c>
      <c r="G506" s="209">
        <v>0</v>
      </c>
      <c r="H506" s="209">
        <v>0</v>
      </c>
      <c r="I506" s="209">
        <v>0</v>
      </c>
      <c r="J506" s="209">
        <v>0</v>
      </c>
      <c r="K506" s="209">
        <v>12186</v>
      </c>
    </row>
    <row r="507" spans="1:11">
      <c r="A507" s="208">
        <v>42645</v>
      </c>
      <c r="B507" s="209" t="s">
        <v>529</v>
      </c>
      <c r="C507" s="209">
        <v>4</v>
      </c>
      <c r="D507" s="272" t="s">
        <v>463</v>
      </c>
      <c r="E507" s="209">
        <v>0</v>
      </c>
      <c r="F507" s="209">
        <v>0</v>
      </c>
      <c r="G507" s="209">
        <v>0</v>
      </c>
      <c r="H507" s="209">
        <v>0</v>
      </c>
      <c r="I507" s="209">
        <v>0</v>
      </c>
      <c r="J507" s="209">
        <v>0</v>
      </c>
      <c r="K507" s="209">
        <v>10042</v>
      </c>
    </row>
    <row r="508" spans="1:11">
      <c r="A508" s="208">
        <v>42645</v>
      </c>
      <c r="B508" s="209" t="s">
        <v>529</v>
      </c>
      <c r="C508" s="209">
        <v>5</v>
      </c>
      <c r="D508" s="272" t="s">
        <v>470</v>
      </c>
      <c r="E508" s="209">
        <v>6</v>
      </c>
      <c r="F508" s="209">
        <v>9</v>
      </c>
      <c r="G508" s="209">
        <v>2</v>
      </c>
      <c r="H508" s="209">
        <v>4</v>
      </c>
      <c r="I508" s="209">
        <v>9</v>
      </c>
      <c r="J508" s="209">
        <v>4</v>
      </c>
      <c r="K508" s="209">
        <v>8398</v>
      </c>
    </row>
    <row r="509" spans="1:11">
      <c r="A509" s="208">
        <v>42645</v>
      </c>
      <c r="B509" s="209" t="s">
        <v>529</v>
      </c>
      <c r="C509" s="209">
        <v>6</v>
      </c>
      <c r="D509" s="272" t="s">
        <v>504</v>
      </c>
      <c r="E509" s="209">
        <v>1</v>
      </c>
      <c r="F509" s="209">
        <v>2</v>
      </c>
      <c r="G509" s="209">
        <v>1</v>
      </c>
      <c r="H509" s="209">
        <v>2</v>
      </c>
      <c r="I509" s="209">
        <v>2</v>
      </c>
      <c r="J509" s="209">
        <v>2</v>
      </c>
      <c r="K509" s="209">
        <v>7915</v>
      </c>
    </row>
    <row r="510" spans="1:11">
      <c r="A510" s="208">
        <v>42645</v>
      </c>
      <c r="B510" s="209" t="s">
        <v>529</v>
      </c>
      <c r="C510" s="209">
        <v>7</v>
      </c>
      <c r="D510" s="272" t="s">
        <v>468</v>
      </c>
      <c r="E510" s="209">
        <v>0</v>
      </c>
      <c r="F510" s="209">
        <v>0</v>
      </c>
      <c r="G510" s="209">
        <v>0</v>
      </c>
      <c r="H510" s="209">
        <v>0</v>
      </c>
      <c r="I510" s="209">
        <v>0</v>
      </c>
      <c r="J510" s="209">
        <v>0</v>
      </c>
      <c r="K510" s="209">
        <v>7514</v>
      </c>
    </row>
    <row r="511" spans="1:11">
      <c r="A511" s="208">
        <v>42645</v>
      </c>
      <c r="B511" s="209" t="s">
        <v>529</v>
      </c>
      <c r="C511" s="209">
        <v>8</v>
      </c>
      <c r="D511" s="272" t="s">
        <v>507</v>
      </c>
      <c r="E511" s="209">
        <v>0</v>
      </c>
      <c r="F511" s="209">
        <v>0</v>
      </c>
      <c r="G511" s="209">
        <v>0</v>
      </c>
      <c r="H511" s="209">
        <v>0</v>
      </c>
      <c r="I511" s="209">
        <v>0</v>
      </c>
      <c r="J511" s="209">
        <v>0</v>
      </c>
      <c r="K511" s="209">
        <v>7430</v>
      </c>
    </row>
    <row r="512" spans="1:11">
      <c r="A512" s="208">
        <v>42645</v>
      </c>
      <c r="B512" s="209" t="s">
        <v>529</v>
      </c>
      <c r="C512" s="209">
        <v>9</v>
      </c>
      <c r="D512" s="272" t="s">
        <v>466</v>
      </c>
      <c r="E512" s="209">
        <v>0</v>
      </c>
      <c r="F512" s="209">
        <v>2</v>
      </c>
      <c r="G512" s="209">
        <v>0</v>
      </c>
      <c r="H512" s="209">
        <v>1</v>
      </c>
      <c r="I512" s="209">
        <v>2</v>
      </c>
      <c r="J512" s="209">
        <v>1</v>
      </c>
      <c r="K512" s="209">
        <v>6301</v>
      </c>
    </row>
    <row r="513" spans="1:11">
      <c r="A513" s="208">
        <v>42645</v>
      </c>
      <c r="B513" s="209" t="s">
        <v>529</v>
      </c>
      <c r="C513" s="209">
        <v>10</v>
      </c>
      <c r="D513" s="272" t="s">
        <v>469</v>
      </c>
      <c r="E513" s="209">
        <v>0</v>
      </c>
      <c r="F513" s="209">
        <v>0</v>
      </c>
      <c r="G513" s="209">
        <v>0</v>
      </c>
      <c r="H513" s="209">
        <v>0</v>
      </c>
      <c r="I513" s="209">
        <v>0</v>
      </c>
      <c r="J513" s="209">
        <v>0</v>
      </c>
      <c r="K513" s="209">
        <v>5882</v>
      </c>
    </row>
    <row r="514" spans="1:11">
      <c r="A514" s="208">
        <v>42645</v>
      </c>
      <c r="B514" s="209" t="s">
        <v>529</v>
      </c>
      <c r="C514" s="209">
        <v>11</v>
      </c>
      <c r="D514" s="272" t="s">
        <v>471</v>
      </c>
      <c r="E514" s="209">
        <v>1</v>
      </c>
      <c r="F514" s="209">
        <v>1</v>
      </c>
      <c r="G514" s="209">
        <v>0</v>
      </c>
      <c r="H514" s="209">
        <v>0</v>
      </c>
      <c r="I514" s="209">
        <v>1</v>
      </c>
      <c r="J514" s="209">
        <v>0</v>
      </c>
      <c r="K514" s="209">
        <v>5792.1</v>
      </c>
    </row>
    <row r="515" spans="1:11">
      <c r="A515" s="208">
        <v>42645</v>
      </c>
      <c r="B515" s="209" t="s">
        <v>529</v>
      </c>
      <c r="C515" s="209">
        <v>12</v>
      </c>
      <c r="D515" s="272" t="s">
        <v>464</v>
      </c>
      <c r="E515" s="209">
        <v>6</v>
      </c>
      <c r="F515" s="209">
        <v>10</v>
      </c>
      <c r="G515" s="209">
        <v>5</v>
      </c>
      <c r="H515" s="209">
        <v>7</v>
      </c>
      <c r="I515" s="209">
        <v>10</v>
      </c>
      <c r="J515" s="209">
        <v>7</v>
      </c>
      <c r="K515" s="209">
        <v>5770.11</v>
      </c>
    </row>
    <row r="516" spans="1:11">
      <c r="A516" s="208">
        <v>42645</v>
      </c>
      <c r="B516" s="209" t="s">
        <v>529</v>
      </c>
      <c r="C516" s="209">
        <v>13</v>
      </c>
      <c r="D516" s="272" t="s">
        <v>490</v>
      </c>
      <c r="E516" s="209">
        <v>1</v>
      </c>
      <c r="F516" s="209">
        <v>12</v>
      </c>
      <c r="G516" s="209">
        <v>0</v>
      </c>
      <c r="H516" s="209">
        <v>6</v>
      </c>
      <c r="I516" s="209">
        <v>12</v>
      </c>
      <c r="J516" s="209">
        <v>6</v>
      </c>
      <c r="K516" s="209">
        <v>5446</v>
      </c>
    </row>
    <row r="517" spans="1:11">
      <c r="A517" s="208">
        <v>42645</v>
      </c>
      <c r="B517" s="209" t="s">
        <v>529</v>
      </c>
      <c r="C517" s="209">
        <v>14</v>
      </c>
      <c r="D517" s="272" t="s">
        <v>505</v>
      </c>
      <c r="E517" s="209">
        <v>0</v>
      </c>
      <c r="F517" s="209">
        <v>0</v>
      </c>
      <c r="G517" s="209">
        <v>0</v>
      </c>
      <c r="H517" s="209">
        <v>0</v>
      </c>
      <c r="I517" s="209">
        <v>0</v>
      </c>
      <c r="J517" s="209">
        <v>0</v>
      </c>
      <c r="K517" s="209">
        <v>5066</v>
      </c>
    </row>
    <row r="518" spans="1:11">
      <c r="A518" s="208">
        <v>42645</v>
      </c>
      <c r="B518" s="209" t="s">
        <v>529</v>
      </c>
      <c r="C518" s="209">
        <v>15</v>
      </c>
      <c r="D518" s="272" t="s">
        <v>484</v>
      </c>
      <c r="E518" s="209">
        <v>1</v>
      </c>
      <c r="F518" s="209">
        <v>2</v>
      </c>
      <c r="G518" s="209">
        <v>0</v>
      </c>
      <c r="H518" s="209">
        <v>0</v>
      </c>
      <c r="I518" s="209">
        <v>2</v>
      </c>
      <c r="J518" s="209">
        <v>0</v>
      </c>
      <c r="K518" s="209">
        <v>4688</v>
      </c>
    </row>
    <row r="519" spans="1:11">
      <c r="A519" s="208">
        <v>42645</v>
      </c>
      <c r="B519" s="209" t="s">
        <v>529</v>
      </c>
      <c r="C519" s="209">
        <v>16</v>
      </c>
      <c r="D519" s="272" t="s">
        <v>487</v>
      </c>
      <c r="E519" s="209">
        <v>1</v>
      </c>
      <c r="F519" s="209">
        <v>1</v>
      </c>
      <c r="G519" s="209">
        <v>0</v>
      </c>
      <c r="H519" s="209">
        <v>0</v>
      </c>
      <c r="I519" s="209">
        <v>1</v>
      </c>
      <c r="J519" s="209">
        <v>0</v>
      </c>
      <c r="K519" s="209">
        <v>4246.3</v>
      </c>
    </row>
    <row r="520" spans="1:11">
      <c r="A520" s="208">
        <v>42645</v>
      </c>
      <c r="B520" s="209" t="s">
        <v>529</v>
      </c>
      <c r="C520" s="209">
        <v>17</v>
      </c>
      <c r="D520" s="272" t="s">
        <v>479</v>
      </c>
      <c r="E520" s="209">
        <v>0</v>
      </c>
      <c r="F520" s="209">
        <v>0</v>
      </c>
      <c r="G520" s="209">
        <v>0</v>
      </c>
      <c r="H520" s="209">
        <v>0</v>
      </c>
      <c r="I520" s="209">
        <v>0</v>
      </c>
      <c r="J520" s="209">
        <v>0</v>
      </c>
      <c r="K520" s="209">
        <v>2278</v>
      </c>
    </row>
    <row r="521" spans="1:11">
      <c r="A521" s="208">
        <v>42645</v>
      </c>
      <c r="B521" s="209" t="s">
        <v>529</v>
      </c>
      <c r="C521" s="209">
        <v>18</v>
      </c>
      <c r="D521" s="272" t="s">
        <v>508</v>
      </c>
      <c r="E521" s="209">
        <v>0</v>
      </c>
      <c r="F521" s="209">
        <v>0</v>
      </c>
      <c r="G521" s="209">
        <v>0</v>
      </c>
      <c r="H521" s="209">
        <v>0</v>
      </c>
      <c r="I521" s="209">
        <v>0</v>
      </c>
      <c r="J521" s="209">
        <v>0</v>
      </c>
      <c r="K521" s="209">
        <v>865</v>
      </c>
    </row>
    <row r="522" spans="1:11">
      <c r="A522" s="208">
        <v>42645</v>
      </c>
      <c r="B522" s="209" t="s">
        <v>529</v>
      </c>
      <c r="C522" s="209">
        <v>19</v>
      </c>
      <c r="D522" s="272" t="s">
        <v>510</v>
      </c>
      <c r="E522" s="209">
        <v>0</v>
      </c>
      <c r="F522" s="209">
        <v>0</v>
      </c>
      <c r="G522" s="209">
        <v>0</v>
      </c>
      <c r="H522" s="209">
        <v>0</v>
      </c>
      <c r="I522" s="209">
        <v>0</v>
      </c>
      <c r="J522" s="209">
        <v>0</v>
      </c>
      <c r="K522" s="209">
        <v>726</v>
      </c>
    </row>
    <row r="523" spans="1:11">
      <c r="A523" s="208">
        <v>42645</v>
      </c>
      <c r="B523" s="209" t="s">
        <v>529</v>
      </c>
      <c r="C523" s="209">
        <v>20</v>
      </c>
      <c r="D523" s="272" t="s">
        <v>460</v>
      </c>
      <c r="E523" s="209">
        <v>0</v>
      </c>
      <c r="F523" s="209">
        <v>0</v>
      </c>
      <c r="G523" s="209">
        <v>0</v>
      </c>
      <c r="H523" s="209">
        <v>0</v>
      </c>
      <c r="I523" s="209">
        <v>0</v>
      </c>
      <c r="J523" s="209">
        <v>0</v>
      </c>
      <c r="K523" s="209">
        <v>325</v>
      </c>
    </row>
    <row r="524" spans="1:11">
      <c r="A524" s="208">
        <v>42645</v>
      </c>
      <c r="B524" s="209" t="s">
        <v>529</v>
      </c>
      <c r="C524" s="209">
        <v>21</v>
      </c>
      <c r="D524" s="272" t="s">
        <v>480</v>
      </c>
      <c r="E524" s="209">
        <v>0</v>
      </c>
      <c r="F524" s="209">
        <v>0</v>
      </c>
      <c r="G524" s="209">
        <v>0</v>
      </c>
      <c r="H524" s="209">
        <v>0</v>
      </c>
      <c r="I524" s="209">
        <v>0</v>
      </c>
      <c r="J524" s="209">
        <v>0</v>
      </c>
      <c r="K524" s="209">
        <v>20</v>
      </c>
    </row>
    <row r="525" spans="1:11">
      <c r="A525" s="208">
        <v>42645</v>
      </c>
      <c r="B525" s="209" t="s">
        <v>529</v>
      </c>
      <c r="C525" s="209">
        <v>22</v>
      </c>
      <c r="D525" s="272" t="s">
        <v>465</v>
      </c>
      <c r="E525" s="209">
        <v>0</v>
      </c>
      <c r="F525" s="209">
        <v>0</v>
      </c>
      <c r="G525" s="209">
        <v>0</v>
      </c>
      <c r="H525" s="209">
        <v>0</v>
      </c>
      <c r="I525" s="209">
        <v>0</v>
      </c>
      <c r="J525" s="209">
        <v>0</v>
      </c>
      <c r="K525" s="209">
        <v>8</v>
      </c>
    </row>
    <row r="526" spans="1:11">
      <c r="A526" s="208">
        <v>42645</v>
      </c>
      <c r="B526" s="209" t="s">
        <v>529</v>
      </c>
      <c r="C526" s="209">
        <v>23</v>
      </c>
      <c r="D526" s="272" t="s">
        <v>549</v>
      </c>
      <c r="E526" s="209">
        <v>0</v>
      </c>
      <c r="F526" s="209">
        <v>0</v>
      </c>
      <c r="G526" s="209" t="s">
        <v>242</v>
      </c>
      <c r="H526" s="209" t="s">
        <v>242</v>
      </c>
      <c r="I526" s="209">
        <v>0</v>
      </c>
      <c r="J526" s="209" t="s">
        <v>242</v>
      </c>
      <c r="K526" s="209">
        <v>0</v>
      </c>
    </row>
    <row r="527" spans="1:11">
      <c r="A527" s="208">
        <v>42646</v>
      </c>
      <c r="B527" s="209" t="s">
        <v>529</v>
      </c>
      <c r="C527" s="209">
        <v>1</v>
      </c>
      <c r="D527" s="272" t="s">
        <v>489</v>
      </c>
      <c r="E527" s="209">
        <v>7</v>
      </c>
      <c r="F527" s="209">
        <v>17</v>
      </c>
      <c r="G527" s="209">
        <v>3</v>
      </c>
      <c r="H527" s="209">
        <v>8</v>
      </c>
      <c r="I527" s="209">
        <v>3.19</v>
      </c>
      <c r="J527" s="209">
        <v>1.5</v>
      </c>
      <c r="K527" s="209">
        <v>53238.6</v>
      </c>
    </row>
    <row r="528" spans="1:11">
      <c r="A528" s="208">
        <v>42646</v>
      </c>
      <c r="B528" s="209" t="s">
        <v>529</v>
      </c>
      <c r="C528" s="209">
        <v>2</v>
      </c>
      <c r="D528" s="272" t="s">
        <v>461</v>
      </c>
      <c r="E528" s="209">
        <v>0</v>
      </c>
      <c r="F528" s="209">
        <v>0</v>
      </c>
      <c r="G528" s="209">
        <v>0</v>
      </c>
      <c r="H528" s="209">
        <v>0</v>
      </c>
      <c r="I528" s="209">
        <v>0</v>
      </c>
      <c r="J528" s="209">
        <v>0</v>
      </c>
      <c r="K528" s="209">
        <v>20682.330000000002</v>
      </c>
    </row>
    <row r="529" spans="1:11">
      <c r="A529" s="208">
        <v>42646</v>
      </c>
      <c r="B529" s="209" t="s">
        <v>529</v>
      </c>
      <c r="C529" s="209">
        <v>3</v>
      </c>
      <c r="D529" s="272" t="s">
        <v>462</v>
      </c>
      <c r="E529" s="209">
        <v>0</v>
      </c>
      <c r="F529" s="209">
        <v>0</v>
      </c>
      <c r="G529" s="209">
        <v>0</v>
      </c>
      <c r="H529" s="209">
        <v>0</v>
      </c>
      <c r="I529" s="209">
        <v>0</v>
      </c>
      <c r="J529" s="209">
        <v>0</v>
      </c>
      <c r="K529" s="209">
        <v>16516</v>
      </c>
    </row>
    <row r="530" spans="1:11">
      <c r="A530" s="208">
        <v>42646</v>
      </c>
      <c r="B530" s="209" t="s">
        <v>529</v>
      </c>
      <c r="C530" s="209">
        <v>4</v>
      </c>
      <c r="D530" s="272" t="s">
        <v>470</v>
      </c>
      <c r="E530" s="209">
        <v>4</v>
      </c>
      <c r="F530" s="209">
        <v>13</v>
      </c>
      <c r="G530" s="209">
        <v>1</v>
      </c>
      <c r="H530" s="209">
        <v>5</v>
      </c>
      <c r="I530" s="209">
        <v>8.66</v>
      </c>
      <c r="J530" s="209">
        <v>3.33</v>
      </c>
      <c r="K530" s="209">
        <v>15009</v>
      </c>
    </row>
    <row r="531" spans="1:11">
      <c r="A531" s="208">
        <v>42646</v>
      </c>
      <c r="B531" s="209" t="s">
        <v>529</v>
      </c>
      <c r="C531" s="209">
        <v>5</v>
      </c>
      <c r="D531" s="272" t="s">
        <v>463</v>
      </c>
      <c r="E531" s="209">
        <v>0</v>
      </c>
      <c r="F531" s="209">
        <v>1</v>
      </c>
      <c r="G531" s="209">
        <v>0</v>
      </c>
      <c r="H531" s="209">
        <v>0</v>
      </c>
      <c r="I531" s="209">
        <v>0.72</v>
      </c>
      <c r="J531" s="209">
        <v>0</v>
      </c>
      <c r="K531" s="209">
        <v>13805.82</v>
      </c>
    </row>
    <row r="532" spans="1:11">
      <c r="A532" s="208">
        <v>42646</v>
      </c>
      <c r="B532" s="209" t="s">
        <v>529</v>
      </c>
      <c r="C532" s="209">
        <v>6</v>
      </c>
      <c r="D532" s="272" t="s">
        <v>504</v>
      </c>
      <c r="E532" s="209">
        <v>2</v>
      </c>
      <c r="F532" s="209">
        <v>4</v>
      </c>
      <c r="G532" s="209">
        <v>0</v>
      </c>
      <c r="H532" s="209">
        <v>2</v>
      </c>
      <c r="I532" s="209">
        <v>4</v>
      </c>
      <c r="J532" s="209">
        <v>2</v>
      </c>
      <c r="K532" s="209">
        <v>9570.9599999999991</v>
      </c>
    </row>
    <row r="533" spans="1:11">
      <c r="A533" s="208">
        <v>42646</v>
      </c>
      <c r="B533" s="209" t="s">
        <v>529</v>
      </c>
      <c r="C533" s="209">
        <v>7</v>
      </c>
      <c r="D533" s="272" t="s">
        <v>507</v>
      </c>
      <c r="E533" s="209">
        <v>1</v>
      </c>
      <c r="F533" s="209">
        <v>1</v>
      </c>
      <c r="G533" s="209">
        <v>1</v>
      </c>
      <c r="H533" s="209">
        <v>1</v>
      </c>
      <c r="I533" s="209">
        <v>1</v>
      </c>
      <c r="J533" s="209">
        <v>1</v>
      </c>
      <c r="K533" s="209">
        <v>9511</v>
      </c>
    </row>
    <row r="534" spans="1:11">
      <c r="A534" s="208">
        <v>42646</v>
      </c>
      <c r="B534" s="209" t="s">
        <v>529</v>
      </c>
      <c r="C534" s="209">
        <v>8</v>
      </c>
      <c r="D534" s="272" t="s">
        <v>469</v>
      </c>
      <c r="E534" s="209">
        <v>0</v>
      </c>
      <c r="F534" s="209">
        <v>0</v>
      </c>
      <c r="G534" s="209">
        <v>0</v>
      </c>
      <c r="H534" s="209">
        <v>0</v>
      </c>
      <c r="I534" s="209">
        <v>0</v>
      </c>
      <c r="J534" s="209">
        <v>0</v>
      </c>
      <c r="K534" s="209">
        <v>9368.1</v>
      </c>
    </row>
    <row r="535" spans="1:11">
      <c r="A535" s="208">
        <v>42646</v>
      </c>
      <c r="B535" s="209" t="s">
        <v>529</v>
      </c>
      <c r="C535" s="209">
        <v>9</v>
      </c>
      <c r="D535" s="272" t="s">
        <v>468</v>
      </c>
      <c r="E535" s="209">
        <v>0</v>
      </c>
      <c r="F535" s="209">
        <v>0</v>
      </c>
      <c r="G535" s="209">
        <v>0</v>
      </c>
      <c r="H535" s="209">
        <v>0</v>
      </c>
      <c r="I535" s="209">
        <v>0</v>
      </c>
      <c r="J535" s="209">
        <v>0</v>
      </c>
      <c r="K535" s="209">
        <v>9325</v>
      </c>
    </row>
    <row r="536" spans="1:11">
      <c r="A536" s="208">
        <v>42646</v>
      </c>
      <c r="B536" s="209" t="s">
        <v>529</v>
      </c>
      <c r="C536" s="209">
        <v>10</v>
      </c>
      <c r="D536" s="272" t="s">
        <v>464</v>
      </c>
      <c r="E536" s="209">
        <v>10</v>
      </c>
      <c r="F536" s="209">
        <v>20</v>
      </c>
      <c r="G536" s="209">
        <v>4</v>
      </c>
      <c r="H536" s="209">
        <v>11</v>
      </c>
      <c r="I536" s="209">
        <v>20</v>
      </c>
      <c r="J536" s="209">
        <v>11</v>
      </c>
      <c r="K536" s="209">
        <v>7680.11</v>
      </c>
    </row>
    <row r="537" spans="1:11">
      <c r="A537" s="208">
        <v>42646</v>
      </c>
      <c r="B537" s="209" t="s">
        <v>529</v>
      </c>
      <c r="C537" s="209">
        <v>11</v>
      </c>
      <c r="D537" s="272" t="s">
        <v>471</v>
      </c>
      <c r="E537" s="209">
        <v>0</v>
      </c>
      <c r="F537" s="209">
        <v>2</v>
      </c>
      <c r="G537" s="209">
        <v>0</v>
      </c>
      <c r="H537" s="209">
        <v>0</v>
      </c>
      <c r="I537" s="209">
        <v>2</v>
      </c>
      <c r="J537" s="209">
        <v>0</v>
      </c>
      <c r="K537" s="209">
        <v>7332.1</v>
      </c>
    </row>
    <row r="538" spans="1:11">
      <c r="A538" s="208">
        <v>42646</v>
      </c>
      <c r="B538" s="209" t="s">
        <v>529</v>
      </c>
      <c r="C538" s="209">
        <v>12</v>
      </c>
      <c r="D538" s="272" t="s">
        <v>466</v>
      </c>
      <c r="E538" s="209">
        <v>3</v>
      </c>
      <c r="F538" s="209">
        <v>5</v>
      </c>
      <c r="G538" s="209">
        <v>1</v>
      </c>
      <c r="H538" s="209">
        <v>2</v>
      </c>
      <c r="I538" s="209">
        <v>5</v>
      </c>
      <c r="J538" s="209">
        <v>2</v>
      </c>
      <c r="K538" s="209">
        <v>7156.33</v>
      </c>
    </row>
    <row r="539" spans="1:11">
      <c r="A539" s="208">
        <v>42646</v>
      </c>
      <c r="B539" s="209" t="s">
        <v>529</v>
      </c>
      <c r="C539" s="209">
        <v>13</v>
      </c>
      <c r="D539" s="272" t="s">
        <v>487</v>
      </c>
      <c r="E539" s="209">
        <v>2</v>
      </c>
      <c r="F539" s="209">
        <v>3</v>
      </c>
      <c r="G539" s="209">
        <v>0</v>
      </c>
      <c r="H539" s="209">
        <v>0</v>
      </c>
      <c r="I539" s="209">
        <v>3</v>
      </c>
      <c r="J539" s="209">
        <v>0</v>
      </c>
      <c r="K539" s="209">
        <v>6652.3</v>
      </c>
    </row>
    <row r="540" spans="1:11">
      <c r="A540" s="208">
        <v>42646</v>
      </c>
      <c r="B540" s="209" t="s">
        <v>529</v>
      </c>
      <c r="C540" s="209">
        <v>14</v>
      </c>
      <c r="D540" s="272" t="s">
        <v>505</v>
      </c>
      <c r="E540" s="209">
        <v>0</v>
      </c>
      <c r="F540" s="209">
        <v>0</v>
      </c>
      <c r="G540" s="209">
        <v>0</v>
      </c>
      <c r="H540" s="209">
        <v>0</v>
      </c>
      <c r="I540" s="209">
        <v>0</v>
      </c>
      <c r="J540" s="209">
        <v>0</v>
      </c>
      <c r="K540" s="209">
        <v>6414.67</v>
      </c>
    </row>
    <row r="541" spans="1:11">
      <c r="A541" s="208">
        <v>42646</v>
      </c>
      <c r="B541" s="209" t="s">
        <v>529</v>
      </c>
      <c r="C541" s="209">
        <v>15</v>
      </c>
      <c r="D541" s="272" t="s">
        <v>490</v>
      </c>
      <c r="E541" s="209">
        <v>1</v>
      </c>
      <c r="F541" s="209">
        <v>13</v>
      </c>
      <c r="G541" s="209">
        <v>0</v>
      </c>
      <c r="H541" s="209">
        <v>6</v>
      </c>
      <c r="I541" s="209">
        <v>13</v>
      </c>
      <c r="J541" s="209">
        <v>6</v>
      </c>
      <c r="K541" s="209">
        <v>5466</v>
      </c>
    </row>
    <row r="542" spans="1:11">
      <c r="A542" s="208">
        <v>42646</v>
      </c>
      <c r="B542" s="209" t="s">
        <v>529</v>
      </c>
      <c r="C542" s="209">
        <v>16</v>
      </c>
      <c r="D542" s="272" t="s">
        <v>484</v>
      </c>
      <c r="E542" s="209">
        <v>4</v>
      </c>
      <c r="F542" s="209">
        <v>7</v>
      </c>
      <c r="G542" s="209">
        <v>1</v>
      </c>
      <c r="H542" s="209">
        <v>1</v>
      </c>
      <c r="I542" s="209">
        <v>7</v>
      </c>
      <c r="J542" s="209">
        <v>1</v>
      </c>
      <c r="K542" s="209">
        <v>5291</v>
      </c>
    </row>
    <row r="543" spans="1:11">
      <c r="A543" s="208">
        <v>42646</v>
      </c>
      <c r="B543" s="209" t="s">
        <v>529</v>
      </c>
      <c r="C543" s="209">
        <v>17</v>
      </c>
      <c r="D543" s="272" t="s">
        <v>479</v>
      </c>
      <c r="E543" s="209">
        <v>0</v>
      </c>
      <c r="F543" s="209">
        <v>0</v>
      </c>
      <c r="G543" s="209">
        <v>0</v>
      </c>
      <c r="H543" s="209">
        <v>0</v>
      </c>
      <c r="I543" s="209">
        <v>0</v>
      </c>
      <c r="J543" s="209">
        <v>0</v>
      </c>
      <c r="K543" s="209">
        <v>2582</v>
      </c>
    </row>
    <row r="544" spans="1:11">
      <c r="A544" s="208">
        <v>42646</v>
      </c>
      <c r="B544" s="209" t="s">
        <v>529</v>
      </c>
      <c r="C544" s="209">
        <v>18</v>
      </c>
      <c r="D544" s="272" t="s">
        <v>508</v>
      </c>
      <c r="E544" s="209">
        <v>0</v>
      </c>
      <c r="F544" s="209">
        <v>0</v>
      </c>
      <c r="G544" s="209">
        <v>0</v>
      </c>
      <c r="H544" s="209">
        <v>0</v>
      </c>
      <c r="I544" s="209">
        <v>0</v>
      </c>
      <c r="J544" s="209">
        <v>0</v>
      </c>
      <c r="K544" s="209">
        <v>1002.01</v>
      </c>
    </row>
    <row r="545" spans="1:11">
      <c r="A545" s="208">
        <v>42646</v>
      </c>
      <c r="B545" s="209" t="s">
        <v>529</v>
      </c>
      <c r="C545" s="209">
        <v>19</v>
      </c>
      <c r="D545" s="272" t="s">
        <v>510</v>
      </c>
      <c r="E545" s="209">
        <v>0</v>
      </c>
      <c r="F545" s="209">
        <v>0</v>
      </c>
      <c r="G545" s="209">
        <v>0</v>
      </c>
      <c r="H545" s="209">
        <v>0</v>
      </c>
      <c r="I545" s="209">
        <v>0</v>
      </c>
      <c r="J545" s="209">
        <v>0</v>
      </c>
      <c r="K545" s="209">
        <v>922</v>
      </c>
    </row>
    <row r="546" spans="1:11">
      <c r="A546" s="208">
        <v>42646</v>
      </c>
      <c r="B546" s="209" t="s">
        <v>529</v>
      </c>
      <c r="C546" s="209">
        <v>20</v>
      </c>
      <c r="D546" s="272" t="s">
        <v>460</v>
      </c>
      <c r="E546" s="209">
        <v>0</v>
      </c>
      <c r="F546" s="209">
        <v>0</v>
      </c>
      <c r="G546" s="209">
        <v>0</v>
      </c>
      <c r="H546" s="209">
        <v>0</v>
      </c>
      <c r="I546" s="209">
        <v>0</v>
      </c>
      <c r="J546" s="209">
        <v>0</v>
      </c>
      <c r="K546" s="209">
        <v>325.02999999999997</v>
      </c>
    </row>
    <row r="547" spans="1:11">
      <c r="A547" s="208">
        <v>42646</v>
      </c>
      <c r="B547" s="209" t="s">
        <v>529</v>
      </c>
      <c r="C547" s="209">
        <v>21</v>
      </c>
      <c r="D547" s="272" t="s">
        <v>465</v>
      </c>
      <c r="E547" s="209">
        <v>0</v>
      </c>
      <c r="F547" s="209">
        <v>0</v>
      </c>
      <c r="G547" s="209">
        <v>0</v>
      </c>
      <c r="H547" s="209">
        <v>0</v>
      </c>
      <c r="I547" s="209">
        <v>0</v>
      </c>
      <c r="J547" s="209">
        <v>0</v>
      </c>
      <c r="K547" s="209">
        <v>78</v>
      </c>
    </row>
    <row r="548" spans="1:11">
      <c r="A548" s="208">
        <v>42646</v>
      </c>
      <c r="B548" s="209" t="s">
        <v>529</v>
      </c>
      <c r="C548" s="209">
        <v>22</v>
      </c>
      <c r="D548" s="272" t="s">
        <v>480</v>
      </c>
      <c r="E548" s="209">
        <v>0</v>
      </c>
      <c r="F548" s="209">
        <v>0</v>
      </c>
      <c r="G548" s="209">
        <v>0</v>
      </c>
      <c r="H548" s="209">
        <v>0</v>
      </c>
      <c r="I548" s="209">
        <v>0</v>
      </c>
      <c r="J548" s="209">
        <v>0</v>
      </c>
      <c r="K548" s="209">
        <v>20</v>
      </c>
    </row>
    <row r="549" spans="1:11">
      <c r="A549" s="208">
        <v>42646</v>
      </c>
      <c r="B549" s="209" t="s">
        <v>529</v>
      </c>
      <c r="C549" s="209">
        <v>23</v>
      </c>
      <c r="D549" s="272" t="s">
        <v>467</v>
      </c>
      <c r="E549" s="209">
        <v>0</v>
      </c>
      <c r="F549" s="209">
        <v>0</v>
      </c>
      <c r="G549" s="209">
        <v>0</v>
      </c>
      <c r="H549" s="209">
        <v>0</v>
      </c>
      <c r="I549" s="209">
        <v>0</v>
      </c>
      <c r="J549" s="209">
        <v>0</v>
      </c>
      <c r="K549" s="209">
        <v>0.31</v>
      </c>
    </row>
    <row r="550" spans="1:11">
      <c r="A550" s="208">
        <v>42646</v>
      </c>
      <c r="B550" s="209" t="s">
        <v>529</v>
      </c>
      <c r="C550" s="209">
        <v>24</v>
      </c>
      <c r="D550" s="272" t="s">
        <v>549</v>
      </c>
      <c r="E550" s="209">
        <v>0</v>
      </c>
      <c r="F550" s="209">
        <v>0</v>
      </c>
      <c r="G550" s="209" t="s">
        <v>242</v>
      </c>
      <c r="H550" s="209" t="s">
        <v>242</v>
      </c>
      <c r="I550" s="209">
        <v>0</v>
      </c>
      <c r="J550" s="209" t="s">
        <v>242</v>
      </c>
      <c r="K550" s="209">
        <v>0</v>
      </c>
    </row>
    <row r="551" spans="1:11">
      <c r="A551" s="208">
        <v>42647</v>
      </c>
      <c r="B551" s="209" t="s">
        <v>529</v>
      </c>
      <c r="C551" s="209">
        <v>1</v>
      </c>
      <c r="D551" s="272" t="s">
        <v>489</v>
      </c>
      <c r="E551" s="209">
        <v>7</v>
      </c>
      <c r="F551" s="209">
        <v>24</v>
      </c>
      <c r="G551" s="209">
        <v>3</v>
      </c>
      <c r="H551" s="209">
        <v>12</v>
      </c>
      <c r="I551" s="209">
        <v>3.49</v>
      </c>
      <c r="J551" s="209">
        <v>1.74</v>
      </c>
      <c r="K551" s="209">
        <v>68808.600000000006</v>
      </c>
    </row>
    <row r="552" spans="1:11">
      <c r="A552" s="208">
        <v>42647</v>
      </c>
      <c r="B552" s="209" t="s">
        <v>529</v>
      </c>
      <c r="C552" s="209">
        <v>2</v>
      </c>
      <c r="D552" s="272" t="s">
        <v>470</v>
      </c>
      <c r="E552" s="209">
        <v>8</v>
      </c>
      <c r="F552" s="209">
        <v>22</v>
      </c>
      <c r="G552" s="209">
        <v>2</v>
      </c>
      <c r="H552" s="209">
        <v>7</v>
      </c>
      <c r="I552" s="209">
        <v>8.99</v>
      </c>
      <c r="J552" s="209">
        <v>2.86</v>
      </c>
      <c r="K552" s="209">
        <v>24481</v>
      </c>
    </row>
    <row r="553" spans="1:11">
      <c r="A553" s="208">
        <v>42647</v>
      </c>
      <c r="B553" s="209" t="s">
        <v>529</v>
      </c>
      <c r="C553" s="209">
        <v>3</v>
      </c>
      <c r="D553" s="272" t="s">
        <v>461</v>
      </c>
      <c r="E553" s="209">
        <v>0</v>
      </c>
      <c r="F553" s="209">
        <v>0</v>
      </c>
      <c r="G553" s="209">
        <v>0</v>
      </c>
      <c r="H553" s="209">
        <v>0</v>
      </c>
      <c r="I553" s="209">
        <v>0</v>
      </c>
      <c r="J553" s="209">
        <v>0</v>
      </c>
      <c r="K553" s="209">
        <v>23993.52</v>
      </c>
    </row>
    <row r="554" spans="1:11">
      <c r="A554" s="208">
        <v>42647</v>
      </c>
      <c r="B554" s="209" t="s">
        <v>529</v>
      </c>
      <c r="C554" s="209">
        <v>4</v>
      </c>
      <c r="D554" s="272" t="s">
        <v>462</v>
      </c>
      <c r="E554" s="209">
        <v>0</v>
      </c>
      <c r="F554" s="209">
        <v>0</v>
      </c>
      <c r="G554" s="209">
        <v>0</v>
      </c>
      <c r="H554" s="209">
        <v>0</v>
      </c>
      <c r="I554" s="209">
        <v>0</v>
      </c>
      <c r="J554" s="209">
        <v>0</v>
      </c>
      <c r="K554" s="209">
        <v>20152.009999999998</v>
      </c>
    </row>
    <row r="555" spans="1:11">
      <c r="A555" s="208">
        <v>42647</v>
      </c>
      <c r="B555" s="209" t="s">
        <v>529</v>
      </c>
      <c r="C555" s="209">
        <v>5</v>
      </c>
      <c r="D555" s="272" t="s">
        <v>463</v>
      </c>
      <c r="E555" s="209">
        <v>0</v>
      </c>
      <c r="F555" s="209">
        <v>1</v>
      </c>
      <c r="G555" s="209">
        <v>0</v>
      </c>
      <c r="H555" s="209">
        <v>0</v>
      </c>
      <c r="I555" s="209">
        <v>0.59</v>
      </c>
      <c r="J555" s="209">
        <v>0</v>
      </c>
      <c r="K555" s="209">
        <v>17089.259999999998</v>
      </c>
    </row>
    <row r="556" spans="1:11">
      <c r="A556" s="208">
        <v>42647</v>
      </c>
      <c r="B556" s="209" t="s">
        <v>529</v>
      </c>
      <c r="C556" s="209">
        <v>6</v>
      </c>
      <c r="D556" s="272" t="s">
        <v>469</v>
      </c>
      <c r="E556" s="209">
        <v>0</v>
      </c>
      <c r="F556" s="209">
        <v>0</v>
      </c>
      <c r="G556" s="209">
        <v>0</v>
      </c>
      <c r="H556" s="209">
        <v>0</v>
      </c>
      <c r="I556" s="209">
        <v>0</v>
      </c>
      <c r="J556" s="209">
        <v>0</v>
      </c>
      <c r="K556" s="209">
        <v>12788.1</v>
      </c>
    </row>
    <row r="557" spans="1:11">
      <c r="A557" s="208">
        <v>42647</v>
      </c>
      <c r="B557" s="209" t="s">
        <v>529</v>
      </c>
      <c r="C557" s="209">
        <v>7</v>
      </c>
      <c r="D557" s="272" t="s">
        <v>504</v>
      </c>
      <c r="E557" s="209">
        <v>1</v>
      </c>
      <c r="F557" s="209">
        <v>5</v>
      </c>
      <c r="G557" s="209">
        <v>0</v>
      </c>
      <c r="H557" s="209">
        <v>2</v>
      </c>
      <c r="I557" s="209">
        <v>3.99</v>
      </c>
      <c r="J557" s="209">
        <v>1.6</v>
      </c>
      <c r="K557" s="209">
        <v>12528.89</v>
      </c>
    </row>
    <row r="558" spans="1:11">
      <c r="A558" s="208">
        <v>42647</v>
      </c>
      <c r="B558" s="209" t="s">
        <v>529</v>
      </c>
      <c r="C558" s="209">
        <v>8</v>
      </c>
      <c r="D558" s="272" t="s">
        <v>507</v>
      </c>
      <c r="E558" s="209">
        <v>1</v>
      </c>
      <c r="F558" s="209">
        <v>2</v>
      </c>
      <c r="G558" s="209">
        <v>0</v>
      </c>
      <c r="H558" s="209">
        <v>1</v>
      </c>
      <c r="I558" s="209">
        <v>1.66</v>
      </c>
      <c r="J558" s="209">
        <v>0.83</v>
      </c>
      <c r="K558" s="209">
        <v>12018</v>
      </c>
    </row>
    <row r="559" spans="1:11">
      <c r="A559" s="208">
        <v>42647</v>
      </c>
      <c r="B559" s="209" t="s">
        <v>529</v>
      </c>
      <c r="C559" s="209">
        <v>9</v>
      </c>
      <c r="D559" s="272" t="s">
        <v>468</v>
      </c>
      <c r="E559" s="209">
        <v>0</v>
      </c>
      <c r="F559" s="209">
        <v>0</v>
      </c>
      <c r="G559" s="209">
        <v>0</v>
      </c>
      <c r="H559" s="209">
        <v>0</v>
      </c>
      <c r="I559" s="209">
        <v>0</v>
      </c>
      <c r="J559" s="209">
        <v>0</v>
      </c>
      <c r="K559" s="209">
        <v>10959.1</v>
      </c>
    </row>
    <row r="560" spans="1:11">
      <c r="A560" s="208">
        <v>42647</v>
      </c>
      <c r="B560" s="209" t="s">
        <v>529</v>
      </c>
      <c r="C560" s="209">
        <v>10</v>
      </c>
      <c r="D560" s="272" t="s">
        <v>505</v>
      </c>
      <c r="E560" s="209">
        <v>0</v>
      </c>
      <c r="F560" s="209">
        <v>0</v>
      </c>
      <c r="G560" s="209">
        <v>0</v>
      </c>
      <c r="H560" s="209">
        <v>0</v>
      </c>
      <c r="I560" s="209">
        <v>0</v>
      </c>
      <c r="J560" s="209">
        <v>0</v>
      </c>
      <c r="K560" s="209">
        <v>9510.6299999999992</v>
      </c>
    </row>
    <row r="561" spans="1:11">
      <c r="A561" s="208">
        <v>42647</v>
      </c>
      <c r="B561" s="209" t="s">
        <v>529</v>
      </c>
      <c r="C561" s="209">
        <v>11</v>
      </c>
      <c r="D561" s="272" t="s">
        <v>471</v>
      </c>
      <c r="E561" s="209">
        <v>1</v>
      </c>
      <c r="F561" s="209">
        <v>3</v>
      </c>
      <c r="G561" s="209">
        <v>0</v>
      </c>
      <c r="H561" s="209">
        <v>0</v>
      </c>
      <c r="I561" s="209">
        <v>3</v>
      </c>
      <c r="J561" s="209">
        <v>0</v>
      </c>
      <c r="K561" s="209">
        <v>8959.11</v>
      </c>
    </row>
    <row r="562" spans="1:11">
      <c r="A562" s="208">
        <v>42647</v>
      </c>
      <c r="B562" s="209" t="s">
        <v>529</v>
      </c>
      <c r="C562" s="209">
        <v>12</v>
      </c>
      <c r="D562" s="272" t="s">
        <v>464</v>
      </c>
      <c r="E562" s="209">
        <v>4</v>
      </c>
      <c r="F562" s="209">
        <v>24</v>
      </c>
      <c r="G562" s="209">
        <v>1</v>
      </c>
      <c r="H562" s="209">
        <v>12</v>
      </c>
      <c r="I562" s="209">
        <v>24</v>
      </c>
      <c r="J562" s="209">
        <v>12</v>
      </c>
      <c r="K562" s="209">
        <v>8890.2199999999993</v>
      </c>
    </row>
    <row r="563" spans="1:11">
      <c r="A563" s="208">
        <v>42647</v>
      </c>
      <c r="B563" s="209" t="s">
        <v>529</v>
      </c>
      <c r="C563" s="209">
        <v>13</v>
      </c>
      <c r="D563" s="272" t="s">
        <v>466</v>
      </c>
      <c r="E563" s="209">
        <v>0</v>
      </c>
      <c r="F563" s="209">
        <v>5</v>
      </c>
      <c r="G563" s="209">
        <v>0</v>
      </c>
      <c r="H563" s="209">
        <v>2</v>
      </c>
      <c r="I563" s="209">
        <v>5</v>
      </c>
      <c r="J563" s="209">
        <v>2</v>
      </c>
      <c r="K563" s="209">
        <v>8463.49</v>
      </c>
    </row>
    <row r="564" spans="1:11">
      <c r="A564" s="208">
        <v>42647</v>
      </c>
      <c r="B564" s="209" t="s">
        <v>529</v>
      </c>
      <c r="C564" s="209">
        <v>14</v>
      </c>
      <c r="D564" s="272" t="s">
        <v>487</v>
      </c>
      <c r="E564" s="209">
        <v>2</v>
      </c>
      <c r="F564" s="209">
        <v>6</v>
      </c>
      <c r="G564" s="209">
        <v>0</v>
      </c>
      <c r="H564" s="209">
        <v>0</v>
      </c>
      <c r="I564" s="209">
        <v>6</v>
      </c>
      <c r="J564" s="209">
        <v>0</v>
      </c>
      <c r="K564" s="209">
        <v>6932.3</v>
      </c>
    </row>
    <row r="565" spans="1:11">
      <c r="A565" s="208">
        <v>42647</v>
      </c>
      <c r="B565" s="209" t="s">
        <v>529</v>
      </c>
      <c r="C565" s="209">
        <v>15</v>
      </c>
      <c r="D565" s="272" t="s">
        <v>484</v>
      </c>
      <c r="E565" s="209">
        <v>1</v>
      </c>
      <c r="F565" s="209">
        <v>8</v>
      </c>
      <c r="G565" s="209">
        <v>0</v>
      </c>
      <c r="H565" s="209">
        <v>1</v>
      </c>
      <c r="I565" s="209">
        <v>8</v>
      </c>
      <c r="J565" s="209">
        <v>1</v>
      </c>
      <c r="K565" s="209">
        <v>5995</v>
      </c>
    </row>
    <row r="566" spans="1:11">
      <c r="A566" s="208">
        <v>42647</v>
      </c>
      <c r="B566" s="209" t="s">
        <v>529</v>
      </c>
      <c r="C566" s="209">
        <v>16</v>
      </c>
      <c r="D566" s="272" t="s">
        <v>490</v>
      </c>
      <c r="E566" s="209">
        <v>0</v>
      </c>
      <c r="F566" s="209">
        <v>13</v>
      </c>
      <c r="G566" s="209">
        <v>0</v>
      </c>
      <c r="H566" s="209">
        <v>6</v>
      </c>
      <c r="I566" s="209">
        <v>13</v>
      </c>
      <c r="J566" s="209">
        <v>6</v>
      </c>
      <c r="K566" s="209">
        <v>5486</v>
      </c>
    </row>
    <row r="567" spans="1:11">
      <c r="A567" s="208">
        <v>42647</v>
      </c>
      <c r="B567" s="209" t="s">
        <v>529</v>
      </c>
      <c r="C567" s="209">
        <v>17</v>
      </c>
      <c r="D567" s="272" t="s">
        <v>479</v>
      </c>
      <c r="E567" s="209">
        <v>0</v>
      </c>
      <c r="F567" s="209">
        <v>0</v>
      </c>
      <c r="G567" s="209">
        <v>0</v>
      </c>
      <c r="H567" s="209">
        <v>0</v>
      </c>
      <c r="I567" s="209">
        <v>0</v>
      </c>
      <c r="J567" s="209">
        <v>0</v>
      </c>
      <c r="K567" s="209">
        <v>2852</v>
      </c>
    </row>
    <row r="568" spans="1:11">
      <c r="A568" s="208">
        <v>42647</v>
      </c>
      <c r="B568" s="209" t="s">
        <v>529</v>
      </c>
      <c r="C568" s="209">
        <v>18</v>
      </c>
      <c r="D568" s="272" t="s">
        <v>508</v>
      </c>
      <c r="E568" s="209">
        <v>0</v>
      </c>
      <c r="F568" s="209">
        <v>0</v>
      </c>
      <c r="G568" s="209">
        <v>0</v>
      </c>
      <c r="H568" s="209">
        <v>0</v>
      </c>
      <c r="I568" s="209">
        <v>0</v>
      </c>
      <c r="J568" s="209">
        <v>0</v>
      </c>
      <c r="K568" s="209">
        <v>1536.44</v>
      </c>
    </row>
    <row r="569" spans="1:11">
      <c r="A569" s="208">
        <v>42647</v>
      </c>
      <c r="B569" s="209" t="s">
        <v>529</v>
      </c>
      <c r="C569" s="209">
        <v>19</v>
      </c>
      <c r="D569" s="272" t="s">
        <v>510</v>
      </c>
      <c r="E569" s="209">
        <v>0</v>
      </c>
      <c r="F569" s="209">
        <v>0</v>
      </c>
      <c r="G569" s="209">
        <v>0</v>
      </c>
      <c r="H569" s="209">
        <v>0</v>
      </c>
      <c r="I569" s="209">
        <v>0</v>
      </c>
      <c r="J569" s="209">
        <v>0</v>
      </c>
      <c r="K569" s="209">
        <v>1092</v>
      </c>
    </row>
    <row r="570" spans="1:11">
      <c r="A570" s="208">
        <v>42647</v>
      </c>
      <c r="B570" s="209" t="s">
        <v>529</v>
      </c>
      <c r="C570" s="209">
        <v>20</v>
      </c>
      <c r="D570" s="272" t="s">
        <v>465</v>
      </c>
      <c r="E570" s="209">
        <v>0</v>
      </c>
      <c r="F570" s="209">
        <v>0</v>
      </c>
      <c r="G570" s="209">
        <v>0</v>
      </c>
      <c r="H570" s="209">
        <v>0</v>
      </c>
      <c r="I570" s="209">
        <v>0</v>
      </c>
      <c r="J570" s="209">
        <v>0</v>
      </c>
      <c r="K570" s="209">
        <v>409.16</v>
      </c>
    </row>
    <row r="571" spans="1:11">
      <c r="A571" s="208">
        <v>42647</v>
      </c>
      <c r="B571" s="209" t="s">
        <v>529</v>
      </c>
      <c r="C571" s="209">
        <v>21</v>
      </c>
      <c r="D571" s="272" t="s">
        <v>460</v>
      </c>
      <c r="E571" s="209">
        <v>1</v>
      </c>
      <c r="F571" s="209">
        <v>1</v>
      </c>
      <c r="G571" s="209">
        <v>0</v>
      </c>
      <c r="H571" s="209">
        <v>0</v>
      </c>
      <c r="I571" s="209">
        <v>1</v>
      </c>
      <c r="J571" s="209">
        <v>0</v>
      </c>
      <c r="K571" s="209">
        <v>355.4</v>
      </c>
    </row>
    <row r="572" spans="1:11">
      <c r="A572" s="208">
        <v>42647</v>
      </c>
      <c r="B572" s="209" t="s">
        <v>529</v>
      </c>
      <c r="C572" s="209">
        <v>22</v>
      </c>
      <c r="D572" s="272" t="s">
        <v>480</v>
      </c>
      <c r="E572" s="209">
        <v>0</v>
      </c>
      <c r="F572" s="209">
        <v>0</v>
      </c>
      <c r="G572" s="209">
        <v>0</v>
      </c>
      <c r="H572" s="209">
        <v>0</v>
      </c>
      <c r="I572" s="209">
        <v>0</v>
      </c>
      <c r="J572" s="209">
        <v>0</v>
      </c>
      <c r="K572" s="209">
        <v>20</v>
      </c>
    </row>
    <row r="573" spans="1:11">
      <c r="A573" s="208">
        <v>42647</v>
      </c>
      <c r="B573" s="209" t="s">
        <v>529</v>
      </c>
      <c r="C573" s="209">
        <v>23</v>
      </c>
      <c r="D573" s="272" t="s">
        <v>467</v>
      </c>
      <c r="E573" s="209">
        <v>0</v>
      </c>
      <c r="F573" s="209">
        <v>0</v>
      </c>
      <c r="G573" s="209">
        <v>0</v>
      </c>
      <c r="H573" s="209">
        <v>0</v>
      </c>
      <c r="I573" s="209">
        <v>0</v>
      </c>
      <c r="J573" s="209">
        <v>0</v>
      </c>
      <c r="K573" s="209">
        <v>1.19</v>
      </c>
    </row>
    <row r="574" spans="1:11">
      <c r="A574" s="208">
        <v>42647</v>
      </c>
      <c r="B574" s="209" t="s">
        <v>529</v>
      </c>
      <c r="C574" s="209">
        <v>24</v>
      </c>
      <c r="D574" s="272" t="s">
        <v>549</v>
      </c>
      <c r="E574" s="209">
        <v>0</v>
      </c>
      <c r="F574" s="209">
        <v>0</v>
      </c>
      <c r="G574" s="209" t="s">
        <v>242</v>
      </c>
      <c r="H574" s="209" t="s">
        <v>242</v>
      </c>
      <c r="I574" s="209">
        <v>0</v>
      </c>
      <c r="J574" s="209" t="s">
        <v>242</v>
      </c>
      <c r="K574" s="209">
        <v>0</v>
      </c>
    </row>
    <row r="575" spans="1:11">
      <c r="A575" s="208">
        <v>42648</v>
      </c>
      <c r="B575" s="209" t="s">
        <v>529</v>
      </c>
      <c r="C575" s="209">
        <v>1</v>
      </c>
      <c r="D575" s="272" t="s">
        <v>489</v>
      </c>
      <c r="E575" s="209">
        <v>21</v>
      </c>
      <c r="F575" s="209">
        <v>46</v>
      </c>
      <c r="G575" s="209">
        <v>6</v>
      </c>
      <c r="H575" s="209">
        <v>18</v>
      </c>
      <c r="I575" s="209">
        <v>5.47</v>
      </c>
      <c r="J575" s="209">
        <v>2.14</v>
      </c>
      <c r="K575" s="209">
        <v>84096.6</v>
      </c>
    </row>
    <row r="576" spans="1:11">
      <c r="A576" s="208">
        <v>42648</v>
      </c>
      <c r="B576" s="209" t="s">
        <v>529</v>
      </c>
      <c r="C576" s="209">
        <v>2</v>
      </c>
      <c r="D576" s="272" t="s">
        <v>461</v>
      </c>
      <c r="E576" s="209">
        <v>0</v>
      </c>
      <c r="F576" s="209">
        <v>0</v>
      </c>
      <c r="G576" s="209">
        <v>0</v>
      </c>
      <c r="H576" s="209">
        <v>0</v>
      </c>
      <c r="I576" s="209">
        <v>0</v>
      </c>
      <c r="J576" s="209">
        <v>0</v>
      </c>
      <c r="K576" s="209">
        <v>30686.26</v>
      </c>
    </row>
    <row r="577" spans="1:11">
      <c r="A577" s="208">
        <v>42648</v>
      </c>
      <c r="B577" s="209" t="s">
        <v>529</v>
      </c>
      <c r="C577" s="209">
        <v>3</v>
      </c>
      <c r="D577" s="272" t="s">
        <v>470</v>
      </c>
      <c r="E577" s="209">
        <v>10</v>
      </c>
      <c r="F577" s="209">
        <v>33</v>
      </c>
      <c r="G577" s="209">
        <v>3</v>
      </c>
      <c r="H577" s="209">
        <v>11</v>
      </c>
      <c r="I577" s="209">
        <v>10.89</v>
      </c>
      <c r="J577" s="209">
        <v>3.63</v>
      </c>
      <c r="K577" s="209">
        <v>30310</v>
      </c>
    </row>
    <row r="578" spans="1:11">
      <c r="A578" s="208">
        <v>42648</v>
      </c>
      <c r="B578" s="209" t="s">
        <v>529</v>
      </c>
      <c r="C578" s="209">
        <v>4</v>
      </c>
      <c r="D578" s="272" t="s">
        <v>462</v>
      </c>
      <c r="E578" s="209">
        <v>0</v>
      </c>
      <c r="F578" s="209">
        <v>0</v>
      </c>
      <c r="G578" s="209">
        <v>0</v>
      </c>
      <c r="H578" s="209">
        <v>0</v>
      </c>
      <c r="I578" s="209">
        <v>0</v>
      </c>
      <c r="J578" s="209">
        <v>0</v>
      </c>
      <c r="K578" s="209">
        <v>23361.01</v>
      </c>
    </row>
    <row r="579" spans="1:11">
      <c r="A579" s="208">
        <v>42648</v>
      </c>
      <c r="B579" s="209" t="s">
        <v>529</v>
      </c>
      <c r="C579" s="209">
        <v>5</v>
      </c>
      <c r="D579" s="272" t="s">
        <v>463</v>
      </c>
      <c r="E579" s="209">
        <v>0</v>
      </c>
      <c r="F579" s="209">
        <v>1</v>
      </c>
      <c r="G579" s="209">
        <v>0</v>
      </c>
      <c r="H579" s="209">
        <v>0</v>
      </c>
      <c r="I579" s="209">
        <v>0.43</v>
      </c>
      <c r="J579" s="209">
        <v>0</v>
      </c>
      <c r="K579" s="209">
        <v>23213</v>
      </c>
    </row>
    <row r="580" spans="1:11">
      <c r="A580" s="208">
        <v>42648</v>
      </c>
      <c r="B580" s="209" t="s">
        <v>529</v>
      </c>
      <c r="C580" s="209">
        <v>6</v>
      </c>
      <c r="D580" s="272" t="s">
        <v>469</v>
      </c>
      <c r="E580" s="209">
        <v>0</v>
      </c>
      <c r="F580" s="209">
        <v>0</v>
      </c>
      <c r="G580" s="209">
        <v>0</v>
      </c>
      <c r="H580" s="209">
        <v>0</v>
      </c>
      <c r="I580" s="209">
        <v>0</v>
      </c>
      <c r="J580" s="209">
        <v>0</v>
      </c>
      <c r="K580" s="209">
        <v>17320.099999999999</v>
      </c>
    </row>
    <row r="581" spans="1:11">
      <c r="A581" s="208">
        <v>42648</v>
      </c>
      <c r="B581" s="209" t="s">
        <v>529</v>
      </c>
      <c r="C581" s="209">
        <v>7</v>
      </c>
      <c r="D581" s="272" t="s">
        <v>504</v>
      </c>
      <c r="E581" s="209">
        <v>0</v>
      </c>
      <c r="F581" s="209">
        <v>6</v>
      </c>
      <c r="G581" s="209">
        <v>0</v>
      </c>
      <c r="H581" s="209">
        <v>2</v>
      </c>
      <c r="I581" s="209">
        <v>3.7</v>
      </c>
      <c r="J581" s="209">
        <v>1.23</v>
      </c>
      <c r="K581" s="209">
        <v>16218.64</v>
      </c>
    </row>
    <row r="582" spans="1:11">
      <c r="A582" s="208">
        <v>42648</v>
      </c>
      <c r="B582" s="209" t="s">
        <v>529</v>
      </c>
      <c r="C582" s="209">
        <v>8</v>
      </c>
      <c r="D582" s="272" t="s">
        <v>507</v>
      </c>
      <c r="E582" s="209">
        <v>0</v>
      </c>
      <c r="F582" s="209">
        <v>3</v>
      </c>
      <c r="G582" s="209">
        <v>0</v>
      </c>
      <c r="H582" s="209">
        <v>1</v>
      </c>
      <c r="I582" s="209">
        <v>2.11</v>
      </c>
      <c r="J582" s="209">
        <v>0.7</v>
      </c>
      <c r="K582" s="209">
        <v>14202</v>
      </c>
    </row>
    <row r="583" spans="1:11">
      <c r="A583" s="208">
        <v>42648</v>
      </c>
      <c r="B583" s="209" t="s">
        <v>529</v>
      </c>
      <c r="C583" s="209">
        <v>9</v>
      </c>
      <c r="D583" s="272" t="s">
        <v>468</v>
      </c>
      <c r="E583" s="209">
        <v>0</v>
      </c>
      <c r="F583" s="209">
        <v>0</v>
      </c>
      <c r="G583" s="209">
        <v>0</v>
      </c>
      <c r="H583" s="209">
        <v>0</v>
      </c>
      <c r="I583" s="209">
        <v>0</v>
      </c>
      <c r="J583" s="209">
        <v>0</v>
      </c>
      <c r="K583" s="209">
        <v>12630.2</v>
      </c>
    </row>
    <row r="584" spans="1:11">
      <c r="A584" s="208">
        <v>42648</v>
      </c>
      <c r="B584" s="209" t="s">
        <v>529</v>
      </c>
      <c r="C584" s="209">
        <v>10</v>
      </c>
      <c r="D584" s="272" t="s">
        <v>505</v>
      </c>
      <c r="E584" s="209">
        <v>1</v>
      </c>
      <c r="F584" s="209">
        <v>1</v>
      </c>
      <c r="G584" s="209">
        <v>0</v>
      </c>
      <c r="H584" s="209">
        <v>0</v>
      </c>
      <c r="I584" s="209">
        <v>0.81</v>
      </c>
      <c r="J584" s="209">
        <v>0</v>
      </c>
      <c r="K584" s="209">
        <v>12405.18</v>
      </c>
    </row>
    <row r="585" spans="1:11">
      <c r="A585" s="208">
        <v>42648</v>
      </c>
      <c r="B585" s="209" t="s">
        <v>529</v>
      </c>
      <c r="C585" s="209">
        <v>11</v>
      </c>
      <c r="D585" s="272" t="s">
        <v>471</v>
      </c>
      <c r="E585" s="209">
        <v>0</v>
      </c>
      <c r="F585" s="209">
        <v>3</v>
      </c>
      <c r="G585" s="209">
        <v>0</v>
      </c>
      <c r="H585" s="209">
        <v>0</v>
      </c>
      <c r="I585" s="209">
        <v>2.7</v>
      </c>
      <c r="J585" s="209">
        <v>0</v>
      </c>
      <c r="K585" s="209">
        <v>11114.22</v>
      </c>
    </row>
    <row r="586" spans="1:11">
      <c r="A586" s="208">
        <v>42648</v>
      </c>
      <c r="B586" s="209" t="s">
        <v>529</v>
      </c>
      <c r="C586" s="209">
        <v>12</v>
      </c>
      <c r="D586" s="272" t="s">
        <v>466</v>
      </c>
      <c r="E586" s="209">
        <v>3</v>
      </c>
      <c r="F586" s="209">
        <v>8</v>
      </c>
      <c r="G586" s="209">
        <v>1</v>
      </c>
      <c r="H586" s="209">
        <v>3</v>
      </c>
      <c r="I586" s="209">
        <v>8</v>
      </c>
      <c r="J586" s="209">
        <v>3</v>
      </c>
      <c r="K586" s="209">
        <v>9791.2000000000007</v>
      </c>
    </row>
    <row r="587" spans="1:11">
      <c r="A587" s="208">
        <v>42648</v>
      </c>
      <c r="B587" s="209" t="s">
        <v>529</v>
      </c>
      <c r="C587" s="209">
        <v>13</v>
      </c>
      <c r="D587" s="272" t="s">
        <v>464</v>
      </c>
      <c r="E587" s="209">
        <v>1</v>
      </c>
      <c r="F587" s="209">
        <v>26</v>
      </c>
      <c r="G587" s="209">
        <v>1</v>
      </c>
      <c r="H587" s="209">
        <v>13</v>
      </c>
      <c r="I587" s="209">
        <v>26</v>
      </c>
      <c r="J587" s="209">
        <v>13</v>
      </c>
      <c r="K587" s="209">
        <v>9116.44</v>
      </c>
    </row>
    <row r="588" spans="1:11">
      <c r="A588" s="208">
        <v>42648</v>
      </c>
      <c r="B588" s="209" t="s">
        <v>529</v>
      </c>
      <c r="C588" s="209">
        <v>14</v>
      </c>
      <c r="D588" s="272" t="s">
        <v>484</v>
      </c>
      <c r="E588" s="209">
        <v>0</v>
      </c>
      <c r="F588" s="209">
        <v>9</v>
      </c>
      <c r="G588" s="209">
        <v>0</v>
      </c>
      <c r="H588" s="209">
        <v>1</v>
      </c>
      <c r="I588" s="209">
        <v>9</v>
      </c>
      <c r="J588" s="209">
        <v>1</v>
      </c>
      <c r="K588" s="209">
        <v>7245</v>
      </c>
    </row>
    <row r="589" spans="1:11">
      <c r="A589" s="208">
        <v>42648</v>
      </c>
      <c r="B589" s="209" t="s">
        <v>529</v>
      </c>
      <c r="C589" s="209">
        <v>15</v>
      </c>
      <c r="D589" s="272" t="s">
        <v>487</v>
      </c>
      <c r="E589" s="209">
        <v>1</v>
      </c>
      <c r="F589" s="209">
        <v>7</v>
      </c>
      <c r="G589" s="209">
        <v>0</v>
      </c>
      <c r="H589" s="209">
        <v>1</v>
      </c>
      <c r="I589" s="209">
        <v>7</v>
      </c>
      <c r="J589" s="209">
        <v>1</v>
      </c>
      <c r="K589" s="209">
        <v>6932.3</v>
      </c>
    </row>
    <row r="590" spans="1:11">
      <c r="A590" s="208">
        <v>42648</v>
      </c>
      <c r="B590" s="209" t="s">
        <v>529</v>
      </c>
      <c r="C590" s="209">
        <v>16</v>
      </c>
      <c r="D590" s="272" t="s">
        <v>490</v>
      </c>
      <c r="E590" s="209">
        <v>0</v>
      </c>
      <c r="F590" s="209">
        <v>13</v>
      </c>
      <c r="G590" s="209">
        <v>0</v>
      </c>
      <c r="H590" s="209">
        <v>6</v>
      </c>
      <c r="I590" s="209">
        <v>13</v>
      </c>
      <c r="J590" s="209">
        <v>6</v>
      </c>
      <c r="K590" s="209">
        <v>5494</v>
      </c>
    </row>
    <row r="591" spans="1:11">
      <c r="A591" s="208">
        <v>42648</v>
      </c>
      <c r="B591" s="209" t="s">
        <v>529</v>
      </c>
      <c r="C591" s="209">
        <v>17</v>
      </c>
      <c r="D591" s="272" t="s">
        <v>479</v>
      </c>
      <c r="E591" s="209">
        <v>0</v>
      </c>
      <c r="F591" s="209">
        <v>0</v>
      </c>
      <c r="G591" s="209">
        <v>0</v>
      </c>
      <c r="H591" s="209">
        <v>0</v>
      </c>
      <c r="I591" s="209">
        <v>0</v>
      </c>
      <c r="J591" s="209">
        <v>0</v>
      </c>
      <c r="K591" s="209">
        <v>3222</v>
      </c>
    </row>
    <row r="592" spans="1:11">
      <c r="A592" s="208">
        <v>42648</v>
      </c>
      <c r="B592" s="209" t="s">
        <v>529</v>
      </c>
      <c r="C592" s="209">
        <v>18</v>
      </c>
      <c r="D592" s="272" t="s">
        <v>508</v>
      </c>
      <c r="E592" s="209">
        <v>0</v>
      </c>
      <c r="F592" s="209">
        <v>0</v>
      </c>
      <c r="G592" s="209">
        <v>0</v>
      </c>
      <c r="H592" s="209">
        <v>0</v>
      </c>
      <c r="I592" s="209">
        <v>0</v>
      </c>
      <c r="J592" s="209">
        <v>0</v>
      </c>
      <c r="K592" s="209">
        <v>2135.38</v>
      </c>
    </row>
    <row r="593" spans="1:11">
      <c r="A593" s="208">
        <v>42648</v>
      </c>
      <c r="B593" s="209" t="s">
        <v>529</v>
      </c>
      <c r="C593" s="209">
        <v>19</v>
      </c>
      <c r="D593" s="272" t="s">
        <v>510</v>
      </c>
      <c r="E593" s="209">
        <v>0</v>
      </c>
      <c r="F593" s="209">
        <v>0</v>
      </c>
      <c r="G593" s="209">
        <v>0</v>
      </c>
      <c r="H593" s="209">
        <v>0</v>
      </c>
      <c r="I593" s="209">
        <v>0</v>
      </c>
      <c r="J593" s="209">
        <v>0</v>
      </c>
      <c r="K593" s="209">
        <v>1352</v>
      </c>
    </row>
    <row r="594" spans="1:11">
      <c r="A594" s="208">
        <v>42648</v>
      </c>
      <c r="B594" s="209" t="s">
        <v>529</v>
      </c>
      <c r="C594" s="209">
        <v>20</v>
      </c>
      <c r="D594" s="272" t="s">
        <v>465</v>
      </c>
      <c r="E594" s="209">
        <v>1</v>
      </c>
      <c r="F594" s="209">
        <v>2</v>
      </c>
      <c r="G594" s="209">
        <v>1</v>
      </c>
      <c r="H594" s="209">
        <v>2</v>
      </c>
      <c r="I594" s="209">
        <v>2</v>
      </c>
      <c r="J594" s="209">
        <v>2</v>
      </c>
      <c r="K594" s="209">
        <v>620.48</v>
      </c>
    </row>
    <row r="595" spans="1:11">
      <c r="A595" s="208">
        <v>42648</v>
      </c>
      <c r="B595" s="209" t="s">
        <v>529</v>
      </c>
      <c r="C595" s="209">
        <v>21</v>
      </c>
      <c r="D595" s="272" t="s">
        <v>460</v>
      </c>
      <c r="E595" s="209">
        <v>0</v>
      </c>
      <c r="F595" s="209">
        <v>1</v>
      </c>
      <c r="G595" s="209">
        <v>0</v>
      </c>
      <c r="H595" s="209">
        <v>0</v>
      </c>
      <c r="I595" s="209">
        <v>1</v>
      </c>
      <c r="J595" s="209">
        <v>0</v>
      </c>
      <c r="K595" s="209">
        <v>355.54</v>
      </c>
    </row>
    <row r="596" spans="1:11">
      <c r="A596" s="208">
        <v>42648</v>
      </c>
      <c r="B596" s="209" t="s">
        <v>529</v>
      </c>
      <c r="C596" s="209">
        <v>22</v>
      </c>
      <c r="D596" s="272" t="s">
        <v>472</v>
      </c>
      <c r="E596" s="209">
        <v>0</v>
      </c>
      <c r="F596" s="209">
        <v>0</v>
      </c>
      <c r="G596" s="209">
        <v>0</v>
      </c>
      <c r="H596" s="209">
        <v>0</v>
      </c>
      <c r="I596" s="209">
        <v>0</v>
      </c>
      <c r="J596" s="209">
        <v>0</v>
      </c>
      <c r="K596" s="209">
        <v>20</v>
      </c>
    </row>
    <row r="597" spans="1:11">
      <c r="A597" s="208">
        <v>42648</v>
      </c>
      <c r="B597" s="209" t="s">
        <v>529</v>
      </c>
      <c r="C597" s="209">
        <v>23</v>
      </c>
      <c r="D597" s="272" t="s">
        <v>480</v>
      </c>
      <c r="E597" s="209">
        <v>0</v>
      </c>
      <c r="F597" s="209">
        <v>0</v>
      </c>
      <c r="G597" s="209">
        <v>0</v>
      </c>
      <c r="H597" s="209">
        <v>0</v>
      </c>
      <c r="I597" s="209">
        <v>0</v>
      </c>
      <c r="J597" s="209">
        <v>0</v>
      </c>
      <c r="K597" s="209">
        <v>20</v>
      </c>
    </row>
    <row r="598" spans="1:11">
      <c r="A598" s="208">
        <v>42648</v>
      </c>
      <c r="B598" s="209" t="s">
        <v>529</v>
      </c>
      <c r="C598" s="209">
        <v>24</v>
      </c>
      <c r="D598" s="272" t="s">
        <v>467</v>
      </c>
      <c r="E598" s="209">
        <v>0</v>
      </c>
      <c r="F598" s="209">
        <v>0</v>
      </c>
      <c r="G598" s="209">
        <v>0</v>
      </c>
      <c r="H598" s="209">
        <v>0</v>
      </c>
      <c r="I598" s="209">
        <v>0</v>
      </c>
      <c r="J598" s="209">
        <v>0</v>
      </c>
      <c r="K598" s="209">
        <v>1.84</v>
      </c>
    </row>
    <row r="599" spans="1:11">
      <c r="A599" s="208">
        <v>42648</v>
      </c>
      <c r="B599" s="209" t="s">
        <v>529</v>
      </c>
      <c r="C599" s="209">
        <v>25</v>
      </c>
      <c r="D599" s="272" t="s">
        <v>549</v>
      </c>
      <c r="E599" s="209">
        <v>0</v>
      </c>
      <c r="F599" s="209">
        <v>0</v>
      </c>
      <c r="G599" s="209" t="s">
        <v>242</v>
      </c>
      <c r="H599" s="209" t="s">
        <v>242</v>
      </c>
      <c r="I599" s="209">
        <v>0</v>
      </c>
      <c r="J599" s="209" t="s">
        <v>242</v>
      </c>
      <c r="K599" s="209">
        <v>0</v>
      </c>
    </row>
    <row r="600" spans="1:11">
      <c r="A600" s="208">
        <v>42649</v>
      </c>
      <c r="B600" s="209" t="s">
        <v>529</v>
      </c>
      <c r="C600" s="209">
        <v>1</v>
      </c>
      <c r="D600" s="272" t="s">
        <v>489</v>
      </c>
      <c r="E600" s="209">
        <v>22</v>
      </c>
      <c r="F600" s="209">
        <v>68</v>
      </c>
      <c r="G600" s="209">
        <v>9</v>
      </c>
      <c r="H600" s="209">
        <v>27</v>
      </c>
      <c r="I600" s="209">
        <v>7.1</v>
      </c>
      <c r="J600" s="209">
        <v>2.82</v>
      </c>
      <c r="K600" s="209">
        <v>95814.6</v>
      </c>
    </row>
    <row r="601" spans="1:11">
      <c r="A601" s="208">
        <v>42649</v>
      </c>
      <c r="B601" s="209" t="s">
        <v>529</v>
      </c>
      <c r="C601" s="209">
        <v>2</v>
      </c>
      <c r="D601" s="272" t="s">
        <v>461</v>
      </c>
      <c r="E601" s="209">
        <v>0</v>
      </c>
      <c r="F601" s="209">
        <v>0</v>
      </c>
      <c r="G601" s="209">
        <v>0</v>
      </c>
      <c r="H601" s="209">
        <v>0</v>
      </c>
      <c r="I601" s="209">
        <v>0</v>
      </c>
      <c r="J601" s="209">
        <v>0</v>
      </c>
      <c r="K601" s="209">
        <v>39513.46</v>
      </c>
    </row>
    <row r="602" spans="1:11">
      <c r="A602" s="208">
        <v>42649</v>
      </c>
      <c r="B602" s="209" t="s">
        <v>529</v>
      </c>
      <c r="C602" s="209">
        <v>3</v>
      </c>
      <c r="D602" s="272" t="s">
        <v>470</v>
      </c>
      <c r="E602" s="209">
        <v>4</v>
      </c>
      <c r="F602" s="209">
        <v>37</v>
      </c>
      <c r="G602" s="209">
        <v>2</v>
      </c>
      <c r="H602" s="209">
        <v>13</v>
      </c>
      <c r="I602" s="209">
        <v>11.71</v>
      </c>
      <c r="J602" s="209">
        <v>4.1100000000000003</v>
      </c>
      <c r="K602" s="209">
        <v>31594</v>
      </c>
    </row>
    <row r="603" spans="1:11">
      <c r="A603" s="208">
        <v>42649</v>
      </c>
      <c r="B603" s="209" t="s">
        <v>529</v>
      </c>
      <c r="C603" s="209">
        <v>4</v>
      </c>
      <c r="D603" s="272" t="s">
        <v>463</v>
      </c>
      <c r="E603" s="209">
        <v>0</v>
      </c>
      <c r="F603" s="209">
        <v>2</v>
      </c>
      <c r="G603" s="209">
        <v>0</v>
      </c>
      <c r="H603" s="209">
        <v>0</v>
      </c>
      <c r="I603" s="209">
        <v>0.65</v>
      </c>
      <c r="J603" s="209">
        <v>0</v>
      </c>
      <c r="K603" s="209">
        <v>30838.41</v>
      </c>
    </row>
    <row r="604" spans="1:11">
      <c r="A604" s="208">
        <v>42649</v>
      </c>
      <c r="B604" s="209" t="s">
        <v>529</v>
      </c>
      <c r="C604" s="209">
        <v>5</v>
      </c>
      <c r="D604" s="272" t="s">
        <v>462</v>
      </c>
      <c r="E604" s="209">
        <v>0</v>
      </c>
      <c r="F604" s="209">
        <v>0</v>
      </c>
      <c r="G604" s="209">
        <v>0</v>
      </c>
      <c r="H604" s="209">
        <v>0</v>
      </c>
      <c r="I604" s="209">
        <v>0</v>
      </c>
      <c r="J604" s="209">
        <v>0</v>
      </c>
      <c r="K604" s="209">
        <v>27187.01</v>
      </c>
    </row>
    <row r="605" spans="1:11">
      <c r="A605" s="208">
        <v>42649</v>
      </c>
      <c r="B605" s="209" t="s">
        <v>529</v>
      </c>
      <c r="C605" s="209">
        <v>6</v>
      </c>
      <c r="D605" s="272" t="s">
        <v>469</v>
      </c>
      <c r="E605" s="209">
        <v>0</v>
      </c>
      <c r="F605" s="209">
        <v>0</v>
      </c>
      <c r="G605" s="209">
        <v>0</v>
      </c>
      <c r="H605" s="209">
        <v>0</v>
      </c>
      <c r="I605" s="209">
        <v>0</v>
      </c>
      <c r="J605" s="209">
        <v>0</v>
      </c>
      <c r="K605" s="209">
        <v>25657.119999999999</v>
      </c>
    </row>
    <row r="606" spans="1:11">
      <c r="A606" s="208">
        <v>42649</v>
      </c>
      <c r="B606" s="209" t="s">
        <v>529</v>
      </c>
      <c r="C606" s="209">
        <v>7</v>
      </c>
      <c r="D606" s="272" t="s">
        <v>504</v>
      </c>
      <c r="E606" s="209">
        <v>4</v>
      </c>
      <c r="F606" s="209">
        <v>10</v>
      </c>
      <c r="G606" s="209">
        <v>0</v>
      </c>
      <c r="H606" s="209">
        <v>2</v>
      </c>
      <c r="I606" s="209">
        <v>4.72</v>
      </c>
      <c r="J606" s="209">
        <v>0.94</v>
      </c>
      <c r="K606" s="209">
        <v>21202.27</v>
      </c>
    </row>
    <row r="607" spans="1:11">
      <c r="A607" s="208">
        <v>42649</v>
      </c>
      <c r="B607" s="209" t="s">
        <v>529</v>
      </c>
      <c r="C607" s="209">
        <v>8</v>
      </c>
      <c r="D607" s="272" t="s">
        <v>505</v>
      </c>
      <c r="E607" s="209">
        <v>0</v>
      </c>
      <c r="F607" s="209">
        <v>1</v>
      </c>
      <c r="G607" s="209">
        <v>0</v>
      </c>
      <c r="H607" s="209">
        <v>0</v>
      </c>
      <c r="I607" s="209">
        <v>0.67</v>
      </c>
      <c r="J607" s="209">
        <v>0</v>
      </c>
      <c r="K607" s="209">
        <v>15025.14</v>
      </c>
    </row>
    <row r="608" spans="1:11">
      <c r="A608" s="208">
        <v>42649</v>
      </c>
      <c r="B608" s="209" t="s">
        <v>529</v>
      </c>
      <c r="C608" s="209">
        <v>9</v>
      </c>
      <c r="D608" s="272" t="s">
        <v>507</v>
      </c>
      <c r="E608" s="209">
        <v>0</v>
      </c>
      <c r="F608" s="209">
        <v>3</v>
      </c>
      <c r="G608" s="209">
        <v>0</v>
      </c>
      <c r="H608" s="209">
        <v>1</v>
      </c>
      <c r="I608" s="209">
        <v>2.0099999999999998</v>
      </c>
      <c r="J608" s="209">
        <v>0.67</v>
      </c>
      <c r="K608" s="209">
        <v>14897</v>
      </c>
    </row>
    <row r="609" spans="1:11">
      <c r="A609" s="208">
        <v>42649</v>
      </c>
      <c r="B609" s="209" t="s">
        <v>529</v>
      </c>
      <c r="C609" s="209">
        <v>10</v>
      </c>
      <c r="D609" s="272" t="s">
        <v>468</v>
      </c>
      <c r="E609" s="209">
        <v>0</v>
      </c>
      <c r="F609" s="209">
        <v>0</v>
      </c>
      <c r="G609" s="209">
        <v>0</v>
      </c>
      <c r="H609" s="209">
        <v>0</v>
      </c>
      <c r="I609" s="209">
        <v>0</v>
      </c>
      <c r="J609" s="209">
        <v>0</v>
      </c>
      <c r="K609" s="209">
        <v>14455.2</v>
      </c>
    </row>
    <row r="610" spans="1:11">
      <c r="A610" s="208">
        <v>42649</v>
      </c>
      <c r="B610" s="209" t="s">
        <v>529</v>
      </c>
      <c r="C610" s="209">
        <v>11</v>
      </c>
      <c r="D610" s="272" t="s">
        <v>471</v>
      </c>
      <c r="E610" s="209">
        <v>0</v>
      </c>
      <c r="F610" s="209">
        <v>3</v>
      </c>
      <c r="G610" s="209">
        <v>0</v>
      </c>
      <c r="H610" s="209">
        <v>0</v>
      </c>
      <c r="I610" s="209">
        <v>2.21</v>
      </c>
      <c r="J610" s="209">
        <v>0</v>
      </c>
      <c r="K610" s="209">
        <v>13582.23</v>
      </c>
    </row>
    <row r="611" spans="1:11">
      <c r="A611" s="208">
        <v>42649</v>
      </c>
      <c r="B611" s="209" t="s">
        <v>529</v>
      </c>
      <c r="C611" s="209">
        <v>12</v>
      </c>
      <c r="D611" s="272" t="s">
        <v>466</v>
      </c>
      <c r="E611" s="209">
        <v>1</v>
      </c>
      <c r="F611" s="209">
        <v>9</v>
      </c>
      <c r="G611" s="209">
        <v>0</v>
      </c>
      <c r="H611" s="209">
        <v>3</v>
      </c>
      <c r="I611" s="209">
        <v>8.34</v>
      </c>
      <c r="J611" s="209">
        <v>2.78</v>
      </c>
      <c r="K611" s="209">
        <v>10795.69</v>
      </c>
    </row>
    <row r="612" spans="1:11">
      <c r="A612" s="208">
        <v>42649</v>
      </c>
      <c r="B612" s="209" t="s">
        <v>529</v>
      </c>
      <c r="C612" s="209">
        <v>13</v>
      </c>
      <c r="D612" s="272" t="s">
        <v>464</v>
      </c>
      <c r="E612" s="209">
        <v>1</v>
      </c>
      <c r="F612" s="209">
        <v>27</v>
      </c>
      <c r="G612" s="209">
        <v>0</v>
      </c>
      <c r="H612" s="209">
        <v>14</v>
      </c>
      <c r="I612" s="209">
        <v>27</v>
      </c>
      <c r="J612" s="209">
        <v>14</v>
      </c>
      <c r="K612" s="209">
        <v>9461.44</v>
      </c>
    </row>
    <row r="613" spans="1:11">
      <c r="A613" s="208">
        <v>42649</v>
      </c>
      <c r="B613" s="209" t="s">
        <v>529</v>
      </c>
      <c r="C613" s="209">
        <v>14</v>
      </c>
      <c r="D613" s="272" t="s">
        <v>484</v>
      </c>
      <c r="E613" s="209">
        <v>3</v>
      </c>
      <c r="F613" s="209">
        <v>12</v>
      </c>
      <c r="G613" s="209">
        <v>2</v>
      </c>
      <c r="H613" s="209">
        <v>3</v>
      </c>
      <c r="I613" s="209">
        <v>12</v>
      </c>
      <c r="J613" s="209">
        <v>3</v>
      </c>
      <c r="K613" s="209">
        <v>8396</v>
      </c>
    </row>
    <row r="614" spans="1:11">
      <c r="A614" s="208">
        <v>42649</v>
      </c>
      <c r="B614" s="209" t="s">
        <v>529</v>
      </c>
      <c r="C614" s="209">
        <v>15</v>
      </c>
      <c r="D614" s="272" t="s">
        <v>487</v>
      </c>
      <c r="E614" s="209">
        <v>0</v>
      </c>
      <c r="F614" s="209">
        <v>7</v>
      </c>
      <c r="G614" s="209">
        <v>0</v>
      </c>
      <c r="H614" s="209">
        <v>1</v>
      </c>
      <c r="I614" s="209">
        <v>7</v>
      </c>
      <c r="J614" s="209">
        <v>1</v>
      </c>
      <c r="K614" s="209">
        <v>6932.3</v>
      </c>
    </row>
    <row r="615" spans="1:11">
      <c r="A615" s="208">
        <v>42649</v>
      </c>
      <c r="B615" s="209" t="s">
        <v>529</v>
      </c>
      <c r="C615" s="209">
        <v>16</v>
      </c>
      <c r="D615" s="272" t="s">
        <v>490</v>
      </c>
      <c r="E615" s="209">
        <v>0</v>
      </c>
      <c r="F615" s="209">
        <v>13</v>
      </c>
      <c r="G615" s="209">
        <v>0</v>
      </c>
      <c r="H615" s="209">
        <v>6</v>
      </c>
      <c r="I615" s="209">
        <v>13</v>
      </c>
      <c r="J615" s="209">
        <v>6</v>
      </c>
      <c r="K615" s="209">
        <v>5584</v>
      </c>
    </row>
    <row r="616" spans="1:11">
      <c r="A616" s="208">
        <v>42649</v>
      </c>
      <c r="B616" s="209" t="s">
        <v>529</v>
      </c>
      <c r="C616" s="209">
        <v>17</v>
      </c>
      <c r="D616" s="272" t="s">
        <v>479</v>
      </c>
      <c r="E616" s="209">
        <v>1</v>
      </c>
      <c r="F616" s="209">
        <v>1</v>
      </c>
      <c r="G616" s="209">
        <v>0</v>
      </c>
      <c r="H616" s="209">
        <v>0</v>
      </c>
      <c r="I616" s="209">
        <v>1</v>
      </c>
      <c r="J616" s="209">
        <v>0</v>
      </c>
      <c r="K616" s="209">
        <v>4292</v>
      </c>
    </row>
    <row r="617" spans="1:11">
      <c r="A617" s="208">
        <v>42649</v>
      </c>
      <c r="B617" s="209" t="s">
        <v>529</v>
      </c>
      <c r="C617" s="209">
        <v>18</v>
      </c>
      <c r="D617" s="272" t="s">
        <v>508</v>
      </c>
      <c r="E617" s="209">
        <v>0</v>
      </c>
      <c r="F617" s="209">
        <v>0</v>
      </c>
      <c r="G617" s="209">
        <v>0</v>
      </c>
      <c r="H617" s="209">
        <v>0</v>
      </c>
      <c r="I617" s="209">
        <v>0</v>
      </c>
      <c r="J617" s="209">
        <v>0</v>
      </c>
      <c r="K617" s="209">
        <v>2680.6</v>
      </c>
    </row>
    <row r="618" spans="1:11">
      <c r="A618" s="208">
        <v>42649</v>
      </c>
      <c r="B618" s="209" t="s">
        <v>529</v>
      </c>
      <c r="C618" s="209">
        <v>19</v>
      </c>
      <c r="D618" s="272" t="s">
        <v>510</v>
      </c>
      <c r="E618" s="209">
        <v>0</v>
      </c>
      <c r="F618" s="209">
        <v>0</v>
      </c>
      <c r="G618" s="209">
        <v>0</v>
      </c>
      <c r="H618" s="209">
        <v>0</v>
      </c>
      <c r="I618" s="209">
        <v>0</v>
      </c>
      <c r="J618" s="209">
        <v>0</v>
      </c>
      <c r="K618" s="209">
        <v>1702</v>
      </c>
    </row>
    <row r="619" spans="1:11">
      <c r="A619" s="208">
        <v>42649</v>
      </c>
      <c r="B619" s="209" t="s">
        <v>529</v>
      </c>
      <c r="C619" s="209">
        <v>20</v>
      </c>
      <c r="D619" s="272" t="s">
        <v>465</v>
      </c>
      <c r="E619" s="209">
        <v>0</v>
      </c>
      <c r="F619" s="209">
        <v>2</v>
      </c>
      <c r="G619" s="209">
        <v>0</v>
      </c>
      <c r="H619" s="209">
        <v>2</v>
      </c>
      <c r="I619" s="209">
        <v>2</v>
      </c>
      <c r="J619" s="209">
        <v>2</v>
      </c>
      <c r="K619" s="209">
        <v>1101.8599999999999</v>
      </c>
    </row>
    <row r="620" spans="1:11">
      <c r="A620" s="208">
        <v>42649</v>
      </c>
      <c r="B620" s="209" t="s">
        <v>529</v>
      </c>
      <c r="C620" s="209">
        <v>21</v>
      </c>
      <c r="D620" s="272" t="s">
        <v>480</v>
      </c>
      <c r="E620" s="209">
        <v>0</v>
      </c>
      <c r="F620" s="209">
        <v>0</v>
      </c>
      <c r="G620" s="209">
        <v>0</v>
      </c>
      <c r="H620" s="209">
        <v>0</v>
      </c>
      <c r="I620" s="209">
        <v>0</v>
      </c>
      <c r="J620" s="209">
        <v>0</v>
      </c>
      <c r="K620" s="209">
        <v>460.96</v>
      </c>
    </row>
    <row r="621" spans="1:11">
      <c r="A621" s="208">
        <v>42649</v>
      </c>
      <c r="B621" s="209" t="s">
        <v>529</v>
      </c>
      <c r="C621" s="209">
        <v>22</v>
      </c>
      <c r="D621" s="272" t="s">
        <v>460</v>
      </c>
      <c r="E621" s="209">
        <v>0</v>
      </c>
      <c r="F621" s="209">
        <v>1</v>
      </c>
      <c r="G621" s="209">
        <v>0</v>
      </c>
      <c r="H621" s="209">
        <v>0</v>
      </c>
      <c r="I621" s="209">
        <v>1</v>
      </c>
      <c r="J621" s="209">
        <v>0</v>
      </c>
      <c r="K621" s="209">
        <v>355.69</v>
      </c>
    </row>
    <row r="622" spans="1:11">
      <c r="A622" s="208">
        <v>42649</v>
      </c>
      <c r="B622" s="209" t="s">
        <v>529</v>
      </c>
      <c r="C622" s="209">
        <v>23</v>
      </c>
      <c r="D622" s="272" t="s">
        <v>472</v>
      </c>
      <c r="E622" s="209">
        <v>0</v>
      </c>
      <c r="F622" s="209">
        <v>0</v>
      </c>
      <c r="G622" s="209">
        <v>0</v>
      </c>
      <c r="H622" s="209">
        <v>0</v>
      </c>
      <c r="I622" s="209">
        <v>0</v>
      </c>
      <c r="J622" s="209">
        <v>0</v>
      </c>
      <c r="K622" s="209">
        <v>20</v>
      </c>
    </row>
    <row r="623" spans="1:11">
      <c r="A623" s="208">
        <v>42649</v>
      </c>
      <c r="B623" s="209" t="s">
        <v>529</v>
      </c>
      <c r="C623" s="209">
        <v>24</v>
      </c>
      <c r="D623" s="272" t="s">
        <v>467</v>
      </c>
      <c r="E623" s="209">
        <v>0</v>
      </c>
      <c r="F623" s="209">
        <v>0</v>
      </c>
      <c r="G623" s="209">
        <v>0</v>
      </c>
      <c r="H623" s="209">
        <v>0</v>
      </c>
      <c r="I623" s="209">
        <v>0</v>
      </c>
      <c r="J623" s="209">
        <v>0</v>
      </c>
      <c r="K623" s="209">
        <v>2.39</v>
      </c>
    </row>
    <row r="624" spans="1:11">
      <c r="A624" s="208">
        <v>42649</v>
      </c>
      <c r="B624" s="209" t="s">
        <v>529</v>
      </c>
      <c r="C624" s="209">
        <v>25</v>
      </c>
      <c r="D624" s="272" t="s">
        <v>549</v>
      </c>
      <c r="E624" s="209">
        <v>0</v>
      </c>
      <c r="F624" s="209">
        <v>0</v>
      </c>
      <c r="G624" s="209" t="s">
        <v>242</v>
      </c>
      <c r="H624" s="209" t="s">
        <v>242</v>
      </c>
      <c r="I624" s="209">
        <v>0</v>
      </c>
      <c r="J624" s="209" t="s">
        <v>242</v>
      </c>
      <c r="K624" s="209">
        <v>0</v>
      </c>
    </row>
    <row r="625" spans="1:11">
      <c r="A625" s="208">
        <v>42650</v>
      </c>
      <c r="B625" s="209" t="s">
        <v>529</v>
      </c>
      <c r="C625" s="209">
        <v>1</v>
      </c>
      <c r="D625" s="272" t="s">
        <v>489</v>
      </c>
      <c r="E625" s="209">
        <v>15</v>
      </c>
      <c r="F625" s="209">
        <v>83</v>
      </c>
      <c r="G625" s="209">
        <v>3</v>
      </c>
      <c r="H625" s="209">
        <v>31</v>
      </c>
      <c r="I625" s="209">
        <v>7.74</v>
      </c>
      <c r="J625" s="209">
        <v>2.89</v>
      </c>
      <c r="K625" s="209">
        <v>107177.60000000001</v>
      </c>
    </row>
    <row r="626" spans="1:11">
      <c r="A626" s="208">
        <v>42650</v>
      </c>
      <c r="B626" s="209" t="s">
        <v>529</v>
      </c>
      <c r="C626" s="209">
        <v>2</v>
      </c>
      <c r="D626" s="272" t="s">
        <v>461</v>
      </c>
      <c r="E626" s="209">
        <v>0</v>
      </c>
      <c r="F626" s="209">
        <v>0</v>
      </c>
      <c r="G626" s="209">
        <v>0</v>
      </c>
      <c r="H626" s="209">
        <v>0</v>
      </c>
      <c r="I626" s="209">
        <v>0</v>
      </c>
      <c r="J626" s="209">
        <v>0</v>
      </c>
      <c r="K626" s="209">
        <v>46224.74</v>
      </c>
    </row>
    <row r="627" spans="1:11">
      <c r="A627" s="208">
        <v>42650</v>
      </c>
      <c r="B627" s="209" t="s">
        <v>529</v>
      </c>
      <c r="C627" s="209">
        <v>3</v>
      </c>
      <c r="D627" s="272" t="s">
        <v>463</v>
      </c>
      <c r="E627" s="209">
        <v>0</v>
      </c>
      <c r="F627" s="209">
        <v>2</v>
      </c>
      <c r="G627" s="209">
        <v>0</v>
      </c>
      <c r="H627" s="209">
        <v>1</v>
      </c>
      <c r="I627" s="209">
        <v>0.52</v>
      </c>
      <c r="J627" s="209">
        <v>0.26</v>
      </c>
      <c r="K627" s="209">
        <v>38175.730000000003</v>
      </c>
    </row>
    <row r="628" spans="1:11">
      <c r="A628" s="208">
        <v>42650</v>
      </c>
      <c r="B628" s="209" t="s">
        <v>529</v>
      </c>
      <c r="C628" s="209">
        <v>4</v>
      </c>
      <c r="D628" s="272" t="s">
        <v>469</v>
      </c>
      <c r="E628" s="209">
        <v>0</v>
      </c>
      <c r="F628" s="209">
        <v>0</v>
      </c>
      <c r="G628" s="209">
        <v>0</v>
      </c>
      <c r="H628" s="209">
        <v>0</v>
      </c>
      <c r="I628" s="209">
        <v>0</v>
      </c>
      <c r="J628" s="209">
        <v>0</v>
      </c>
      <c r="K628" s="209">
        <v>34259.22</v>
      </c>
    </row>
    <row r="629" spans="1:11">
      <c r="A629" s="208">
        <v>42650</v>
      </c>
      <c r="B629" s="209" t="s">
        <v>529</v>
      </c>
      <c r="C629" s="209">
        <v>5</v>
      </c>
      <c r="D629" s="272" t="s">
        <v>470</v>
      </c>
      <c r="E629" s="209">
        <v>1</v>
      </c>
      <c r="F629" s="209">
        <v>38</v>
      </c>
      <c r="G629" s="209">
        <v>0</v>
      </c>
      <c r="H629" s="209">
        <v>13</v>
      </c>
      <c r="I629" s="209">
        <v>11.34</v>
      </c>
      <c r="J629" s="209">
        <v>3.88</v>
      </c>
      <c r="K629" s="209">
        <v>33499</v>
      </c>
    </row>
    <row r="630" spans="1:11">
      <c r="A630" s="208">
        <v>42650</v>
      </c>
      <c r="B630" s="209" t="s">
        <v>529</v>
      </c>
      <c r="C630" s="209">
        <v>6</v>
      </c>
      <c r="D630" s="272" t="s">
        <v>462</v>
      </c>
      <c r="E630" s="209">
        <v>0</v>
      </c>
      <c r="F630" s="209">
        <v>0</v>
      </c>
      <c r="G630" s="209">
        <v>0</v>
      </c>
      <c r="H630" s="209">
        <v>0</v>
      </c>
      <c r="I630" s="209">
        <v>0</v>
      </c>
      <c r="J630" s="209">
        <v>0</v>
      </c>
      <c r="K630" s="209">
        <v>31512.11</v>
      </c>
    </row>
    <row r="631" spans="1:11">
      <c r="A631" s="208">
        <v>42650</v>
      </c>
      <c r="B631" s="209" t="s">
        <v>529</v>
      </c>
      <c r="C631" s="209">
        <v>7</v>
      </c>
      <c r="D631" s="272" t="s">
        <v>504</v>
      </c>
      <c r="E631" s="209">
        <v>1</v>
      </c>
      <c r="F631" s="209">
        <v>12</v>
      </c>
      <c r="G631" s="209">
        <v>0</v>
      </c>
      <c r="H631" s="209">
        <v>2</v>
      </c>
      <c r="I631" s="209">
        <v>4.88</v>
      </c>
      <c r="J631" s="209">
        <v>0.81</v>
      </c>
      <c r="K631" s="209">
        <v>24600.9</v>
      </c>
    </row>
    <row r="632" spans="1:11">
      <c r="A632" s="208">
        <v>42650</v>
      </c>
      <c r="B632" s="209" t="s">
        <v>529</v>
      </c>
      <c r="C632" s="209">
        <v>8</v>
      </c>
      <c r="D632" s="272" t="s">
        <v>505</v>
      </c>
      <c r="E632" s="209">
        <v>0</v>
      </c>
      <c r="F632" s="209">
        <v>1</v>
      </c>
      <c r="G632" s="209">
        <v>0</v>
      </c>
      <c r="H632" s="209">
        <v>0</v>
      </c>
      <c r="I632" s="209">
        <v>0.56999999999999995</v>
      </c>
      <c r="J632" s="209">
        <v>0</v>
      </c>
      <c r="K632" s="209">
        <v>17572.86</v>
      </c>
    </row>
    <row r="633" spans="1:11">
      <c r="A633" s="208">
        <v>42650</v>
      </c>
      <c r="B633" s="209" t="s">
        <v>529</v>
      </c>
      <c r="C633" s="209">
        <v>9</v>
      </c>
      <c r="D633" s="272" t="s">
        <v>471</v>
      </c>
      <c r="E633" s="209">
        <v>0</v>
      </c>
      <c r="F633" s="209">
        <v>3</v>
      </c>
      <c r="G633" s="209">
        <v>0</v>
      </c>
      <c r="H633" s="209">
        <v>0</v>
      </c>
      <c r="I633" s="209">
        <v>1.79</v>
      </c>
      <c r="J633" s="209">
        <v>0</v>
      </c>
      <c r="K633" s="209">
        <v>16747.240000000002</v>
      </c>
    </row>
    <row r="634" spans="1:11">
      <c r="A634" s="208">
        <v>42650</v>
      </c>
      <c r="B634" s="209" t="s">
        <v>529</v>
      </c>
      <c r="C634" s="209">
        <v>10</v>
      </c>
      <c r="D634" s="272" t="s">
        <v>468</v>
      </c>
      <c r="E634" s="209">
        <v>0</v>
      </c>
      <c r="F634" s="209">
        <v>0</v>
      </c>
      <c r="G634" s="209">
        <v>0</v>
      </c>
      <c r="H634" s="209">
        <v>0</v>
      </c>
      <c r="I634" s="209">
        <v>0</v>
      </c>
      <c r="J634" s="209">
        <v>0</v>
      </c>
      <c r="K634" s="209">
        <v>16377.2</v>
      </c>
    </row>
    <row r="635" spans="1:11">
      <c r="A635" s="208">
        <v>42650</v>
      </c>
      <c r="B635" s="209" t="s">
        <v>529</v>
      </c>
      <c r="C635" s="209">
        <v>11</v>
      </c>
      <c r="D635" s="272" t="s">
        <v>507</v>
      </c>
      <c r="E635" s="209">
        <v>0</v>
      </c>
      <c r="F635" s="209">
        <v>3</v>
      </c>
      <c r="G635" s="209">
        <v>0</v>
      </c>
      <c r="H635" s="209">
        <v>1</v>
      </c>
      <c r="I635" s="209">
        <v>1.95</v>
      </c>
      <c r="J635" s="209">
        <v>0.65</v>
      </c>
      <c r="K635" s="209">
        <v>15400</v>
      </c>
    </row>
    <row r="636" spans="1:11">
      <c r="A636" s="208">
        <v>42650</v>
      </c>
      <c r="B636" s="209" t="s">
        <v>529</v>
      </c>
      <c r="C636" s="209">
        <v>12</v>
      </c>
      <c r="D636" s="272" t="s">
        <v>466</v>
      </c>
      <c r="E636" s="209">
        <v>1</v>
      </c>
      <c r="F636" s="209">
        <v>11</v>
      </c>
      <c r="G636" s="209">
        <v>0</v>
      </c>
      <c r="H636" s="209">
        <v>3</v>
      </c>
      <c r="I636" s="209">
        <v>8.9600000000000009</v>
      </c>
      <c r="J636" s="209">
        <v>2.44</v>
      </c>
      <c r="K636" s="209">
        <v>12279.71</v>
      </c>
    </row>
    <row r="637" spans="1:11">
      <c r="A637" s="208">
        <v>42650</v>
      </c>
      <c r="B637" s="209" t="s">
        <v>529</v>
      </c>
      <c r="C637" s="209">
        <v>13</v>
      </c>
      <c r="D637" s="272" t="s">
        <v>484</v>
      </c>
      <c r="E637" s="209">
        <v>1</v>
      </c>
      <c r="F637" s="209">
        <v>13</v>
      </c>
      <c r="G637" s="209">
        <v>0</v>
      </c>
      <c r="H637" s="209">
        <v>3</v>
      </c>
      <c r="I637" s="209">
        <v>13</v>
      </c>
      <c r="J637" s="209">
        <v>3</v>
      </c>
      <c r="K637" s="209">
        <v>9956</v>
      </c>
    </row>
    <row r="638" spans="1:11">
      <c r="A638" s="208">
        <v>42650</v>
      </c>
      <c r="B638" s="209" t="s">
        <v>529</v>
      </c>
      <c r="C638" s="209">
        <v>14</v>
      </c>
      <c r="D638" s="272" t="s">
        <v>464</v>
      </c>
      <c r="E638" s="209">
        <v>1</v>
      </c>
      <c r="F638" s="209">
        <v>29</v>
      </c>
      <c r="G638" s="209">
        <v>1</v>
      </c>
      <c r="H638" s="209">
        <v>15</v>
      </c>
      <c r="I638" s="209">
        <v>29</v>
      </c>
      <c r="J638" s="209">
        <v>15</v>
      </c>
      <c r="K638" s="209">
        <v>9949.7800000000007</v>
      </c>
    </row>
    <row r="639" spans="1:11">
      <c r="A639" s="208">
        <v>42650</v>
      </c>
      <c r="B639" s="209" t="s">
        <v>529</v>
      </c>
      <c r="C639" s="209">
        <v>15</v>
      </c>
      <c r="D639" s="272" t="s">
        <v>487</v>
      </c>
      <c r="E639" s="209">
        <v>0</v>
      </c>
      <c r="F639" s="209">
        <v>7</v>
      </c>
      <c r="G639" s="209">
        <v>0</v>
      </c>
      <c r="H639" s="209">
        <v>1</v>
      </c>
      <c r="I639" s="209">
        <v>7</v>
      </c>
      <c r="J639" s="209">
        <v>1</v>
      </c>
      <c r="K639" s="209">
        <v>6932.3</v>
      </c>
    </row>
    <row r="640" spans="1:11">
      <c r="A640" s="208">
        <v>42650</v>
      </c>
      <c r="B640" s="209" t="s">
        <v>529</v>
      </c>
      <c r="C640" s="209">
        <v>16</v>
      </c>
      <c r="D640" s="272" t="s">
        <v>490</v>
      </c>
      <c r="E640" s="209">
        <v>0</v>
      </c>
      <c r="F640" s="209">
        <v>14</v>
      </c>
      <c r="G640" s="209">
        <v>0</v>
      </c>
      <c r="H640" s="209">
        <v>7</v>
      </c>
      <c r="I640" s="209">
        <v>14</v>
      </c>
      <c r="J640" s="209">
        <v>7</v>
      </c>
      <c r="K640" s="209">
        <v>5604</v>
      </c>
    </row>
    <row r="641" spans="1:11">
      <c r="A641" s="208">
        <v>42650</v>
      </c>
      <c r="B641" s="209" t="s">
        <v>529</v>
      </c>
      <c r="C641" s="209">
        <v>17</v>
      </c>
      <c r="D641" s="272" t="s">
        <v>479</v>
      </c>
      <c r="E641" s="209">
        <v>1</v>
      </c>
      <c r="F641" s="209">
        <v>2</v>
      </c>
      <c r="G641" s="209">
        <v>0</v>
      </c>
      <c r="H641" s="209">
        <v>0</v>
      </c>
      <c r="I641" s="209">
        <v>2</v>
      </c>
      <c r="J641" s="209">
        <v>0</v>
      </c>
      <c r="K641" s="209">
        <v>5242</v>
      </c>
    </row>
    <row r="642" spans="1:11">
      <c r="A642" s="208">
        <v>42650</v>
      </c>
      <c r="B642" s="209" t="s">
        <v>529</v>
      </c>
      <c r="C642" s="209">
        <v>18</v>
      </c>
      <c r="D642" s="272" t="s">
        <v>508</v>
      </c>
      <c r="E642" s="209">
        <v>1</v>
      </c>
      <c r="F642" s="209">
        <v>1</v>
      </c>
      <c r="G642" s="209">
        <v>1</v>
      </c>
      <c r="H642" s="209">
        <v>1</v>
      </c>
      <c r="I642" s="209">
        <v>1</v>
      </c>
      <c r="J642" s="209">
        <v>1</v>
      </c>
      <c r="K642" s="209">
        <v>3386.45</v>
      </c>
    </row>
    <row r="643" spans="1:11">
      <c r="A643" s="208">
        <v>42650</v>
      </c>
      <c r="B643" s="209" t="s">
        <v>529</v>
      </c>
      <c r="C643" s="209">
        <v>19</v>
      </c>
      <c r="D643" s="272" t="s">
        <v>510</v>
      </c>
      <c r="E643" s="209">
        <v>0</v>
      </c>
      <c r="F643" s="209">
        <v>0</v>
      </c>
      <c r="G643" s="209">
        <v>0</v>
      </c>
      <c r="H643" s="209">
        <v>0</v>
      </c>
      <c r="I643" s="209">
        <v>0</v>
      </c>
      <c r="J643" s="209">
        <v>0</v>
      </c>
      <c r="K643" s="209">
        <v>2162</v>
      </c>
    </row>
    <row r="644" spans="1:11">
      <c r="A644" s="208">
        <v>42650</v>
      </c>
      <c r="B644" s="209" t="s">
        <v>529</v>
      </c>
      <c r="C644" s="209">
        <v>20</v>
      </c>
      <c r="D644" s="272" t="s">
        <v>465</v>
      </c>
      <c r="E644" s="209">
        <v>0</v>
      </c>
      <c r="F644" s="209">
        <v>3</v>
      </c>
      <c r="G644" s="209">
        <v>0</v>
      </c>
      <c r="H644" s="209">
        <v>3</v>
      </c>
      <c r="I644" s="209">
        <v>3</v>
      </c>
      <c r="J644" s="209">
        <v>3</v>
      </c>
      <c r="K644" s="209">
        <v>1578.01</v>
      </c>
    </row>
    <row r="645" spans="1:11">
      <c r="A645" s="208">
        <v>42650</v>
      </c>
      <c r="B645" s="209" t="s">
        <v>529</v>
      </c>
      <c r="C645" s="209">
        <v>21</v>
      </c>
      <c r="D645" s="272" t="s">
        <v>480</v>
      </c>
      <c r="E645" s="209">
        <v>0</v>
      </c>
      <c r="F645" s="209">
        <v>0</v>
      </c>
      <c r="G645" s="209">
        <v>0</v>
      </c>
      <c r="H645" s="209">
        <v>0</v>
      </c>
      <c r="I645" s="209">
        <v>0</v>
      </c>
      <c r="J645" s="209">
        <v>0</v>
      </c>
      <c r="K645" s="209">
        <v>751.19</v>
      </c>
    </row>
    <row r="646" spans="1:11">
      <c r="A646" s="208">
        <v>42650</v>
      </c>
      <c r="B646" s="209" t="s">
        <v>529</v>
      </c>
      <c r="C646" s="209">
        <v>22</v>
      </c>
      <c r="D646" s="272" t="s">
        <v>460</v>
      </c>
      <c r="E646" s="209">
        <v>0</v>
      </c>
      <c r="F646" s="209">
        <v>1</v>
      </c>
      <c r="G646" s="209">
        <v>0</v>
      </c>
      <c r="H646" s="209">
        <v>0</v>
      </c>
      <c r="I646" s="209">
        <v>1</v>
      </c>
      <c r="J646" s="209">
        <v>0</v>
      </c>
      <c r="K646" s="209">
        <v>356.36</v>
      </c>
    </row>
    <row r="647" spans="1:11">
      <c r="A647" s="208">
        <v>42650</v>
      </c>
      <c r="B647" s="209" t="s">
        <v>529</v>
      </c>
      <c r="C647" s="209">
        <v>23</v>
      </c>
      <c r="D647" s="272" t="s">
        <v>472</v>
      </c>
      <c r="E647" s="209">
        <v>0</v>
      </c>
      <c r="F647" s="209">
        <v>0</v>
      </c>
      <c r="G647" s="209">
        <v>0</v>
      </c>
      <c r="H647" s="209">
        <v>0</v>
      </c>
      <c r="I647" s="209">
        <v>0</v>
      </c>
      <c r="J647" s="209">
        <v>0</v>
      </c>
      <c r="K647" s="209">
        <v>20</v>
      </c>
    </row>
    <row r="648" spans="1:11">
      <c r="A648" s="208">
        <v>42650</v>
      </c>
      <c r="B648" s="209" t="s">
        <v>529</v>
      </c>
      <c r="C648" s="209">
        <v>24</v>
      </c>
      <c r="D648" s="272" t="s">
        <v>467</v>
      </c>
      <c r="E648" s="209">
        <v>0</v>
      </c>
      <c r="F648" s="209">
        <v>0</v>
      </c>
      <c r="G648" s="209">
        <v>0</v>
      </c>
      <c r="H648" s="209">
        <v>0</v>
      </c>
      <c r="I648" s="209">
        <v>0</v>
      </c>
      <c r="J648" s="209">
        <v>0</v>
      </c>
      <c r="K648" s="209">
        <v>2.83</v>
      </c>
    </row>
    <row r="649" spans="1:11">
      <c r="A649" s="208">
        <v>42650</v>
      </c>
      <c r="B649" s="209" t="s">
        <v>529</v>
      </c>
      <c r="C649" s="209">
        <v>25</v>
      </c>
      <c r="D649" s="272" t="s">
        <v>549</v>
      </c>
      <c r="E649" s="209">
        <v>0</v>
      </c>
      <c r="F649" s="209">
        <v>0</v>
      </c>
      <c r="G649" s="209" t="s">
        <v>242</v>
      </c>
      <c r="H649" s="209" t="s">
        <v>242</v>
      </c>
      <c r="I649" s="209">
        <v>0</v>
      </c>
      <c r="J649" s="209" t="s">
        <v>242</v>
      </c>
      <c r="K649" s="209">
        <v>0</v>
      </c>
    </row>
    <row r="650" spans="1:11">
      <c r="A650" s="208">
        <v>42651</v>
      </c>
      <c r="B650" s="209" t="s">
        <v>511</v>
      </c>
      <c r="C650" s="209">
        <v>1</v>
      </c>
      <c r="D650" s="272" t="s">
        <v>484</v>
      </c>
      <c r="E650" s="209">
        <v>0</v>
      </c>
      <c r="F650" s="209">
        <v>2</v>
      </c>
      <c r="G650" s="209">
        <v>2</v>
      </c>
      <c r="H650" s="209">
        <v>0</v>
      </c>
      <c r="I650" s="209">
        <v>1</v>
      </c>
      <c r="J650" s="209">
        <v>1</v>
      </c>
      <c r="K650" s="209">
        <v>123</v>
      </c>
    </row>
    <row r="651" spans="1:11">
      <c r="A651" s="208">
        <v>42651</v>
      </c>
      <c r="B651" s="209" t="s">
        <v>511</v>
      </c>
      <c r="C651" s="209">
        <v>2</v>
      </c>
      <c r="D651" s="272" t="s">
        <v>461</v>
      </c>
      <c r="E651" s="209">
        <v>0</v>
      </c>
      <c r="F651" s="209">
        <v>0</v>
      </c>
      <c r="G651" s="209">
        <v>0</v>
      </c>
      <c r="H651" s="209">
        <v>0</v>
      </c>
      <c r="I651" s="209">
        <v>0</v>
      </c>
      <c r="J651" s="209">
        <v>0</v>
      </c>
      <c r="K651" s="209">
        <v>1963</v>
      </c>
    </row>
    <row r="652" spans="1:11">
      <c r="A652" s="208">
        <v>42651</v>
      </c>
      <c r="B652" s="209" t="s">
        <v>511</v>
      </c>
      <c r="C652" s="209">
        <v>3</v>
      </c>
      <c r="D652" s="272" t="s">
        <v>487</v>
      </c>
      <c r="E652" s="209">
        <v>0</v>
      </c>
      <c r="F652" s="209">
        <v>4</v>
      </c>
      <c r="G652" s="209">
        <v>4</v>
      </c>
      <c r="H652" s="209">
        <v>0</v>
      </c>
      <c r="I652" s="209">
        <v>4</v>
      </c>
      <c r="J652" s="209">
        <v>4</v>
      </c>
      <c r="K652" s="209">
        <v>468</v>
      </c>
    </row>
    <row r="653" spans="1:11">
      <c r="A653" s="208">
        <v>42651</v>
      </c>
      <c r="B653" s="209" t="s">
        <v>511</v>
      </c>
      <c r="C653" s="209">
        <v>4</v>
      </c>
      <c r="D653" s="272" t="s">
        <v>462</v>
      </c>
      <c r="E653" s="209">
        <v>0</v>
      </c>
      <c r="F653" s="209">
        <v>0</v>
      </c>
      <c r="G653" s="209">
        <v>0</v>
      </c>
      <c r="H653" s="209">
        <v>0</v>
      </c>
      <c r="I653" s="209">
        <v>0</v>
      </c>
      <c r="J653" s="209">
        <v>0</v>
      </c>
      <c r="K653" s="209">
        <v>507</v>
      </c>
    </row>
    <row r="654" spans="1:11">
      <c r="A654" s="208">
        <v>42651</v>
      </c>
      <c r="B654" s="209" t="s">
        <v>511</v>
      </c>
      <c r="C654" s="209">
        <v>5</v>
      </c>
      <c r="D654" s="272" t="s">
        <v>463</v>
      </c>
      <c r="E654" s="209">
        <v>0</v>
      </c>
      <c r="F654" s="209">
        <v>2</v>
      </c>
      <c r="G654" s="209">
        <v>2</v>
      </c>
      <c r="H654" s="209">
        <v>0</v>
      </c>
      <c r="I654" s="209">
        <v>1</v>
      </c>
      <c r="J654" s="209">
        <v>1</v>
      </c>
      <c r="K654" s="209">
        <v>2649</v>
      </c>
    </row>
    <row r="655" spans="1:11">
      <c r="A655" s="208">
        <v>42651</v>
      </c>
      <c r="B655" s="209" t="s">
        <v>511</v>
      </c>
      <c r="C655" s="209">
        <v>6</v>
      </c>
      <c r="D655" s="272" t="s">
        <v>464</v>
      </c>
      <c r="E655" s="209">
        <v>0</v>
      </c>
      <c r="F655" s="209">
        <v>0</v>
      </c>
      <c r="G655" s="209">
        <v>0</v>
      </c>
      <c r="H655" s="209">
        <v>0</v>
      </c>
      <c r="I655" s="209">
        <v>0</v>
      </c>
      <c r="J655" s="209">
        <v>0</v>
      </c>
      <c r="K655" s="209">
        <v>226</v>
      </c>
    </row>
    <row r="656" spans="1:11">
      <c r="A656" s="208">
        <v>42651</v>
      </c>
      <c r="B656" s="209" t="s">
        <v>511</v>
      </c>
      <c r="C656" s="209">
        <v>7</v>
      </c>
      <c r="D656" s="272" t="s">
        <v>504</v>
      </c>
      <c r="E656" s="209">
        <v>0</v>
      </c>
      <c r="F656" s="209">
        <v>6</v>
      </c>
      <c r="G656" s="209">
        <v>6</v>
      </c>
      <c r="H656" s="209">
        <v>0</v>
      </c>
      <c r="I656" s="209">
        <v>3</v>
      </c>
      <c r="J656" s="209">
        <v>3</v>
      </c>
      <c r="K656" s="209">
        <v>1111</v>
      </c>
    </row>
    <row r="657" spans="1:11">
      <c r="A657" s="208">
        <v>42651</v>
      </c>
      <c r="B657" s="209" t="s">
        <v>511</v>
      </c>
      <c r="C657" s="209">
        <v>8</v>
      </c>
      <c r="D657" s="272" t="s">
        <v>490</v>
      </c>
      <c r="E657" s="209">
        <v>0</v>
      </c>
      <c r="F657" s="209">
        <v>0</v>
      </c>
      <c r="G657" s="209">
        <v>0</v>
      </c>
      <c r="H657" s="209">
        <v>0</v>
      </c>
      <c r="I657" s="209">
        <v>0</v>
      </c>
      <c r="J657" s="209">
        <v>0</v>
      </c>
      <c r="K657" s="209">
        <v>28</v>
      </c>
    </row>
    <row r="658" spans="1:11">
      <c r="A658" s="208">
        <v>42651</v>
      </c>
      <c r="B658" s="209" t="s">
        <v>511</v>
      </c>
      <c r="C658" s="209">
        <v>9</v>
      </c>
      <c r="D658" s="272" t="s">
        <v>460</v>
      </c>
      <c r="E658" s="209">
        <v>1</v>
      </c>
      <c r="F658" s="209">
        <v>6</v>
      </c>
      <c r="G658" s="209">
        <v>6</v>
      </c>
      <c r="H658" s="209">
        <v>0</v>
      </c>
      <c r="I658" s="209">
        <v>2</v>
      </c>
      <c r="J658" s="209">
        <v>2</v>
      </c>
      <c r="K658" s="209">
        <v>838</v>
      </c>
    </row>
    <row r="659" spans="1:11">
      <c r="A659" s="208">
        <v>42651</v>
      </c>
      <c r="B659" s="209" t="s">
        <v>511</v>
      </c>
      <c r="C659" s="209">
        <v>10</v>
      </c>
      <c r="D659" s="272" t="s">
        <v>465</v>
      </c>
      <c r="E659" s="209">
        <v>0</v>
      </c>
      <c r="F659" s="209">
        <v>10</v>
      </c>
      <c r="G659" s="209">
        <v>10</v>
      </c>
      <c r="H659" s="209">
        <v>0</v>
      </c>
      <c r="I659" s="209">
        <v>2</v>
      </c>
      <c r="J659" s="209">
        <v>2</v>
      </c>
      <c r="K659" s="209">
        <v>1107</v>
      </c>
    </row>
    <row r="660" spans="1:11">
      <c r="A660" s="208">
        <v>42651</v>
      </c>
      <c r="B660" s="209" t="s">
        <v>511</v>
      </c>
      <c r="C660" s="209">
        <v>11</v>
      </c>
      <c r="D660" s="272" t="s">
        <v>505</v>
      </c>
      <c r="E660" s="209">
        <v>1</v>
      </c>
      <c r="F660" s="209">
        <v>4</v>
      </c>
      <c r="G660" s="209">
        <v>4</v>
      </c>
      <c r="H660" s="209">
        <v>0</v>
      </c>
      <c r="I660" s="209">
        <v>2</v>
      </c>
      <c r="J660" s="209">
        <v>2</v>
      </c>
      <c r="K660" s="209">
        <v>897</v>
      </c>
    </row>
    <row r="661" spans="1:11">
      <c r="A661" s="208">
        <v>42651</v>
      </c>
      <c r="B661" s="209" t="s">
        <v>511</v>
      </c>
      <c r="C661" s="209">
        <v>12</v>
      </c>
      <c r="D661" s="272" t="s">
        <v>466</v>
      </c>
      <c r="E661" s="209">
        <v>1</v>
      </c>
      <c r="F661" s="209">
        <v>17</v>
      </c>
      <c r="G661" s="209">
        <v>17</v>
      </c>
      <c r="H661" s="209">
        <v>0</v>
      </c>
      <c r="I661" s="209">
        <v>5</v>
      </c>
      <c r="J661" s="209">
        <v>5</v>
      </c>
      <c r="K661" s="209">
        <v>1132</v>
      </c>
    </row>
    <row r="662" spans="1:11">
      <c r="A662" s="208">
        <v>42651</v>
      </c>
      <c r="B662" s="209" t="s">
        <v>511</v>
      </c>
      <c r="C662" s="209">
        <v>13</v>
      </c>
      <c r="D662" s="272" t="s">
        <v>467</v>
      </c>
      <c r="E662" s="209">
        <v>0</v>
      </c>
      <c r="F662" s="209">
        <v>3</v>
      </c>
      <c r="G662" s="209">
        <v>3</v>
      </c>
      <c r="H662" s="209">
        <v>0</v>
      </c>
      <c r="I662" s="209">
        <v>1</v>
      </c>
      <c r="J662" s="209">
        <v>1</v>
      </c>
      <c r="K662" s="209">
        <v>577</v>
      </c>
    </row>
    <row r="663" spans="1:11">
      <c r="A663" s="208">
        <v>42651</v>
      </c>
      <c r="B663" s="209" t="s">
        <v>511</v>
      </c>
      <c r="C663" s="209">
        <v>14</v>
      </c>
      <c r="D663" s="272" t="s">
        <v>472</v>
      </c>
      <c r="E663" s="209">
        <v>0</v>
      </c>
      <c r="F663" s="209">
        <v>0</v>
      </c>
      <c r="G663" s="209">
        <v>0</v>
      </c>
      <c r="H663" s="209">
        <v>0</v>
      </c>
      <c r="I663" s="209">
        <v>0</v>
      </c>
      <c r="J663" s="209">
        <v>0</v>
      </c>
      <c r="K663" s="209">
        <v>1</v>
      </c>
    </row>
    <row r="664" spans="1:11">
      <c r="A664" s="208">
        <v>42651</v>
      </c>
      <c r="B664" s="209" t="s">
        <v>511</v>
      </c>
      <c r="C664" s="209">
        <v>15</v>
      </c>
      <c r="D664" s="272" t="s">
        <v>507</v>
      </c>
      <c r="E664" s="209">
        <v>0</v>
      </c>
      <c r="F664" s="209">
        <v>0</v>
      </c>
      <c r="G664" s="209">
        <v>0</v>
      </c>
      <c r="H664" s="209">
        <v>0</v>
      </c>
      <c r="I664" s="209">
        <v>0</v>
      </c>
      <c r="J664" s="209">
        <v>0</v>
      </c>
      <c r="K664" s="209">
        <v>2</v>
      </c>
    </row>
    <row r="665" spans="1:11">
      <c r="A665" s="208">
        <v>42651</v>
      </c>
      <c r="B665" s="209" t="s">
        <v>511</v>
      </c>
      <c r="C665" s="209">
        <v>16</v>
      </c>
      <c r="D665" s="272" t="s">
        <v>479</v>
      </c>
      <c r="E665" s="209">
        <v>0</v>
      </c>
      <c r="F665" s="209">
        <v>0</v>
      </c>
      <c r="G665" s="209">
        <v>0</v>
      </c>
      <c r="H665" s="209">
        <v>0</v>
      </c>
      <c r="I665" s="209">
        <v>0</v>
      </c>
      <c r="J665" s="209">
        <v>0</v>
      </c>
      <c r="K665" s="209">
        <v>268</v>
      </c>
    </row>
    <row r="666" spans="1:11">
      <c r="A666" s="208">
        <v>42651</v>
      </c>
      <c r="B666" s="209" t="s">
        <v>511</v>
      </c>
      <c r="C666" s="209">
        <v>17</v>
      </c>
      <c r="D666" s="272" t="s">
        <v>480</v>
      </c>
      <c r="E666" s="209">
        <v>0</v>
      </c>
      <c r="F666" s="209">
        <v>1</v>
      </c>
      <c r="G666" s="209">
        <v>1</v>
      </c>
      <c r="H666" s="209">
        <v>0</v>
      </c>
      <c r="I666" s="209">
        <v>0</v>
      </c>
      <c r="J666" s="209">
        <v>0</v>
      </c>
      <c r="K666" s="209">
        <v>55</v>
      </c>
    </row>
    <row r="667" spans="1:11">
      <c r="A667" s="208">
        <v>42651</v>
      </c>
      <c r="B667" s="209" t="s">
        <v>511</v>
      </c>
      <c r="C667" s="209">
        <v>18</v>
      </c>
      <c r="D667" s="272" t="s">
        <v>508</v>
      </c>
      <c r="E667" s="209">
        <v>0</v>
      </c>
      <c r="F667" s="209">
        <v>4</v>
      </c>
      <c r="G667" s="209">
        <v>4</v>
      </c>
      <c r="H667" s="209">
        <v>0</v>
      </c>
      <c r="I667" s="209">
        <v>2</v>
      </c>
      <c r="J667" s="209">
        <v>2</v>
      </c>
      <c r="K667" s="209">
        <v>267</v>
      </c>
    </row>
    <row r="668" spans="1:11">
      <c r="A668" s="208">
        <v>42651</v>
      </c>
      <c r="B668" s="209" t="s">
        <v>511</v>
      </c>
      <c r="C668" s="209">
        <v>19</v>
      </c>
      <c r="D668" s="272" t="s">
        <v>468</v>
      </c>
      <c r="E668" s="209">
        <v>0</v>
      </c>
      <c r="F668" s="209">
        <v>0</v>
      </c>
      <c r="G668" s="209">
        <v>0</v>
      </c>
      <c r="H668" s="209">
        <v>0</v>
      </c>
      <c r="I668" s="209">
        <v>0</v>
      </c>
      <c r="J668" s="209">
        <v>0</v>
      </c>
      <c r="K668" s="209">
        <v>67</v>
      </c>
    </row>
    <row r="669" spans="1:11">
      <c r="A669" s="208">
        <v>42651</v>
      </c>
      <c r="B669" s="209" t="s">
        <v>511</v>
      </c>
      <c r="C669" s="209">
        <v>20</v>
      </c>
      <c r="D669" s="272" t="s">
        <v>489</v>
      </c>
      <c r="E669" s="209">
        <v>0</v>
      </c>
      <c r="F669" s="209">
        <v>1</v>
      </c>
      <c r="G669" s="209">
        <v>1</v>
      </c>
      <c r="H669" s="209">
        <v>0</v>
      </c>
      <c r="I669" s="209">
        <v>1</v>
      </c>
      <c r="J669" s="209">
        <v>1</v>
      </c>
      <c r="K669" s="209">
        <v>304</v>
      </c>
    </row>
    <row r="670" spans="1:11">
      <c r="A670" s="208">
        <v>42651</v>
      </c>
      <c r="B670" s="209" t="s">
        <v>511</v>
      </c>
      <c r="C670" s="209">
        <v>21</v>
      </c>
      <c r="D670" s="272" t="s">
        <v>469</v>
      </c>
      <c r="E670" s="209">
        <v>0</v>
      </c>
      <c r="F670" s="209">
        <v>0</v>
      </c>
      <c r="G670" s="209">
        <v>0</v>
      </c>
      <c r="H670" s="209">
        <v>0</v>
      </c>
      <c r="I670" s="209">
        <v>0</v>
      </c>
      <c r="J670" s="209">
        <v>0</v>
      </c>
      <c r="K670" s="209">
        <v>1078</v>
      </c>
    </row>
    <row r="671" spans="1:11">
      <c r="A671" s="208">
        <v>42651</v>
      </c>
      <c r="B671" s="209" t="s">
        <v>511</v>
      </c>
      <c r="C671" s="209">
        <v>22</v>
      </c>
      <c r="D671" s="272" t="s">
        <v>470</v>
      </c>
      <c r="E671" s="209">
        <v>0</v>
      </c>
      <c r="F671" s="209">
        <v>0</v>
      </c>
      <c r="G671" s="209">
        <v>0</v>
      </c>
      <c r="H671" s="209">
        <v>0</v>
      </c>
      <c r="I671" s="209">
        <v>0</v>
      </c>
      <c r="J671" s="209">
        <v>0</v>
      </c>
      <c r="K671" s="209">
        <v>421</v>
      </c>
    </row>
    <row r="672" spans="1:11">
      <c r="A672" s="208">
        <v>42651</v>
      </c>
      <c r="B672" s="209" t="s">
        <v>511</v>
      </c>
      <c r="C672" s="209">
        <v>23</v>
      </c>
      <c r="D672" s="272" t="s">
        <v>471</v>
      </c>
      <c r="E672" s="209">
        <v>0</v>
      </c>
      <c r="F672" s="209">
        <v>1</v>
      </c>
      <c r="G672" s="209">
        <v>1</v>
      </c>
      <c r="H672" s="209">
        <v>0</v>
      </c>
      <c r="I672" s="209">
        <v>0</v>
      </c>
      <c r="J672" s="209">
        <v>0</v>
      </c>
      <c r="K672" s="209">
        <v>79</v>
      </c>
    </row>
    <row r="673" spans="1:11">
      <c r="A673" s="208">
        <v>42651</v>
      </c>
      <c r="B673" s="209" t="s">
        <v>511</v>
      </c>
      <c r="C673" s="209">
        <v>24</v>
      </c>
      <c r="D673" s="272" t="s">
        <v>510</v>
      </c>
      <c r="E673" s="209">
        <v>0</v>
      </c>
      <c r="F673" s="209">
        <v>0</v>
      </c>
      <c r="G673" s="209">
        <v>0</v>
      </c>
      <c r="H673" s="209">
        <v>0</v>
      </c>
      <c r="I673" s="209">
        <v>0</v>
      </c>
      <c r="J673" s="209">
        <v>0</v>
      </c>
      <c r="K673" s="209">
        <v>173</v>
      </c>
    </row>
    <row r="674" spans="1:11">
      <c r="A674" s="208">
        <v>42651</v>
      </c>
      <c r="B674" s="209" t="s">
        <v>529</v>
      </c>
      <c r="C674" s="209">
        <v>1</v>
      </c>
      <c r="D674" s="272" t="s">
        <v>549</v>
      </c>
      <c r="E674" s="209">
        <v>0</v>
      </c>
      <c r="F674" s="209">
        <v>0</v>
      </c>
      <c r="G674" s="209">
        <v>0</v>
      </c>
      <c r="H674" s="209" t="s">
        <v>242</v>
      </c>
      <c r="I674" s="209" t="s">
        <v>242</v>
      </c>
      <c r="J674" s="209" t="s">
        <v>242</v>
      </c>
      <c r="K674" s="209">
        <v>0</v>
      </c>
    </row>
    <row r="675" spans="1:11">
      <c r="A675" s="208">
        <v>42651</v>
      </c>
      <c r="B675" s="209" t="s">
        <v>529</v>
      </c>
      <c r="C675" s="209">
        <v>2</v>
      </c>
      <c r="D675" s="272" t="s">
        <v>466</v>
      </c>
      <c r="E675" s="209">
        <v>1</v>
      </c>
      <c r="F675" s="209">
        <v>11</v>
      </c>
      <c r="G675" s="209">
        <v>11</v>
      </c>
      <c r="H675" s="209">
        <v>1</v>
      </c>
      <c r="I675" s="209">
        <v>4</v>
      </c>
      <c r="J675" s="209">
        <v>4</v>
      </c>
      <c r="K675" s="209">
        <v>1155</v>
      </c>
    </row>
    <row r="676" spans="1:11">
      <c r="A676" s="208">
        <v>42651</v>
      </c>
      <c r="B676" s="209" t="s">
        <v>529</v>
      </c>
      <c r="C676" s="209">
        <v>3</v>
      </c>
      <c r="D676" s="272" t="s">
        <v>508</v>
      </c>
      <c r="E676" s="209">
        <v>1</v>
      </c>
      <c r="F676" s="209">
        <v>3</v>
      </c>
      <c r="G676" s="209">
        <v>3</v>
      </c>
      <c r="H676" s="209">
        <v>1</v>
      </c>
      <c r="I676" s="209">
        <v>2</v>
      </c>
      <c r="J676" s="209">
        <v>2</v>
      </c>
      <c r="K676" s="209">
        <v>236</v>
      </c>
    </row>
    <row r="677" spans="1:11">
      <c r="A677" s="208">
        <v>42651</v>
      </c>
      <c r="B677" s="209" t="s">
        <v>529</v>
      </c>
      <c r="C677" s="209">
        <v>4</v>
      </c>
      <c r="D677" s="272" t="s">
        <v>484</v>
      </c>
      <c r="E677" s="209">
        <v>0</v>
      </c>
      <c r="F677" s="209">
        <v>2</v>
      </c>
      <c r="G677" s="209">
        <v>2</v>
      </c>
      <c r="H677" s="209">
        <v>0</v>
      </c>
      <c r="I677" s="209">
        <v>1</v>
      </c>
      <c r="J677" s="209">
        <v>1</v>
      </c>
      <c r="K677" s="209">
        <v>470</v>
      </c>
    </row>
    <row r="678" spans="1:11">
      <c r="A678" s="208">
        <v>42651</v>
      </c>
      <c r="B678" s="209" t="s">
        <v>529</v>
      </c>
      <c r="C678" s="209">
        <v>5</v>
      </c>
      <c r="D678" s="272" t="s">
        <v>462</v>
      </c>
      <c r="E678" s="209">
        <v>0</v>
      </c>
      <c r="F678" s="209">
        <v>0</v>
      </c>
      <c r="G678" s="209">
        <v>0</v>
      </c>
      <c r="H678" s="209">
        <v>0</v>
      </c>
      <c r="I678" s="209">
        <v>0</v>
      </c>
      <c r="J678" s="209">
        <v>0</v>
      </c>
      <c r="K678" s="209">
        <v>1420</v>
      </c>
    </row>
    <row r="679" spans="1:11">
      <c r="A679" s="208">
        <v>42651</v>
      </c>
      <c r="B679" s="209" t="s">
        <v>529</v>
      </c>
      <c r="C679" s="209">
        <v>6</v>
      </c>
      <c r="D679" s="272" t="s">
        <v>463</v>
      </c>
      <c r="E679" s="209">
        <v>0</v>
      </c>
      <c r="F679" s="209">
        <v>1</v>
      </c>
      <c r="G679" s="209">
        <v>1</v>
      </c>
      <c r="H679" s="209">
        <v>0</v>
      </c>
      <c r="I679" s="209">
        <v>1</v>
      </c>
      <c r="J679" s="209">
        <v>1</v>
      </c>
      <c r="K679" s="209">
        <v>2369</v>
      </c>
    </row>
    <row r="680" spans="1:11">
      <c r="A680" s="208">
        <v>42651</v>
      </c>
      <c r="B680" s="209" t="s">
        <v>529</v>
      </c>
      <c r="C680" s="209">
        <v>7</v>
      </c>
      <c r="D680" s="272" t="s">
        <v>464</v>
      </c>
      <c r="E680" s="209">
        <v>0</v>
      </c>
      <c r="F680" s="209">
        <v>1</v>
      </c>
      <c r="G680" s="209">
        <v>1</v>
      </c>
      <c r="H680" s="209">
        <v>0</v>
      </c>
      <c r="I680" s="209">
        <v>1</v>
      </c>
      <c r="J680" s="209">
        <v>1</v>
      </c>
      <c r="K680" s="209">
        <v>552</v>
      </c>
    </row>
    <row r="681" spans="1:11">
      <c r="A681" s="208">
        <v>42651</v>
      </c>
      <c r="B681" s="209" t="s">
        <v>529</v>
      </c>
      <c r="C681" s="209">
        <v>8</v>
      </c>
      <c r="D681" s="272" t="s">
        <v>504</v>
      </c>
      <c r="E681" s="209">
        <v>1</v>
      </c>
      <c r="F681" s="209">
        <v>12</v>
      </c>
      <c r="G681" s="209">
        <v>12</v>
      </c>
      <c r="H681" s="209">
        <v>0</v>
      </c>
      <c r="I681" s="209">
        <v>2</v>
      </c>
      <c r="J681" s="209">
        <v>2</v>
      </c>
      <c r="K681" s="209">
        <v>1354</v>
      </c>
    </row>
    <row r="682" spans="1:11">
      <c r="A682" s="208">
        <v>42651</v>
      </c>
      <c r="B682" s="209" t="s">
        <v>529</v>
      </c>
      <c r="C682" s="209">
        <v>9</v>
      </c>
      <c r="D682" s="272" t="s">
        <v>490</v>
      </c>
      <c r="E682" s="209">
        <v>1</v>
      </c>
      <c r="F682" s="209">
        <v>15</v>
      </c>
      <c r="G682" s="209">
        <v>15</v>
      </c>
      <c r="H682" s="209">
        <v>0</v>
      </c>
      <c r="I682" s="209">
        <v>7</v>
      </c>
      <c r="J682" s="209">
        <v>7</v>
      </c>
      <c r="K682" s="209">
        <v>331</v>
      </c>
    </row>
    <row r="683" spans="1:11">
      <c r="A683" s="208">
        <v>42651</v>
      </c>
      <c r="B683" s="209" t="s">
        <v>529</v>
      </c>
      <c r="C683" s="209">
        <v>10</v>
      </c>
      <c r="D683" s="272" t="s">
        <v>460</v>
      </c>
      <c r="E683" s="209">
        <v>0</v>
      </c>
      <c r="F683" s="209">
        <v>0</v>
      </c>
      <c r="G683" s="209">
        <v>0</v>
      </c>
      <c r="H683" s="209">
        <v>0</v>
      </c>
      <c r="I683" s="209">
        <v>0</v>
      </c>
      <c r="J683" s="209">
        <v>0</v>
      </c>
      <c r="K683" s="209">
        <v>200</v>
      </c>
    </row>
    <row r="684" spans="1:11">
      <c r="A684" s="208">
        <v>42651</v>
      </c>
      <c r="B684" s="209" t="s">
        <v>529</v>
      </c>
      <c r="C684" s="209">
        <v>11</v>
      </c>
      <c r="D684" s="272" t="s">
        <v>490</v>
      </c>
      <c r="E684" s="209">
        <v>1</v>
      </c>
      <c r="F684" s="209">
        <v>15</v>
      </c>
      <c r="G684" s="209">
        <v>15</v>
      </c>
      <c r="H684" s="209">
        <v>0</v>
      </c>
      <c r="I684" s="209">
        <v>7</v>
      </c>
      <c r="J684" s="209">
        <v>7</v>
      </c>
      <c r="K684" s="209">
        <v>331</v>
      </c>
    </row>
    <row r="685" spans="1:11">
      <c r="A685" s="208">
        <v>42651</v>
      </c>
      <c r="B685" s="209" t="s">
        <v>529</v>
      </c>
      <c r="C685" s="209">
        <v>12</v>
      </c>
      <c r="D685" s="272" t="s">
        <v>460</v>
      </c>
      <c r="E685" s="209">
        <v>0</v>
      </c>
      <c r="F685" s="209">
        <v>0</v>
      </c>
      <c r="G685" s="209">
        <v>0</v>
      </c>
      <c r="H685" s="209">
        <v>0</v>
      </c>
      <c r="I685" s="209">
        <v>0</v>
      </c>
      <c r="J685" s="209">
        <v>0</v>
      </c>
      <c r="K685" s="209">
        <v>200</v>
      </c>
    </row>
    <row r="686" spans="1:11">
      <c r="A686" s="208">
        <v>42651</v>
      </c>
      <c r="B686" s="209" t="s">
        <v>529</v>
      </c>
      <c r="C686" s="209">
        <v>13</v>
      </c>
      <c r="D686" s="272" t="s">
        <v>465</v>
      </c>
      <c r="E686" s="209">
        <v>0</v>
      </c>
      <c r="F686" s="209">
        <v>4</v>
      </c>
      <c r="G686" s="209">
        <v>4</v>
      </c>
      <c r="H686" s="209">
        <v>0</v>
      </c>
      <c r="I686" s="209">
        <v>3</v>
      </c>
      <c r="J686" s="209">
        <v>3</v>
      </c>
      <c r="K686" s="209">
        <v>187</v>
      </c>
    </row>
    <row r="687" spans="1:11">
      <c r="A687" s="208">
        <v>42651</v>
      </c>
      <c r="B687" s="209" t="s">
        <v>529</v>
      </c>
      <c r="C687" s="209">
        <v>14</v>
      </c>
      <c r="D687" s="272" t="s">
        <v>505</v>
      </c>
      <c r="E687" s="209">
        <v>0</v>
      </c>
      <c r="F687" s="209">
        <v>1</v>
      </c>
      <c r="G687" s="209">
        <v>1</v>
      </c>
      <c r="H687" s="209">
        <v>0</v>
      </c>
      <c r="I687" s="209">
        <v>0</v>
      </c>
      <c r="J687" s="209">
        <v>0</v>
      </c>
      <c r="K687" s="209">
        <v>1134</v>
      </c>
    </row>
    <row r="688" spans="1:11">
      <c r="A688" s="208">
        <v>42651</v>
      </c>
      <c r="B688" s="209" t="s">
        <v>529</v>
      </c>
      <c r="C688" s="209">
        <v>15</v>
      </c>
      <c r="D688" s="272" t="s">
        <v>467</v>
      </c>
      <c r="E688" s="209">
        <v>0</v>
      </c>
      <c r="F688" s="209">
        <v>0</v>
      </c>
      <c r="G688" s="209">
        <v>0</v>
      </c>
      <c r="H688" s="209">
        <v>0</v>
      </c>
      <c r="I688" s="209">
        <v>0</v>
      </c>
      <c r="J688" s="209">
        <v>0</v>
      </c>
      <c r="K688" s="209">
        <v>29</v>
      </c>
    </row>
    <row r="689" spans="1:11">
      <c r="A689" s="208">
        <v>42651</v>
      </c>
      <c r="B689" s="209" t="s">
        <v>529</v>
      </c>
      <c r="C689" s="209">
        <v>16</v>
      </c>
      <c r="D689" s="272" t="s">
        <v>472</v>
      </c>
      <c r="E689" s="209">
        <v>0</v>
      </c>
      <c r="F689" s="209">
        <v>0</v>
      </c>
      <c r="G689" s="209">
        <v>0</v>
      </c>
      <c r="H689" s="209">
        <v>0</v>
      </c>
      <c r="I689" s="209">
        <v>0</v>
      </c>
      <c r="J689" s="209">
        <v>0</v>
      </c>
      <c r="K689" s="209">
        <v>1</v>
      </c>
    </row>
    <row r="690" spans="1:11">
      <c r="A690" s="208">
        <v>42651</v>
      </c>
      <c r="B690" s="209" t="s">
        <v>529</v>
      </c>
      <c r="C690" s="209">
        <v>17</v>
      </c>
      <c r="D690" s="272" t="s">
        <v>507</v>
      </c>
      <c r="E690" s="209">
        <v>0</v>
      </c>
      <c r="F690" s="209">
        <v>3</v>
      </c>
      <c r="G690" s="209">
        <v>3</v>
      </c>
      <c r="H690" s="209">
        <v>0</v>
      </c>
      <c r="I690" s="209">
        <v>1</v>
      </c>
      <c r="J690" s="209">
        <v>1</v>
      </c>
      <c r="K690" s="209">
        <v>643</v>
      </c>
    </row>
    <row r="691" spans="1:11">
      <c r="A691" s="208">
        <v>42651</v>
      </c>
      <c r="B691" s="209" t="s">
        <v>529</v>
      </c>
      <c r="C691" s="209">
        <v>18</v>
      </c>
      <c r="D691" s="272" t="s">
        <v>479</v>
      </c>
      <c r="E691" s="209">
        <v>0</v>
      </c>
      <c r="F691" s="209">
        <v>1</v>
      </c>
      <c r="G691" s="209">
        <v>1</v>
      </c>
      <c r="H691" s="209">
        <v>0</v>
      </c>
      <c r="I691" s="209">
        <v>0</v>
      </c>
      <c r="J691" s="209">
        <v>0</v>
      </c>
      <c r="K691" s="209">
        <v>463</v>
      </c>
    </row>
    <row r="692" spans="1:11">
      <c r="A692" s="208">
        <v>42651</v>
      </c>
      <c r="B692" s="209" t="s">
        <v>529</v>
      </c>
      <c r="C692" s="209">
        <v>19</v>
      </c>
      <c r="D692" s="272" t="s">
        <v>480</v>
      </c>
      <c r="E692" s="209">
        <v>0</v>
      </c>
      <c r="F692" s="209">
        <v>0</v>
      </c>
      <c r="G692" s="209">
        <v>0</v>
      </c>
      <c r="H692" s="209">
        <v>0</v>
      </c>
      <c r="I692" s="209">
        <v>0</v>
      </c>
      <c r="J692" s="209">
        <v>0</v>
      </c>
      <c r="K692" s="209">
        <v>41</v>
      </c>
    </row>
    <row r="693" spans="1:11">
      <c r="A693" s="208">
        <v>42651</v>
      </c>
      <c r="B693" s="209" t="s">
        <v>529</v>
      </c>
      <c r="C693" s="209">
        <v>20</v>
      </c>
      <c r="D693" s="272" t="s">
        <v>468</v>
      </c>
      <c r="E693" s="209">
        <v>0</v>
      </c>
      <c r="F693" s="209">
        <v>0</v>
      </c>
      <c r="G693" s="209">
        <v>0</v>
      </c>
      <c r="H693" s="209">
        <v>0</v>
      </c>
      <c r="I693" s="209">
        <v>0</v>
      </c>
      <c r="J693" s="209">
        <v>0</v>
      </c>
      <c r="K693" s="209">
        <v>744</v>
      </c>
    </row>
    <row r="694" spans="1:11">
      <c r="A694" s="208">
        <v>42651</v>
      </c>
      <c r="B694" s="209" t="s">
        <v>529</v>
      </c>
      <c r="C694" s="209">
        <v>21</v>
      </c>
      <c r="D694" s="272" t="s">
        <v>489</v>
      </c>
      <c r="E694" s="209">
        <v>2</v>
      </c>
      <c r="F694" s="209">
        <v>29</v>
      </c>
      <c r="G694" s="209">
        <v>29</v>
      </c>
      <c r="H694" s="209">
        <v>0</v>
      </c>
      <c r="I694" s="209">
        <v>11</v>
      </c>
      <c r="J694" s="209">
        <v>11</v>
      </c>
      <c r="K694" s="209">
        <v>4748</v>
      </c>
    </row>
    <row r="695" spans="1:11">
      <c r="A695" s="208">
        <v>42651</v>
      </c>
      <c r="B695" s="209" t="s">
        <v>529</v>
      </c>
      <c r="C695" s="209">
        <v>22</v>
      </c>
      <c r="D695" s="272" t="s">
        <v>469</v>
      </c>
      <c r="E695" s="209">
        <v>0</v>
      </c>
      <c r="F695" s="209">
        <v>0</v>
      </c>
      <c r="G695" s="209">
        <v>0</v>
      </c>
      <c r="H695" s="209">
        <v>0</v>
      </c>
      <c r="I695" s="209">
        <v>0</v>
      </c>
      <c r="J695" s="209">
        <v>0</v>
      </c>
      <c r="K695" s="209">
        <v>1500</v>
      </c>
    </row>
    <row r="696" spans="1:11">
      <c r="A696" s="208">
        <v>42651</v>
      </c>
      <c r="B696" s="209" t="s">
        <v>529</v>
      </c>
      <c r="C696" s="209">
        <v>23</v>
      </c>
      <c r="D696" s="272" t="s">
        <v>470</v>
      </c>
      <c r="E696" s="209">
        <v>1</v>
      </c>
      <c r="F696" s="209">
        <v>3</v>
      </c>
      <c r="G696" s="209">
        <v>3</v>
      </c>
      <c r="H696" s="209">
        <v>0</v>
      </c>
      <c r="I696" s="209">
        <v>0</v>
      </c>
      <c r="J696" s="209">
        <v>0</v>
      </c>
      <c r="K696" s="209">
        <v>1388</v>
      </c>
    </row>
    <row r="697" spans="1:11">
      <c r="A697" s="208">
        <v>42651</v>
      </c>
      <c r="B697" s="209" t="s">
        <v>529</v>
      </c>
      <c r="C697" s="209">
        <v>24</v>
      </c>
      <c r="D697" s="272" t="s">
        <v>471</v>
      </c>
      <c r="E697" s="209">
        <v>0</v>
      </c>
      <c r="F697" s="209">
        <v>3</v>
      </c>
      <c r="G697" s="209">
        <v>3</v>
      </c>
      <c r="H697" s="209">
        <v>0</v>
      </c>
      <c r="I697" s="209">
        <v>0</v>
      </c>
      <c r="J697" s="209">
        <v>0</v>
      </c>
      <c r="K697" s="209">
        <v>745</v>
      </c>
    </row>
    <row r="698" spans="1:11">
      <c r="A698" s="208">
        <v>42651</v>
      </c>
      <c r="B698" s="209" t="s">
        <v>529</v>
      </c>
      <c r="C698" s="209">
        <v>25</v>
      </c>
      <c r="D698" s="272" t="s">
        <v>510</v>
      </c>
      <c r="E698" s="209">
        <v>0</v>
      </c>
      <c r="F698" s="209">
        <v>0</v>
      </c>
      <c r="G698" s="209">
        <v>0</v>
      </c>
      <c r="H698" s="209">
        <v>0</v>
      </c>
      <c r="I698" s="209">
        <v>0</v>
      </c>
      <c r="J698" s="209">
        <v>0</v>
      </c>
      <c r="K698" s="209">
        <v>114</v>
      </c>
    </row>
    <row r="699" spans="1:11">
      <c r="A699" s="208">
        <v>42651</v>
      </c>
      <c r="B699" s="209" t="s">
        <v>519</v>
      </c>
      <c r="C699" s="209">
        <v>1</v>
      </c>
      <c r="D699" s="272" t="s">
        <v>484</v>
      </c>
      <c r="E699" s="209">
        <v>0</v>
      </c>
      <c r="F699" s="209">
        <v>3</v>
      </c>
      <c r="G699" s="209">
        <v>3</v>
      </c>
      <c r="H699" s="209">
        <v>0</v>
      </c>
      <c r="I699" s="209">
        <v>2</v>
      </c>
      <c r="J699" s="209">
        <v>2</v>
      </c>
      <c r="K699" s="209">
        <v>241</v>
      </c>
    </row>
    <row r="700" spans="1:11">
      <c r="A700" s="208">
        <v>42651</v>
      </c>
      <c r="B700" s="209" t="s">
        <v>519</v>
      </c>
      <c r="C700" s="209">
        <v>2</v>
      </c>
      <c r="D700" s="272" t="s">
        <v>461</v>
      </c>
      <c r="E700" s="209">
        <v>0</v>
      </c>
      <c r="F700" s="209">
        <v>0</v>
      </c>
      <c r="G700" s="209">
        <v>0</v>
      </c>
      <c r="H700" s="209">
        <v>0</v>
      </c>
      <c r="I700" s="209">
        <v>0</v>
      </c>
      <c r="J700" s="209">
        <v>0</v>
      </c>
      <c r="K700" s="209">
        <v>1146</v>
      </c>
    </row>
    <row r="701" spans="1:11">
      <c r="A701" s="208">
        <v>42651</v>
      </c>
      <c r="B701" s="209" t="s">
        <v>519</v>
      </c>
      <c r="C701" s="209">
        <v>3</v>
      </c>
      <c r="D701" s="272" t="s">
        <v>487</v>
      </c>
      <c r="E701" s="209">
        <v>0</v>
      </c>
      <c r="F701" s="209">
        <v>2</v>
      </c>
      <c r="G701" s="209">
        <v>2</v>
      </c>
      <c r="H701" s="209">
        <v>0</v>
      </c>
      <c r="I701" s="209">
        <v>2</v>
      </c>
      <c r="J701" s="209">
        <v>2</v>
      </c>
      <c r="K701" s="209">
        <v>377</v>
      </c>
    </row>
    <row r="702" spans="1:11">
      <c r="A702" s="208">
        <v>42651</v>
      </c>
      <c r="B702" s="209" t="s">
        <v>519</v>
      </c>
      <c r="C702" s="209">
        <v>4</v>
      </c>
      <c r="D702" s="272" t="s">
        <v>462</v>
      </c>
      <c r="E702" s="209">
        <v>0</v>
      </c>
      <c r="F702" s="209">
        <v>0</v>
      </c>
      <c r="G702" s="209">
        <v>0</v>
      </c>
      <c r="H702" s="209">
        <v>0</v>
      </c>
      <c r="I702" s="209">
        <v>0</v>
      </c>
      <c r="J702" s="209">
        <v>0</v>
      </c>
      <c r="K702" s="209">
        <v>526</v>
      </c>
    </row>
    <row r="703" spans="1:11">
      <c r="A703" s="208">
        <v>42651</v>
      </c>
      <c r="B703" s="209" t="s">
        <v>519</v>
      </c>
      <c r="C703" s="209">
        <v>5</v>
      </c>
      <c r="D703" s="272" t="s">
        <v>463</v>
      </c>
      <c r="E703" s="209">
        <v>0</v>
      </c>
      <c r="F703" s="209">
        <v>0</v>
      </c>
      <c r="G703" s="209">
        <v>0</v>
      </c>
      <c r="H703" s="209">
        <v>0</v>
      </c>
      <c r="I703" s="209">
        <v>0</v>
      </c>
      <c r="J703" s="209">
        <v>0</v>
      </c>
      <c r="K703" s="209">
        <v>3535</v>
      </c>
    </row>
    <row r="704" spans="1:11">
      <c r="A704" s="208">
        <v>42651</v>
      </c>
      <c r="B704" s="209" t="s">
        <v>519</v>
      </c>
      <c r="C704" s="209">
        <v>6</v>
      </c>
      <c r="D704" s="272" t="s">
        <v>464</v>
      </c>
      <c r="E704" s="209">
        <v>0</v>
      </c>
      <c r="F704" s="209">
        <v>0</v>
      </c>
      <c r="G704" s="209">
        <v>0</v>
      </c>
      <c r="H704" s="209">
        <v>0</v>
      </c>
      <c r="I704" s="209">
        <v>0</v>
      </c>
      <c r="J704" s="209">
        <v>0</v>
      </c>
      <c r="K704" s="209">
        <v>135</v>
      </c>
    </row>
    <row r="705" spans="1:11">
      <c r="A705" s="208">
        <v>42651</v>
      </c>
      <c r="B705" s="209" t="s">
        <v>519</v>
      </c>
      <c r="C705" s="209">
        <v>7</v>
      </c>
      <c r="D705" s="272" t="s">
        <v>504</v>
      </c>
      <c r="E705" s="209">
        <v>0</v>
      </c>
      <c r="F705" s="209">
        <v>3</v>
      </c>
      <c r="G705" s="209">
        <v>3</v>
      </c>
      <c r="H705" s="209">
        <v>0</v>
      </c>
      <c r="I705" s="209">
        <v>3</v>
      </c>
      <c r="J705" s="209">
        <v>3</v>
      </c>
      <c r="K705" s="209">
        <v>1174</v>
      </c>
    </row>
    <row r="706" spans="1:11">
      <c r="A706" s="208">
        <v>42651</v>
      </c>
      <c r="B706" s="209" t="s">
        <v>519</v>
      </c>
      <c r="C706" s="209">
        <v>8</v>
      </c>
      <c r="D706" s="272" t="s">
        <v>490</v>
      </c>
      <c r="E706" s="209">
        <v>0</v>
      </c>
      <c r="F706" s="209">
        <v>10</v>
      </c>
      <c r="G706" s="209">
        <v>10</v>
      </c>
      <c r="H706" s="209">
        <v>0</v>
      </c>
      <c r="I706" s="209">
        <v>9</v>
      </c>
      <c r="J706" s="209">
        <v>9</v>
      </c>
      <c r="K706" s="209">
        <v>305</v>
      </c>
    </row>
    <row r="707" spans="1:11">
      <c r="A707" s="208">
        <v>42651</v>
      </c>
      <c r="B707" s="209" t="s">
        <v>519</v>
      </c>
      <c r="C707" s="209">
        <v>9</v>
      </c>
      <c r="D707" s="272" t="s">
        <v>460</v>
      </c>
      <c r="E707" s="209">
        <v>0</v>
      </c>
      <c r="F707" s="209">
        <v>6</v>
      </c>
      <c r="G707" s="209">
        <v>6</v>
      </c>
      <c r="H707" s="209">
        <v>0</v>
      </c>
      <c r="I707" s="209">
        <v>2</v>
      </c>
      <c r="J707" s="209">
        <v>2</v>
      </c>
      <c r="K707" s="209">
        <v>355</v>
      </c>
    </row>
    <row r="708" spans="1:11">
      <c r="A708" s="208">
        <v>42651</v>
      </c>
      <c r="B708" s="209" t="s">
        <v>519</v>
      </c>
      <c r="C708" s="209">
        <v>10</v>
      </c>
      <c r="D708" s="272" t="s">
        <v>465</v>
      </c>
      <c r="E708" s="209">
        <v>3</v>
      </c>
      <c r="F708" s="209">
        <v>21</v>
      </c>
      <c r="G708" s="209">
        <v>21</v>
      </c>
      <c r="H708" s="209">
        <v>0</v>
      </c>
      <c r="I708" s="209">
        <v>7</v>
      </c>
      <c r="J708" s="209">
        <v>7</v>
      </c>
      <c r="K708" s="209">
        <v>1272</v>
      </c>
    </row>
    <row r="709" spans="1:11">
      <c r="A709" s="208">
        <v>42651</v>
      </c>
      <c r="B709" s="209" t="s">
        <v>519</v>
      </c>
      <c r="C709" s="209">
        <v>11</v>
      </c>
      <c r="D709" s="272" t="s">
        <v>505</v>
      </c>
      <c r="E709" s="209">
        <v>0</v>
      </c>
      <c r="F709" s="209">
        <v>3</v>
      </c>
      <c r="G709" s="209">
        <v>3</v>
      </c>
      <c r="H709" s="209">
        <v>0</v>
      </c>
      <c r="I709" s="209">
        <v>1</v>
      </c>
      <c r="J709" s="209">
        <v>1</v>
      </c>
      <c r="K709" s="209">
        <v>932</v>
      </c>
    </row>
    <row r="710" spans="1:11">
      <c r="A710" s="208">
        <v>42651</v>
      </c>
      <c r="B710" s="209" t="s">
        <v>519</v>
      </c>
      <c r="C710" s="209">
        <v>12</v>
      </c>
      <c r="D710" s="272" t="s">
        <v>466</v>
      </c>
      <c r="E710" s="209">
        <v>0</v>
      </c>
      <c r="F710" s="209">
        <v>17</v>
      </c>
      <c r="G710" s="209">
        <v>17</v>
      </c>
      <c r="H710" s="209">
        <v>0</v>
      </c>
      <c r="I710" s="209">
        <v>4</v>
      </c>
      <c r="J710" s="209">
        <v>4</v>
      </c>
      <c r="K710" s="209">
        <v>903</v>
      </c>
    </row>
    <row r="711" spans="1:11">
      <c r="A711" s="208">
        <v>42651</v>
      </c>
      <c r="B711" s="209" t="s">
        <v>519</v>
      </c>
      <c r="C711" s="209">
        <v>13</v>
      </c>
      <c r="D711" s="272" t="s">
        <v>467</v>
      </c>
      <c r="E711" s="209">
        <v>0</v>
      </c>
      <c r="F711" s="209">
        <v>0</v>
      </c>
      <c r="G711" s="209">
        <v>0</v>
      </c>
      <c r="H711" s="209">
        <v>0</v>
      </c>
      <c r="I711" s="209">
        <v>0</v>
      </c>
      <c r="J711" s="209">
        <v>0</v>
      </c>
      <c r="K711" s="209">
        <v>262</v>
      </c>
    </row>
    <row r="712" spans="1:11">
      <c r="A712" s="208">
        <v>42651</v>
      </c>
      <c r="B712" s="209" t="s">
        <v>519</v>
      </c>
      <c r="C712" s="209">
        <v>14</v>
      </c>
      <c r="D712" s="272" t="s">
        <v>472</v>
      </c>
      <c r="E712" s="209">
        <v>0</v>
      </c>
      <c r="F712" s="209">
        <v>0</v>
      </c>
      <c r="G712" s="209">
        <v>0</v>
      </c>
      <c r="H712" s="209">
        <v>0</v>
      </c>
      <c r="I712" s="209">
        <v>0</v>
      </c>
      <c r="J712" s="209">
        <v>0</v>
      </c>
      <c r="K712" s="209">
        <v>5</v>
      </c>
    </row>
    <row r="713" spans="1:11">
      <c r="A713" s="208">
        <v>42651</v>
      </c>
      <c r="B713" s="209" t="s">
        <v>519</v>
      </c>
      <c r="C713" s="209">
        <v>15</v>
      </c>
      <c r="D713" s="272" t="s">
        <v>479</v>
      </c>
      <c r="E713" s="209">
        <v>0</v>
      </c>
      <c r="F713" s="209">
        <v>0</v>
      </c>
      <c r="G713" s="209">
        <v>0</v>
      </c>
      <c r="H713" s="209">
        <v>0</v>
      </c>
      <c r="I713" s="209">
        <v>0</v>
      </c>
      <c r="J713" s="209">
        <v>0</v>
      </c>
      <c r="K713" s="209">
        <v>703</v>
      </c>
    </row>
    <row r="714" spans="1:11">
      <c r="A714" s="208">
        <v>42651</v>
      </c>
      <c r="B714" s="209" t="s">
        <v>519</v>
      </c>
      <c r="C714" s="209">
        <v>16</v>
      </c>
      <c r="D714" s="272" t="s">
        <v>480</v>
      </c>
      <c r="E714" s="209">
        <v>0</v>
      </c>
      <c r="F714" s="209">
        <v>2</v>
      </c>
      <c r="G714" s="209">
        <v>2</v>
      </c>
      <c r="H714" s="209">
        <v>0</v>
      </c>
      <c r="I714" s="209">
        <v>2</v>
      </c>
      <c r="J714" s="209">
        <v>2</v>
      </c>
      <c r="K714" s="209">
        <v>549</v>
      </c>
    </row>
    <row r="715" spans="1:11">
      <c r="A715" s="208">
        <v>42651</v>
      </c>
      <c r="B715" s="209" t="s">
        <v>519</v>
      </c>
      <c r="C715" s="209">
        <v>17</v>
      </c>
      <c r="D715" s="272" t="s">
        <v>508</v>
      </c>
      <c r="E715" s="209">
        <v>0</v>
      </c>
      <c r="F715" s="209">
        <v>2</v>
      </c>
      <c r="G715" s="209">
        <v>2</v>
      </c>
      <c r="H715" s="209">
        <v>0</v>
      </c>
      <c r="I715" s="209">
        <v>1</v>
      </c>
      <c r="J715" s="209">
        <v>1</v>
      </c>
      <c r="K715" s="209">
        <v>191</v>
      </c>
    </row>
    <row r="716" spans="1:11">
      <c r="A716" s="208">
        <v>42651</v>
      </c>
      <c r="B716" s="209" t="s">
        <v>519</v>
      </c>
      <c r="C716" s="209">
        <v>18</v>
      </c>
      <c r="D716" s="272" t="s">
        <v>468</v>
      </c>
      <c r="E716" s="209">
        <v>0</v>
      </c>
      <c r="F716" s="209">
        <v>0</v>
      </c>
      <c r="G716" s="209">
        <v>0</v>
      </c>
      <c r="H716" s="209">
        <v>0</v>
      </c>
      <c r="I716" s="209">
        <v>0</v>
      </c>
      <c r="J716" s="209">
        <v>0</v>
      </c>
      <c r="K716" s="209">
        <v>288</v>
      </c>
    </row>
    <row r="717" spans="1:11">
      <c r="A717" s="208">
        <v>42651</v>
      </c>
      <c r="B717" s="209" t="s">
        <v>519</v>
      </c>
      <c r="C717" s="209">
        <v>19</v>
      </c>
      <c r="D717" s="272" t="s">
        <v>489</v>
      </c>
      <c r="E717" s="209">
        <v>0</v>
      </c>
      <c r="F717" s="209">
        <v>3</v>
      </c>
      <c r="G717" s="209">
        <v>3</v>
      </c>
      <c r="H717" s="209">
        <v>0</v>
      </c>
      <c r="I717" s="209">
        <v>0</v>
      </c>
      <c r="J717" s="209">
        <v>0</v>
      </c>
      <c r="K717" s="209">
        <v>830</v>
      </c>
    </row>
    <row r="718" spans="1:11">
      <c r="A718" s="208">
        <v>42651</v>
      </c>
      <c r="B718" s="209" t="s">
        <v>519</v>
      </c>
      <c r="C718" s="209">
        <v>20</v>
      </c>
      <c r="D718" s="272" t="s">
        <v>469</v>
      </c>
      <c r="E718" s="209">
        <v>0</v>
      </c>
      <c r="F718" s="209">
        <v>0</v>
      </c>
      <c r="G718" s="209">
        <v>0</v>
      </c>
      <c r="H718" s="209">
        <v>0</v>
      </c>
      <c r="I718" s="209">
        <v>0</v>
      </c>
      <c r="J718" s="209">
        <v>0</v>
      </c>
      <c r="K718" s="209">
        <v>877</v>
      </c>
    </row>
    <row r="719" spans="1:11">
      <c r="A719" s="208">
        <v>42651</v>
      </c>
      <c r="B719" s="209" t="s">
        <v>519</v>
      </c>
      <c r="C719" s="209">
        <v>21</v>
      </c>
      <c r="D719" s="272" t="s">
        <v>470</v>
      </c>
      <c r="E719" s="209">
        <v>0</v>
      </c>
      <c r="F719" s="209">
        <v>1</v>
      </c>
      <c r="G719" s="209">
        <v>1</v>
      </c>
      <c r="H719" s="209">
        <v>0</v>
      </c>
      <c r="I719" s="209">
        <v>1</v>
      </c>
      <c r="J719" s="209">
        <v>1</v>
      </c>
      <c r="K719" s="209">
        <v>528</v>
      </c>
    </row>
    <row r="720" spans="1:11">
      <c r="A720" s="208">
        <v>42651</v>
      </c>
      <c r="B720" s="209" t="s">
        <v>519</v>
      </c>
      <c r="C720" s="209">
        <v>22</v>
      </c>
      <c r="D720" s="272" t="s">
        <v>471</v>
      </c>
      <c r="E720" s="209">
        <v>0</v>
      </c>
      <c r="F720" s="209">
        <v>0</v>
      </c>
      <c r="G720" s="209">
        <v>0</v>
      </c>
      <c r="H720" s="209">
        <v>0</v>
      </c>
      <c r="I720" s="209">
        <v>0</v>
      </c>
      <c r="J720" s="209">
        <v>0</v>
      </c>
      <c r="K720" s="209">
        <v>172</v>
      </c>
    </row>
    <row r="721" spans="1:11">
      <c r="A721" s="208">
        <v>42651</v>
      </c>
      <c r="B721" s="209" t="s">
        <v>519</v>
      </c>
      <c r="C721" s="209">
        <v>23</v>
      </c>
      <c r="D721" s="272" t="s">
        <v>510</v>
      </c>
      <c r="E721" s="209">
        <v>0</v>
      </c>
      <c r="F721" s="209">
        <v>3</v>
      </c>
      <c r="G721" s="209">
        <v>3</v>
      </c>
      <c r="H721" s="209">
        <v>0</v>
      </c>
      <c r="I721" s="209">
        <v>3</v>
      </c>
      <c r="J721" s="209">
        <v>3</v>
      </c>
      <c r="K721" s="209">
        <v>261</v>
      </c>
    </row>
    <row r="722" spans="1:11">
      <c r="A722" s="208">
        <v>42651</v>
      </c>
      <c r="B722" s="209" t="s">
        <v>491</v>
      </c>
      <c r="C722" s="209">
        <v>1</v>
      </c>
      <c r="D722" s="272" t="s">
        <v>465</v>
      </c>
      <c r="E722" s="209">
        <v>1</v>
      </c>
      <c r="F722" s="209">
        <v>4</v>
      </c>
      <c r="G722" s="209">
        <v>4</v>
      </c>
      <c r="H722" s="209">
        <v>1</v>
      </c>
      <c r="I722" s="209">
        <v>3</v>
      </c>
      <c r="J722" s="209">
        <v>3</v>
      </c>
      <c r="K722" s="209">
        <v>421</v>
      </c>
    </row>
    <row r="723" spans="1:11">
      <c r="A723" s="208">
        <v>42651</v>
      </c>
      <c r="B723" s="209" t="s">
        <v>491</v>
      </c>
      <c r="C723" s="209">
        <v>2</v>
      </c>
      <c r="D723" s="272" t="s">
        <v>484</v>
      </c>
      <c r="E723" s="209">
        <v>0</v>
      </c>
      <c r="F723" s="209">
        <v>0</v>
      </c>
      <c r="G723" s="209">
        <v>0</v>
      </c>
      <c r="H723" s="209">
        <v>0</v>
      </c>
      <c r="I723" s="209">
        <v>0</v>
      </c>
      <c r="J723" s="209">
        <v>0</v>
      </c>
      <c r="K723" s="209">
        <v>86</v>
      </c>
    </row>
    <row r="724" spans="1:11">
      <c r="A724" s="208">
        <v>42651</v>
      </c>
      <c r="B724" s="209" t="s">
        <v>491</v>
      </c>
      <c r="C724" s="209">
        <v>3</v>
      </c>
      <c r="D724" s="272" t="s">
        <v>461</v>
      </c>
      <c r="E724" s="209">
        <v>0</v>
      </c>
      <c r="F724" s="209">
        <v>0</v>
      </c>
      <c r="G724" s="209">
        <v>0</v>
      </c>
      <c r="H724" s="209">
        <v>0</v>
      </c>
      <c r="I724" s="209">
        <v>0</v>
      </c>
      <c r="J724" s="209">
        <v>0</v>
      </c>
      <c r="K724" s="209">
        <v>1327</v>
      </c>
    </row>
    <row r="725" spans="1:11">
      <c r="A725" s="208">
        <v>42651</v>
      </c>
      <c r="B725" s="209" t="s">
        <v>491</v>
      </c>
      <c r="C725" s="209">
        <v>4</v>
      </c>
      <c r="D725" s="272" t="s">
        <v>487</v>
      </c>
      <c r="E725" s="209">
        <v>0</v>
      </c>
      <c r="F725" s="209">
        <v>0</v>
      </c>
      <c r="G725" s="209">
        <v>0</v>
      </c>
      <c r="H725" s="209">
        <v>0</v>
      </c>
      <c r="I725" s="209">
        <v>0</v>
      </c>
      <c r="J725" s="209">
        <v>0</v>
      </c>
      <c r="K725" s="209">
        <v>413</v>
      </c>
    </row>
    <row r="726" spans="1:11">
      <c r="A726" s="208">
        <v>42651</v>
      </c>
      <c r="B726" s="209" t="s">
        <v>491</v>
      </c>
      <c r="C726" s="209">
        <v>5</v>
      </c>
      <c r="D726" s="272" t="s">
        <v>462</v>
      </c>
      <c r="E726" s="209">
        <v>0</v>
      </c>
      <c r="F726" s="209">
        <v>0</v>
      </c>
      <c r="G726" s="209">
        <v>0</v>
      </c>
      <c r="H726" s="209">
        <v>0</v>
      </c>
      <c r="I726" s="209">
        <v>0</v>
      </c>
      <c r="J726" s="209">
        <v>0</v>
      </c>
      <c r="K726" s="209">
        <v>101</v>
      </c>
    </row>
    <row r="727" spans="1:11">
      <c r="A727" s="208">
        <v>42651</v>
      </c>
      <c r="B727" s="209" t="s">
        <v>491</v>
      </c>
      <c r="C727" s="209">
        <v>6</v>
      </c>
      <c r="D727" s="272" t="s">
        <v>463</v>
      </c>
      <c r="E727" s="209">
        <v>0</v>
      </c>
      <c r="F727" s="209">
        <v>2</v>
      </c>
      <c r="G727" s="209">
        <v>2</v>
      </c>
      <c r="H727" s="209">
        <v>0</v>
      </c>
      <c r="I727" s="209">
        <v>1</v>
      </c>
      <c r="J727" s="209">
        <v>1</v>
      </c>
      <c r="K727" s="209">
        <v>2508</v>
      </c>
    </row>
    <row r="728" spans="1:11">
      <c r="A728" s="208">
        <v>42651</v>
      </c>
      <c r="B728" s="209" t="s">
        <v>491</v>
      </c>
      <c r="C728" s="209">
        <v>7</v>
      </c>
      <c r="D728" s="272" t="s">
        <v>464</v>
      </c>
      <c r="E728" s="209">
        <v>0</v>
      </c>
      <c r="F728" s="209">
        <v>0</v>
      </c>
      <c r="G728" s="209">
        <v>0</v>
      </c>
      <c r="H728" s="209">
        <v>0</v>
      </c>
      <c r="I728" s="209">
        <v>0</v>
      </c>
      <c r="J728" s="209">
        <v>0</v>
      </c>
      <c r="K728" s="209">
        <v>113</v>
      </c>
    </row>
    <row r="729" spans="1:11">
      <c r="A729" s="208">
        <v>42651</v>
      </c>
      <c r="B729" s="209" t="s">
        <v>491</v>
      </c>
      <c r="C729" s="209">
        <v>8</v>
      </c>
      <c r="D729" s="272" t="s">
        <v>504</v>
      </c>
      <c r="E729" s="209">
        <v>0</v>
      </c>
      <c r="F729" s="209">
        <v>3</v>
      </c>
      <c r="G729" s="209">
        <v>3</v>
      </c>
      <c r="H729" s="209">
        <v>0</v>
      </c>
      <c r="I729" s="209">
        <v>0</v>
      </c>
      <c r="J729" s="209">
        <v>0</v>
      </c>
      <c r="K729" s="209">
        <v>1161</v>
      </c>
    </row>
    <row r="730" spans="1:11">
      <c r="A730" s="208">
        <v>42651</v>
      </c>
      <c r="B730" s="209" t="s">
        <v>491</v>
      </c>
      <c r="C730" s="209">
        <v>9</v>
      </c>
      <c r="D730" s="272" t="s">
        <v>490</v>
      </c>
      <c r="E730" s="209">
        <v>0</v>
      </c>
      <c r="F730" s="209">
        <v>0</v>
      </c>
      <c r="G730" s="209">
        <v>0</v>
      </c>
      <c r="H730" s="209">
        <v>0</v>
      </c>
      <c r="I730" s="209">
        <v>0</v>
      </c>
      <c r="J730" s="209">
        <v>0</v>
      </c>
      <c r="K730" s="209">
        <v>2</v>
      </c>
    </row>
    <row r="731" spans="1:11">
      <c r="A731" s="208">
        <v>42651</v>
      </c>
      <c r="B731" s="209" t="s">
        <v>491</v>
      </c>
      <c r="C731" s="209">
        <v>10</v>
      </c>
      <c r="D731" s="272" t="s">
        <v>460</v>
      </c>
      <c r="E731" s="209">
        <v>2</v>
      </c>
      <c r="F731" s="209">
        <v>9</v>
      </c>
      <c r="G731" s="209">
        <v>9</v>
      </c>
      <c r="H731" s="209">
        <v>0</v>
      </c>
      <c r="I731" s="209">
        <v>0</v>
      </c>
      <c r="J731" s="209">
        <v>0</v>
      </c>
      <c r="K731" s="209">
        <v>658</v>
      </c>
    </row>
    <row r="732" spans="1:11">
      <c r="A732" s="208">
        <v>42651</v>
      </c>
      <c r="B732" s="209" t="s">
        <v>491</v>
      </c>
      <c r="C732" s="209">
        <v>11</v>
      </c>
      <c r="D732" s="272" t="s">
        <v>505</v>
      </c>
      <c r="E732" s="209">
        <v>0</v>
      </c>
      <c r="F732" s="209">
        <v>4</v>
      </c>
      <c r="G732" s="209">
        <v>4</v>
      </c>
      <c r="H732" s="209">
        <v>0</v>
      </c>
      <c r="I732" s="209">
        <v>2</v>
      </c>
      <c r="J732" s="209">
        <v>2</v>
      </c>
      <c r="K732" s="209">
        <v>922</v>
      </c>
    </row>
    <row r="733" spans="1:11">
      <c r="A733" s="208">
        <v>42651</v>
      </c>
      <c r="B733" s="209" t="s">
        <v>491</v>
      </c>
      <c r="C733" s="209">
        <v>12</v>
      </c>
      <c r="D733" s="272" t="s">
        <v>506</v>
      </c>
      <c r="E733" s="209">
        <v>0</v>
      </c>
      <c r="F733" s="209">
        <v>0</v>
      </c>
      <c r="G733" s="209">
        <v>0</v>
      </c>
      <c r="H733" s="209">
        <v>0</v>
      </c>
      <c r="I733" s="209">
        <v>0</v>
      </c>
      <c r="J733" s="209">
        <v>0</v>
      </c>
      <c r="K733" s="209">
        <v>2</v>
      </c>
    </row>
    <row r="734" spans="1:11">
      <c r="A734" s="208">
        <v>42651</v>
      </c>
      <c r="B734" s="209" t="s">
        <v>491</v>
      </c>
      <c r="C734" s="209">
        <v>13</v>
      </c>
      <c r="D734" s="272" t="s">
        <v>466</v>
      </c>
      <c r="E734" s="209">
        <v>0</v>
      </c>
      <c r="F734" s="209">
        <v>6</v>
      </c>
      <c r="G734" s="209">
        <v>6</v>
      </c>
      <c r="H734" s="209">
        <v>0</v>
      </c>
      <c r="I734" s="209">
        <v>2</v>
      </c>
      <c r="J734" s="209">
        <v>2</v>
      </c>
      <c r="K734" s="209">
        <v>560</v>
      </c>
    </row>
    <row r="735" spans="1:11">
      <c r="A735" s="208">
        <v>42651</v>
      </c>
      <c r="B735" s="209" t="s">
        <v>491</v>
      </c>
      <c r="C735" s="209">
        <v>14</v>
      </c>
      <c r="D735" s="272" t="s">
        <v>467</v>
      </c>
      <c r="E735" s="209">
        <v>0</v>
      </c>
      <c r="F735" s="209">
        <v>3</v>
      </c>
      <c r="G735" s="209">
        <v>3</v>
      </c>
      <c r="H735" s="209">
        <v>0</v>
      </c>
      <c r="I735" s="209">
        <v>1</v>
      </c>
      <c r="J735" s="209">
        <v>1</v>
      </c>
      <c r="K735" s="209">
        <v>467</v>
      </c>
    </row>
    <row r="736" spans="1:11">
      <c r="A736" s="208">
        <v>42651</v>
      </c>
      <c r="B736" s="209" t="s">
        <v>491</v>
      </c>
      <c r="C736" s="209">
        <v>15</v>
      </c>
      <c r="D736" s="272" t="s">
        <v>472</v>
      </c>
      <c r="E736" s="209">
        <v>0</v>
      </c>
      <c r="F736" s="209">
        <v>0</v>
      </c>
      <c r="G736" s="209">
        <v>0</v>
      </c>
      <c r="H736" s="209">
        <v>0</v>
      </c>
      <c r="I736" s="209">
        <v>0</v>
      </c>
      <c r="J736" s="209">
        <v>0</v>
      </c>
      <c r="K736" s="209">
        <v>8</v>
      </c>
    </row>
    <row r="737" spans="1:11">
      <c r="A737" s="208">
        <v>42651</v>
      </c>
      <c r="B737" s="209" t="s">
        <v>491</v>
      </c>
      <c r="C737" s="209">
        <v>16</v>
      </c>
      <c r="D737" s="272" t="s">
        <v>507</v>
      </c>
      <c r="E737" s="209">
        <v>0</v>
      </c>
      <c r="F737" s="209">
        <v>0</v>
      </c>
      <c r="G737" s="209">
        <v>0</v>
      </c>
      <c r="H737" s="209">
        <v>0</v>
      </c>
      <c r="I737" s="209">
        <v>0</v>
      </c>
      <c r="J737" s="209">
        <v>0</v>
      </c>
      <c r="K737" s="209">
        <v>6</v>
      </c>
    </row>
    <row r="738" spans="1:11">
      <c r="A738" s="208">
        <v>42651</v>
      </c>
      <c r="B738" s="209" t="s">
        <v>491</v>
      </c>
      <c r="C738" s="209">
        <v>17</v>
      </c>
      <c r="D738" s="272" t="s">
        <v>479</v>
      </c>
      <c r="E738" s="209">
        <v>0</v>
      </c>
      <c r="F738" s="209">
        <v>0</v>
      </c>
      <c r="G738" s="209">
        <v>0</v>
      </c>
      <c r="H738" s="209">
        <v>0</v>
      </c>
      <c r="I738" s="209">
        <v>0</v>
      </c>
      <c r="J738" s="209">
        <v>0</v>
      </c>
      <c r="K738" s="209">
        <v>181</v>
      </c>
    </row>
    <row r="739" spans="1:11">
      <c r="A739" s="208">
        <v>42651</v>
      </c>
      <c r="B739" s="209" t="s">
        <v>491</v>
      </c>
      <c r="C739" s="209">
        <v>18</v>
      </c>
      <c r="D739" s="272" t="s">
        <v>480</v>
      </c>
      <c r="E739" s="209">
        <v>0</v>
      </c>
      <c r="F739" s="209">
        <v>0</v>
      </c>
      <c r="G739" s="209">
        <v>0</v>
      </c>
      <c r="H739" s="209">
        <v>0</v>
      </c>
      <c r="I739" s="209">
        <v>0</v>
      </c>
      <c r="J739" s="209">
        <v>0</v>
      </c>
      <c r="K739" s="209">
        <v>25</v>
      </c>
    </row>
    <row r="740" spans="1:11">
      <c r="A740" s="208">
        <v>42651</v>
      </c>
      <c r="B740" s="209" t="s">
        <v>491</v>
      </c>
      <c r="C740" s="209">
        <v>19</v>
      </c>
      <c r="D740" s="272" t="s">
        <v>508</v>
      </c>
      <c r="E740" s="209">
        <v>0</v>
      </c>
      <c r="F740" s="209">
        <v>3</v>
      </c>
      <c r="G740" s="209">
        <v>3</v>
      </c>
      <c r="H740" s="209">
        <v>0</v>
      </c>
      <c r="I740" s="209">
        <v>1</v>
      </c>
      <c r="J740" s="209">
        <v>1</v>
      </c>
      <c r="K740" s="209">
        <v>258</v>
      </c>
    </row>
    <row r="741" spans="1:11">
      <c r="A741" s="208">
        <v>42651</v>
      </c>
      <c r="B741" s="209" t="s">
        <v>491</v>
      </c>
      <c r="C741" s="209">
        <v>20</v>
      </c>
      <c r="D741" s="272" t="s">
        <v>468</v>
      </c>
      <c r="E741" s="209">
        <v>0</v>
      </c>
      <c r="F741" s="209">
        <v>0</v>
      </c>
      <c r="G741" s="209">
        <v>0</v>
      </c>
      <c r="H741" s="209">
        <v>0</v>
      </c>
      <c r="I741" s="209">
        <v>0</v>
      </c>
      <c r="J741" s="209">
        <v>0</v>
      </c>
      <c r="K741" s="209">
        <v>9</v>
      </c>
    </row>
    <row r="742" spans="1:11">
      <c r="A742" s="208">
        <v>42651</v>
      </c>
      <c r="B742" s="209" t="s">
        <v>491</v>
      </c>
      <c r="C742" s="209">
        <v>21</v>
      </c>
      <c r="D742" s="272" t="s">
        <v>489</v>
      </c>
      <c r="E742" s="209">
        <v>0</v>
      </c>
      <c r="F742" s="209">
        <v>0</v>
      </c>
      <c r="G742" s="209">
        <v>0</v>
      </c>
      <c r="H742" s="209">
        <v>0</v>
      </c>
      <c r="I742" s="209">
        <v>0</v>
      </c>
      <c r="J742" s="209">
        <v>0</v>
      </c>
      <c r="K742" s="209">
        <v>334</v>
      </c>
    </row>
    <row r="743" spans="1:11">
      <c r="A743" s="208">
        <v>42651</v>
      </c>
      <c r="B743" s="209" t="s">
        <v>491</v>
      </c>
      <c r="C743" s="209">
        <v>22</v>
      </c>
      <c r="D743" s="272" t="s">
        <v>469</v>
      </c>
      <c r="E743" s="209">
        <v>0</v>
      </c>
      <c r="F743" s="209">
        <v>0</v>
      </c>
      <c r="G743" s="209">
        <v>0</v>
      </c>
      <c r="H743" s="209">
        <v>0</v>
      </c>
      <c r="I743" s="209">
        <v>0</v>
      </c>
      <c r="J743" s="209">
        <v>0</v>
      </c>
      <c r="K743" s="209">
        <v>223</v>
      </c>
    </row>
    <row r="744" spans="1:11">
      <c r="A744" s="208">
        <v>42651</v>
      </c>
      <c r="B744" s="209" t="s">
        <v>491</v>
      </c>
      <c r="C744" s="209">
        <v>23</v>
      </c>
      <c r="D744" s="272" t="s">
        <v>470</v>
      </c>
      <c r="E744" s="209">
        <v>0</v>
      </c>
      <c r="F744" s="209">
        <v>0</v>
      </c>
      <c r="G744" s="209">
        <v>0</v>
      </c>
      <c r="H744" s="209">
        <v>0</v>
      </c>
      <c r="I744" s="209">
        <v>0</v>
      </c>
      <c r="J744" s="209">
        <v>0</v>
      </c>
      <c r="K744" s="209">
        <v>255</v>
      </c>
    </row>
    <row r="745" spans="1:11">
      <c r="A745" s="208">
        <v>42651</v>
      </c>
      <c r="B745" s="209" t="s">
        <v>491</v>
      </c>
      <c r="C745" s="209">
        <v>24</v>
      </c>
      <c r="D745" s="272" t="s">
        <v>509</v>
      </c>
      <c r="E745" s="209">
        <v>0</v>
      </c>
      <c r="F745" s="209">
        <v>0</v>
      </c>
      <c r="G745" s="209">
        <v>0</v>
      </c>
      <c r="H745" s="209">
        <v>0</v>
      </c>
      <c r="I745" s="209">
        <v>0</v>
      </c>
      <c r="J745" s="209">
        <v>0</v>
      </c>
      <c r="K745" s="209">
        <v>2</v>
      </c>
    </row>
    <row r="746" spans="1:11">
      <c r="A746" s="208">
        <v>42651</v>
      </c>
      <c r="B746" s="209" t="s">
        <v>491</v>
      </c>
      <c r="C746" s="209">
        <v>25</v>
      </c>
      <c r="D746" s="272" t="s">
        <v>471</v>
      </c>
      <c r="E746" s="209">
        <v>0</v>
      </c>
      <c r="F746" s="209">
        <v>0</v>
      </c>
      <c r="G746" s="209">
        <v>0</v>
      </c>
      <c r="H746" s="209">
        <v>0</v>
      </c>
      <c r="I746" s="209">
        <v>0</v>
      </c>
      <c r="J746" s="209">
        <v>0</v>
      </c>
      <c r="K746" s="209">
        <v>16</v>
      </c>
    </row>
    <row r="747" spans="1:11">
      <c r="A747" s="208">
        <v>42651</v>
      </c>
      <c r="B747" s="209" t="s">
        <v>491</v>
      </c>
      <c r="C747" s="209">
        <v>26</v>
      </c>
      <c r="D747" s="272" t="s">
        <v>510</v>
      </c>
      <c r="E747" s="209">
        <v>0</v>
      </c>
      <c r="F747" s="209">
        <v>1</v>
      </c>
      <c r="G747" s="209">
        <v>1</v>
      </c>
      <c r="H747" s="209">
        <v>0</v>
      </c>
      <c r="I747" s="209">
        <v>1</v>
      </c>
      <c r="J747" s="209">
        <v>1</v>
      </c>
      <c r="K747" s="209">
        <v>171</v>
      </c>
    </row>
    <row r="748" spans="1:11">
      <c r="A748" s="208">
        <v>42652</v>
      </c>
      <c r="B748" s="209" t="s">
        <v>511</v>
      </c>
      <c r="C748" s="209">
        <v>1</v>
      </c>
      <c r="D748" s="272" t="s">
        <v>504</v>
      </c>
      <c r="E748" s="209">
        <v>2</v>
      </c>
      <c r="F748" s="209">
        <v>8</v>
      </c>
      <c r="G748" s="209">
        <v>8</v>
      </c>
      <c r="H748" s="209">
        <v>1</v>
      </c>
      <c r="I748" s="209">
        <v>4</v>
      </c>
      <c r="J748" s="209">
        <v>4</v>
      </c>
      <c r="K748" s="209">
        <v>1196</v>
      </c>
    </row>
    <row r="749" spans="1:11">
      <c r="A749" s="208">
        <v>42652</v>
      </c>
      <c r="B749" s="209" t="s">
        <v>511</v>
      </c>
      <c r="C749" s="209">
        <v>2</v>
      </c>
      <c r="D749" s="272" t="s">
        <v>508</v>
      </c>
      <c r="E749" s="209">
        <v>1</v>
      </c>
      <c r="F749" s="209">
        <v>6</v>
      </c>
      <c r="G749" s="209">
        <v>6</v>
      </c>
      <c r="H749" s="209">
        <v>1</v>
      </c>
      <c r="I749" s="209">
        <v>3</v>
      </c>
      <c r="J749" s="209">
        <v>3</v>
      </c>
      <c r="K749" s="209">
        <v>287</v>
      </c>
    </row>
    <row r="750" spans="1:11">
      <c r="A750" s="208">
        <v>42652</v>
      </c>
      <c r="B750" s="209" t="s">
        <v>511</v>
      </c>
      <c r="C750" s="209">
        <v>3</v>
      </c>
      <c r="D750" s="272" t="s">
        <v>466</v>
      </c>
      <c r="E750" s="209">
        <v>1</v>
      </c>
      <c r="F750" s="209">
        <v>18</v>
      </c>
      <c r="G750" s="209">
        <v>18</v>
      </c>
      <c r="H750" s="209">
        <v>1</v>
      </c>
      <c r="I750" s="209">
        <v>6</v>
      </c>
      <c r="J750" s="209">
        <v>6</v>
      </c>
      <c r="K750" s="209">
        <v>1132</v>
      </c>
    </row>
    <row r="751" spans="1:11">
      <c r="A751" s="208">
        <v>42652</v>
      </c>
      <c r="B751" s="209" t="s">
        <v>511</v>
      </c>
      <c r="C751" s="209">
        <v>4</v>
      </c>
      <c r="D751" s="272" t="s">
        <v>484</v>
      </c>
      <c r="E751" s="209">
        <v>0</v>
      </c>
      <c r="F751" s="209">
        <v>2</v>
      </c>
      <c r="G751" s="209">
        <v>2</v>
      </c>
      <c r="H751" s="209">
        <v>0</v>
      </c>
      <c r="I751" s="209">
        <v>1</v>
      </c>
      <c r="J751" s="209">
        <v>1</v>
      </c>
      <c r="K751" s="209">
        <v>138</v>
      </c>
    </row>
    <row r="752" spans="1:11">
      <c r="A752" s="208">
        <v>42652</v>
      </c>
      <c r="B752" s="209" t="s">
        <v>511</v>
      </c>
      <c r="C752" s="209">
        <v>5</v>
      </c>
      <c r="D752" s="272" t="s">
        <v>462</v>
      </c>
      <c r="E752" s="209">
        <v>0</v>
      </c>
      <c r="F752" s="209">
        <v>0</v>
      </c>
      <c r="G752" s="209">
        <v>0</v>
      </c>
      <c r="H752" s="209">
        <v>0</v>
      </c>
      <c r="I752" s="209">
        <v>0</v>
      </c>
      <c r="J752" s="209">
        <v>0</v>
      </c>
      <c r="K752" s="209">
        <v>531</v>
      </c>
    </row>
    <row r="753" spans="1:11">
      <c r="A753" s="208">
        <v>42652</v>
      </c>
      <c r="B753" s="209" t="s">
        <v>511</v>
      </c>
      <c r="C753" s="209">
        <v>6</v>
      </c>
      <c r="D753" s="272" t="s">
        <v>463</v>
      </c>
      <c r="E753" s="209">
        <v>0</v>
      </c>
      <c r="F753" s="209">
        <v>2</v>
      </c>
      <c r="G753" s="209">
        <v>2</v>
      </c>
      <c r="H753" s="209">
        <v>0</v>
      </c>
      <c r="I753" s="209">
        <v>1</v>
      </c>
      <c r="J753" s="209">
        <v>1</v>
      </c>
      <c r="K753" s="209">
        <v>2847</v>
      </c>
    </row>
    <row r="754" spans="1:11">
      <c r="A754" s="208">
        <v>42652</v>
      </c>
      <c r="B754" s="209" t="s">
        <v>511</v>
      </c>
      <c r="C754" s="209">
        <v>7</v>
      </c>
      <c r="D754" s="272" t="s">
        <v>464</v>
      </c>
      <c r="E754" s="209">
        <v>0</v>
      </c>
      <c r="F754" s="209">
        <v>0</v>
      </c>
      <c r="G754" s="209">
        <v>0</v>
      </c>
      <c r="H754" s="209">
        <v>0</v>
      </c>
      <c r="I754" s="209">
        <v>0</v>
      </c>
      <c r="J754" s="209">
        <v>0</v>
      </c>
      <c r="K754" s="209">
        <v>239</v>
      </c>
    </row>
    <row r="755" spans="1:11">
      <c r="A755" s="208">
        <v>42652</v>
      </c>
      <c r="B755" s="209" t="s">
        <v>511</v>
      </c>
      <c r="C755" s="209">
        <v>8</v>
      </c>
      <c r="D755" s="272" t="s">
        <v>490</v>
      </c>
      <c r="E755" s="209">
        <v>0</v>
      </c>
      <c r="F755" s="209">
        <v>0</v>
      </c>
      <c r="G755" s="209">
        <v>0</v>
      </c>
      <c r="H755" s="209">
        <v>0</v>
      </c>
      <c r="I755" s="209">
        <v>0</v>
      </c>
      <c r="J755" s="209">
        <v>0</v>
      </c>
      <c r="K755" s="209">
        <v>55</v>
      </c>
    </row>
    <row r="756" spans="1:11">
      <c r="A756" s="208">
        <v>42652</v>
      </c>
      <c r="B756" s="209" t="s">
        <v>511</v>
      </c>
      <c r="C756" s="209">
        <v>9</v>
      </c>
      <c r="D756" s="272" t="s">
        <v>460</v>
      </c>
      <c r="E756" s="209">
        <v>0</v>
      </c>
      <c r="F756" s="209">
        <v>6</v>
      </c>
      <c r="G756" s="209">
        <v>6</v>
      </c>
      <c r="H756" s="209">
        <v>0</v>
      </c>
      <c r="I756" s="209">
        <v>2</v>
      </c>
      <c r="J756" s="209">
        <v>2</v>
      </c>
      <c r="K756" s="209">
        <v>901</v>
      </c>
    </row>
    <row r="757" spans="1:11">
      <c r="A757" s="208">
        <v>42652</v>
      </c>
      <c r="B757" s="209" t="s">
        <v>511</v>
      </c>
      <c r="C757" s="209">
        <v>10</v>
      </c>
      <c r="D757" s="272" t="s">
        <v>465</v>
      </c>
      <c r="E757" s="209">
        <v>2</v>
      </c>
      <c r="F757" s="209">
        <v>13</v>
      </c>
      <c r="G757" s="209">
        <v>13</v>
      </c>
      <c r="H757" s="209">
        <v>0</v>
      </c>
      <c r="I757" s="209">
        <v>2</v>
      </c>
      <c r="J757" s="209">
        <v>2</v>
      </c>
      <c r="K757" s="209">
        <v>1190</v>
      </c>
    </row>
    <row r="758" spans="1:11">
      <c r="A758" s="208">
        <v>42652</v>
      </c>
      <c r="B758" s="209" t="s">
        <v>511</v>
      </c>
      <c r="C758" s="209">
        <v>11</v>
      </c>
      <c r="D758" s="272" t="s">
        <v>460</v>
      </c>
      <c r="E758" s="209">
        <v>0</v>
      </c>
      <c r="F758" s="209">
        <v>6</v>
      </c>
      <c r="G758" s="209">
        <v>6</v>
      </c>
      <c r="H758" s="209">
        <v>0</v>
      </c>
      <c r="I758" s="209">
        <v>2</v>
      </c>
      <c r="J758" s="209">
        <v>2</v>
      </c>
      <c r="K758" s="209">
        <v>901</v>
      </c>
    </row>
    <row r="759" spans="1:11">
      <c r="A759" s="208">
        <v>42652</v>
      </c>
      <c r="B759" s="209" t="s">
        <v>511</v>
      </c>
      <c r="C759" s="209">
        <v>12</v>
      </c>
      <c r="D759" s="272" t="s">
        <v>465</v>
      </c>
      <c r="E759" s="209">
        <v>2</v>
      </c>
      <c r="F759" s="209">
        <v>13</v>
      </c>
      <c r="G759" s="209">
        <v>13</v>
      </c>
      <c r="H759" s="209">
        <v>0</v>
      </c>
      <c r="I759" s="209">
        <v>2</v>
      </c>
      <c r="J759" s="209">
        <v>2</v>
      </c>
      <c r="K759" s="209">
        <v>1190</v>
      </c>
    </row>
    <row r="760" spans="1:11">
      <c r="A760" s="208">
        <v>42652</v>
      </c>
      <c r="B760" s="209" t="s">
        <v>511</v>
      </c>
      <c r="C760" s="209">
        <v>13</v>
      </c>
      <c r="D760" s="272" t="s">
        <v>505</v>
      </c>
      <c r="E760" s="209">
        <v>0</v>
      </c>
      <c r="F760" s="209">
        <v>4</v>
      </c>
      <c r="G760" s="209">
        <v>4</v>
      </c>
      <c r="H760" s="209">
        <v>0</v>
      </c>
      <c r="I760" s="209">
        <v>2</v>
      </c>
      <c r="J760" s="209">
        <v>2</v>
      </c>
      <c r="K760" s="209">
        <v>939</v>
      </c>
    </row>
    <row r="761" spans="1:11">
      <c r="A761" s="208">
        <v>42652</v>
      </c>
      <c r="B761" s="209" t="s">
        <v>511</v>
      </c>
      <c r="C761" s="209">
        <v>14</v>
      </c>
      <c r="D761" s="272" t="s">
        <v>467</v>
      </c>
      <c r="E761" s="209">
        <v>1</v>
      </c>
      <c r="F761" s="209">
        <v>5</v>
      </c>
      <c r="G761" s="209">
        <v>5</v>
      </c>
      <c r="H761" s="209">
        <v>0</v>
      </c>
      <c r="I761" s="209">
        <v>1</v>
      </c>
      <c r="J761" s="209">
        <v>1</v>
      </c>
      <c r="K761" s="209">
        <v>621</v>
      </c>
    </row>
    <row r="762" spans="1:11">
      <c r="A762" s="208">
        <v>42652</v>
      </c>
      <c r="B762" s="209" t="s">
        <v>511</v>
      </c>
      <c r="C762" s="209">
        <v>15</v>
      </c>
      <c r="D762" s="272" t="s">
        <v>472</v>
      </c>
      <c r="E762" s="209">
        <v>0</v>
      </c>
      <c r="F762" s="209">
        <v>0</v>
      </c>
      <c r="G762" s="209">
        <v>0</v>
      </c>
      <c r="H762" s="209">
        <v>0</v>
      </c>
      <c r="I762" s="209">
        <v>0</v>
      </c>
      <c r="J762" s="209">
        <v>0</v>
      </c>
      <c r="K762" s="209">
        <v>1</v>
      </c>
    </row>
    <row r="763" spans="1:11">
      <c r="A763" s="208">
        <v>42652</v>
      </c>
      <c r="B763" s="209" t="s">
        <v>511</v>
      </c>
      <c r="C763" s="209">
        <v>16</v>
      </c>
      <c r="D763" s="272" t="s">
        <v>507</v>
      </c>
      <c r="E763" s="209">
        <v>0</v>
      </c>
      <c r="F763" s="209">
        <v>0</v>
      </c>
      <c r="G763" s="209">
        <v>0</v>
      </c>
      <c r="H763" s="209">
        <v>0</v>
      </c>
      <c r="I763" s="209">
        <v>0</v>
      </c>
      <c r="J763" s="209">
        <v>0</v>
      </c>
      <c r="K763" s="209">
        <v>2</v>
      </c>
    </row>
    <row r="764" spans="1:11">
      <c r="A764" s="208">
        <v>42652</v>
      </c>
      <c r="B764" s="209" t="s">
        <v>511</v>
      </c>
      <c r="C764" s="209">
        <v>17</v>
      </c>
      <c r="D764" s="272" t="s">
        <v>479</v>
      </c>
      <c r="E764" s="209">
        <v>0</v>
      </c>
      <c r="F764" s="209">
        <v>1</v>
      </c>
      <c r="G764" s="209">
        <v>1</v>
      </c>
      <c r="H764" s="209">
        <v>0</v>
      </c>
      <c r="I764" s="209">
        <v>1</v>
      </c>
      <c r="J764" s="209">
        <v>1</v>
      </c>
      <c r="K764" s="209">
        <v>318</v>
      </c>
    </row>
    <row r="765" spans="1:11">
      <c r="A765" s="208">
        <v>42652</v>
      </c>
      <c r="B765" s="209" t="s">
        <v>511</v>
      </c>
      <c r="C765" s="209">
        <v>18</v>
      </c>
      <c r="D765" s="272" t="s">
        <v>480</v>
      </c>
      <c r="E765" s="209">
        <v>0</v>
      </c>
      <c r="F765" s="209">
        <v>1</v>
      </c>
      <c r="G765" s="209">
        <v>1</v>
      </c>
      <c r="H765" s="209">
        <v>0</v>
      </c>
      <c r="I765" s="209">
        <v>0</v>
      </c>
      <c r="J765" s="209">
        <v>0</v>
      </c>
      <c r="K765" s="209">
        <v>55</v>
      </c>
    </row>
    <row r="766" spans="1:11">
      <c r="A766" s="208">
        <v>42652</v>
      </c>
      <c r="B766" s="209" t="s">
        <v>511</v>
      </c>
      <c r="C766" s="209">
        <v>19</v>
      </c>
      <c r="D766" s="272" t="s">
        <v>468</v>
      </c>
      <c r="E766" s="209">
        <v>0</v>
      </c>
      <c r="F766" s="209">
        <v>0</v>
      </c>
      <c r="G766" s="209">
        <v>0</v>
      </c>
      <c r="H766" s="209">
        <v>0</v>
      </c>
      <c r="I766" s="209">
        <v>0</v>
      </c>
      <c r="J766" s="209">
        <v>0</v>
      </c>
      <c r="K766" s="209">
        <v>70</v>
      </c>
    </row>
    <row r="767" spans="1:11">
      <c r="A767" s="208">
        <v>42652</v>
      </c>
      <c r="B767" s="209" t="s">
        <v>511</v>
      </c>
      <c r="C767" s="209">
        <v>20</v>
      </c>
      <c r="D767" s="272" t="s">
        <v>489</v>
      </c>
      <c r="E767" s="209">
        <v>0</v>
      </c>
      <c r="F767" s="209">
        <v>1</v>
      </c>
      <c r="G767" s="209">
        <v>1</v>
      </c>
      <c r="H767" s="209">
        <v>0</v>
      </c>
      <c r="I767" s="209">
        <v>1</v>
      </c>
      <c r="J767" s="209">
        <v>1</v>
      </c>
      <c r="K767" s="209">
        <v>324</v>
      </c>
    </row>
    <row r="768" spans="1:11">
      <c r="A768" s="208">
        <v>42652</v>
      </c>
      <c r="B768" s="209" t="s">
        <v>511</v>
      </c>
      <c r="C768" s="209">
        <v>21</v>
      </c>
      <c r="D768" s="272" t="s">
        <v>469</v>
      </c>
      <c r="E768" s="209">
        <v>0</v>
      </c>
      <c r="F768" s="209">
        <v>0</v>
      </c>
      <c r="G768" s="209">
        <v>0</v>
      </c>
      <c r="H768" s="209">
        <v>0</v>
      </c>
      <c r="I768" s="209">
        <v>0</v>
      </c>
      <c r="J768" s="209">
        <v>0</v>
      </c>
      <c r="K768" s="209">
        <v>1147</v>
      </c>
    </row>
    <row r="769" spans="1:11">
      <c r="A769" s="208">
        <v>42652</v>
      </c>
      <c r="B769" s="209" t="s">
        <v>511</v>
      </c>
      <c r="C769" s="209">
        <v>22</v>
      </c>
      <c r="D769" s="272" t="s">
        <v>470</v>
      </c>
      <c r="E769" s="209">
        <v>0</v>
      </c>
      <c r="F769" s="209">
        <v>0</v>
      </c>
      <c r="G769" s="209">
        <v>0</v>
      </c>
      <c r="H769" s="209">
        <v>0</v>
      </c>
      <c r="I769" s="209">
        <v>0</v>
      </c>
      <c r="J769" s="209">
        <v>0</v>
      </c>
      <c r="K769" s="209">
        <v>467</v>
      </c>
    </row>
    <row r="770" spans="1:11">
      <c r="A770" s="208">
        <v>42652</v>
      </c>
      <c r="B770" s="209" t="s">
        <v>511</v>
      </c>
      <c r="C770" s="209">
        <v>23</v>
      </c>
      <c r="D770" s="272" t="s">
        <v>471</v>
      </c>
      <c r="E770" s="209">
        <v>0</v>
      </c>
      <c r="F770" s="209">
        <v>1</v>
      </c>
      <c r="G770" s="209">
        <v>1</v>
      </c>
      <c r="H770" s="209">
        <v>0</v>
      </c>
      <c r="I770" s="209">
        <v>0</v>
      </c>
      <c r="J770" s="209">
        <v>0</v>
      </c>
      <c r="K770" s="209">
        <v>87</v>
      </c>
    </row>
    <row r="771" spans="1:11">
      <c r="A771" s="208">
        <v>42652</v>
      </c>
      <c r="B771" s="209" t="s">
        <v>511</v>
      </c>
      <c r="C771" s="209">
        <v>24</v>
      </c>
      <c r="D771" s="272" t="s">
        <v>510</v>
      </c>
      <c r="E771" s="209">
        <v>0</v>
      </c>
      <c r="F771" s="209">
        <v>0</v>
      </c>
      <c r="G771" s="209">
        <v>0</v>
      </c>
      <c r="H771" s="209">
        <v>0</v>
      </c>
      <c r="I771" s="209">
        <v>0</v>
      </c>
      <c r="J771" s="209">
        <v>0</v>
      </c>
      <c r="K771" s="209">
        <v>186</v>
      </c>
    </row>
    <row r="772" spans="1:11">
      <c r="A772" s="208">
        <v>42652</v>
      </c>
      <c r="B772" s="209" t="s">
        <v>519</v>
      </c>
      <c r="C772" s="209">
        <v>1</v>
      </c>
      <c r="D772" s="272" t="s">
        <v>465</v>
      </c>
      <c r="E772" s="209">
        <v>3</v>
      </c>
      <c r="F772" s="209">
        <v>24</v>
      </c>
      <c r="G772" s="209">
        <v>24</v>
      </c>
      <c r="H772" s="209">
        <v>1</v>
      </c>
      <c r="I772" s="209">
        <v>9</v>
      </c>
      <c r="J772" s="209">
        <v>9</v>
      </c>
      <c r="K772" s="209">
        <v>1323</v>
      </c>
    </row>
    <row r="773" spans="1:11">
      <c r="A773" s="208">
        <v>42652</v>
      </c>
      <c r="B773" s="209" t="s">
        <v>519</v>
      </c>
      <c r="C773" s="209">
        <v>2</v>
      </c>
      <c r="D773" s="272" t="s">
        <v>484</v>
      </c>
      <c r="E773" s="209">
        <v>0</v>
      </c>
      <c r="F773" s="209">
        <v>3</v>
      </c>
      <c r="G773" s="209">
        <v>3</v>
      </c>
      <c r="H773" s="209">
        <v>0</v>
      </c>
      <c r="I773" s="209">
        <v>2</v>
      </c>
      <c r="J773" s="209">
        <v>2</v>
      </c>
      <c r="K773" s="209">
        <v>259</v>
      </c>
    </row>
    <row r="774" spans="1:11">
      <c r="A774" s="208">
        <v>42652</v>
      </c>
      <c r="B774" s="209" t="s">
        <v>519</v>
      </c>
      <c r="C774" s="209">
        <v>3</v>
      </c>
      <c r="D774" s="272" t="s">
        <v>461</v>
      </c>
      <c r="E774" s="209">
        <v>0</v>
      </c>
      <c r="F774" s="209">
        <v>0</v>
      </c>
      <c r="G774" s="209">
        <v>0</v>
      </c>
      <c r="H774" s="209">
        <v>0</v>
      </c>
      <c r="I774" s="209">
        <v>0</v>
      </c>
      <c r="J774" s="209">
        <v>0</v>
      </c>
      <c r="K774" s="209">
        <v>1340</v>
      </c>
    </row>
    <row r="775" spans="1:11">
      <c r="A775" s="208">
        <v>42652</v>
      </c>
      <c r="B775" s="209" t="s">
        <v>519</v>
      </c>
      <c r="C775" s="209">
        <v>4</v>
      </c>
      <c r="D775" s="272" t="s">
        <v>487</v>
      </c>
      <c r="E775" s="209">
        <v>0</v>
      </c>
      <c r="F775" s="209">
        <v>2</v>
      </c>
      <c r="G775" s="209">
        <v>2</v>
      </c>
      <c r="H775" s="209">
        <v>0</v>
      </c>
      <c r="I775" s="209">
        <v>2</v>
      </c>
      <c r="J775" s="209">
        <v>2</v>
      </c>
      <c r="K775" s="209">
        <v>401</v>
      </c>
    </row>
    <row r="776" spans="1:11">
      <c r="A776" s="208">
        <v>42652</v>
      </c>
      <c r="B776" s="209" t="s">
        <v>519</v>
      </c>
      <c r="C776" s="209">
        <v>5</v>
      </c>
      <c r="D776" s="272" t="s">
        <v>462</v>
      </c>
      <c r="E776" s="209">
        <v>0</v>
      </c>
      <c r="F776" s="209">
        <v>0</v>
      </c>
      <c r="G776" s="209">
        <v>0</v>
      </c>
      <c r="H776" s="209">
        <v>0</v>
      </c>
      <c r="I776" s="209">
        <v>0</v>
      </c>
      <c r="J776" s="209">
        <v>0</v>
      </c>
      <c r="K776" s="209">
        <v>542</v>
      </c>
    </row>
    <row r="777" spans="1:11">
      <c r="A777" s="208">
        <v>42652</v>
      </c>
      <c r="B777" s="209" t="s">
        <v>519</v>
      </c>
      <c r="C777" s="209">
        <v>6</v>
      </c>
      <c r="D777" s="272" t="s">
        <v>463</v>
      </c>
      <c r="E777" s="209">
        <v>0</v>
      </c>
      <c r="F777" s="209">
        <v>0</v>
      </c>
      <c r="G777" s="209">
        <v>0</v>
      </c>
      <c r="H777" s="209">
        <v>0</v>
      </c>
      <c r="I777" s="209">
        <v>0</v>
      </c>
      <c r="J777" s="209">
        <v>0</v>
      </c>
      <c r="K777" s="209">
        <v>3834</v>
      </c>
    </row>
    <row r="778" spans="1:11">
      <c r="A778" s="208">
        <v>42652</v>
      </c>
      <c r="B778" s="209" t="s">
        <v>519</v>
      </c>
      <c r="C778" s="209">
        <v>7</v>
      </c>
      <c r="D778" s="272" t="s">
        <v>464</v>
      </c>
      <c r="E778" s="209">
        <v>0</v>
      </c>
      <c r="F778" s="209">
        <v>0</v>
      </c>
      <c r="G778" s="209">
        <v>0</v>
      </c>
      <c r="H778" s="209">
        <v>0</v>
      </c>
      <c r="I778" s="209">
        <v>0</v>
      </c>
      <c r="J778" s="209">
        <v>0</v>
      </c>
      <c r="K778" s="209">
        <v>159</v>
      </c>
    </row>
    <row r="779" spans="1:11">
      <c r="A779" s="208">
        <v>42652</v>
      </c>
      <c r="B779" s="209" t="s">
        <v>519</v>
      </c>
      <c r="C779" s="209">
        <v>8</v>
      </c>
      <c r="D779" s="272" t="s">
        <v>504</v>
      </c>
      <c r="E779" s="209">
        <v>0</v>
      </c>
      <c r="F779" s="209">
        <v>3</v>
      </c>
      <c r="G779" s="209">
        <v>3</v>
      </c>
      <c r="H779" s="209">
        <v>0</v>
      </c>
      <c r="I779" s="209">
        <v>3</v>
      </c>
      <c r="J779" s="209">
        <v>3</v>
      </c>
      <c r="K779" s="209">
        <v>1238</v>
      </c>
    </row>
    <row r="780" spans="1:11">
      <c r="A780" s="208">
        <v>42652</v>
      </c>
      <c r="B780" s="209" t="s">
        <v>519</v>
      </c>
      <c r="C780" s="209">
        <v>9</v>
      </c>
      <c r="D780" s="272" t="s">
        <v>490</v>
      </c>
      <c r="E780" s="209">
        <v>0</v>
      </c>
      <c r="F780" s="209">
        <v>10</v>
      </c>
      <c r="G780" s="209">
        <v>10</v>
      </c>
      <c r="H780" s="209">
        <v>0</v>
      </c>
      <c r="I780" s="209">
        <v>9</v>
      </c>
      <c r="J780" s="209">
        <v>9</v>
      </c>
      <c r="K780" s="209">
        <v>326</v>
      </c>
    </row>
    <row r="781" spans="1:11">
      <c r="A781" s="208">
        <v>42652</v>
      </c>
      <c r="B781" s="209" t="s">
        <v>519</v>
      </c>
      <c r="C781" s="209">
        <v>10</v>
      </c>
      <c r="D781" s="272" t="s">
        <v>460</v>
      </c>
      <c r="E781" s="209">
        <v>1</v>
      </c>
      <c r="F781" s="209">
        <v>7</v>
      </c>
      <c r="G781" s="209">
        <v>7</v>
      </c>
      <c r="H781" s="209">
        <v>0</v>
      </c>
      <c r="I781" s="209">
        <v>2</v>
      </c>
      <c r="J781" s="209">
        <v>2</v>
      </c>
      <c r="K781" s="209">
        <v>366</v>
      </c>
    </row>
    <row r="782" spans="1:11">
      <c r="A782" s="208">
        <v>42652</v>
      </c>
      <c r="B782" s="209" t="s">
        <v>519</v>
      </c>
      <c r="C782" s="209">
        <v>11</v>
      </c>
      <c r="D782" s="272" t="s">
        <v>505</v>
      </c>
      <c r="E782" s="209">
        <v>0</v>
      </c>
      <c r="F782" s="209">
        <v>3</v>
      </c>
      <c r="G782" s="209">
        <v>3</v>
      </c>
      <c r="H782" s="209">
        <v>0</v>
      </c>
      <c r="I782" s="209">
        <v>1</v>
      </c>
      <c r="J782" s="209">
        <v>1</v>
      </c>
      <c r="K782" s="209">
        <v>983</v>
      </c>
    </row>
    <row r="783" spans="1:11">
      <c r="A783" s="208">
        <v>42652</v>
      </c>
      <c r="B783" s="209" t="s">
        <v>519</v>
      </c>
      <c r="C783" s="209">
        <v>12</v>
      </c>
      <c r="D783" s="272" t="s">
        <v>466</v>
      </c>
      <c r="E783" s="209">
        <v>0</v>
      </c>
      <c r="F783" s="209">
        <v>18</v>
      </c>
      <c r="G783" s="209">
        <v>18</v>
      </c>
      <c r="H783" s="209">
        <v>0</v>
      </c>
      <c r="I783" s="209">
        <v>4</v>
      </c>
      <c r="J783" s="209">
        <v>4</v>
      </c>
      <c r="K783" s="209">
        <v>903</v>
      </c>
    </row>
    <row r="784" spans="1:11">
      <c r="A784" s="208">
        <v>42652</v>
      </c>
      <c r="B784" s="209" t="s">
        <v>519</v>
      </c>
      <c r="C784" s="209">
        <v>13</v>
      </c>
      <c r="D784" s="272" t="s">
        <v>467</v>
      </c>
      <c r="E784" s="209">
        <v>0</v>
      </c>
      <c r="F784" s="209">
        <v>0</v>
      </c>
      <c r="G784" s="209">
        <v>0</v>
      </c>
      <c r="H784" s="209">
        <v>0</v>
      </c>
      <c r="I784" s="209">
        <v>0</v>
      </c>
      <c r="J784" s="209">
        <v>0</v>
      </c>
      <c r="K784" s="209">
        <v>268</v>
      </c>
    </row>
    <row r="785" spans="1:11">
      <c r="A785" s="208">
        <v>42652</v>
      </c>
      <c r="B785" s="209" t="s">
        <v>519</v>
      </c>
      <c r="C785" s="209">
        <v>14</v>
      </c>
      <c r="D785" s="272" t="s">
        <v>472</v>
      </c>
      <c r="E785" s="209">
        <v>0</v>
      </c>
      <c r="F785" s="209">
        <v>0</v>
      </c>
      <c r="G785" s="209">
        <v>0</v>
      </c>
      <c r="H785" s="209">
        <v>0</v>
      </c>
      <c r="I785" s="209">
        <v>0</v>
      </c>
      <c r="J785" s="209">
        <v>0</v>
      </c>
      <c r="K785" s="209">
        <v>5</v>
      </c>
    </row>
    <row r="786" spans="1:11">
      <c r="A786" s="208">
        <v>42652</v>
      </c>
      <c r="B786" s="209" t="s">
        <v>519</v>
      </c>
      <c r="C786" s="209">
        <v>15</v>
      </c>
      <c r="D786" s="272" t="s">
        <v>479</v>
      </c>
      <c r="E786" s="209">
        <v>0</v>
      </c>
      <c r="F786" s="209">
        <v>1</v>
      </c>
      <c r="G786" s="209">
        <v>1</v>
      </c>
      <c r="H786" s="209">
        <v>0</v>
      </c>
      <c r="I786" s="209">
        <v>1</v>
      </c>
      <c r="J786" s="209">
        <v>1</v>
      </c>
      <c r="K786" s="209">
        <v>770</v>
      </c>
    </row>
    <row r="787" spans="1:11">
      <c r="A787" s="208">
        <v>42652</v>
      </c>
      <c r="B787" s="209" t="s">
        <v>519</v>
      </c>
      <c r="C787" s="209">
        <v>16</v>
      </c>
      <c r="D787" s="272" t="s">
        <v>480</v>
      </c>
      <c r="E787" s="209">
        <v>0</v>
      </c>
      <c r="F787" s="209">
        <v>3</v>
      </c>
      <c r="G787" s="209">
        <v>3</v>
      </c>
      <c r="H787" s="209">
        <v>0</v>
      </c>
      <c r="I787" s="209">
        <v>3</v>
      </c>
      <c r="J787" s="209">
        <v>3</v>
      </c>
      <c r="K787" s="209">
        <v>549</v>
      </c>
    </row>
    <row r="788" spans="1:11">
      <c r="A788" s="208">
        <v>42652</v>
      </c>
      <c r="B788" s="209" t="s">
        <v>519</v>
      </c>
      <c r="C788" s="209">
        <v>17</v>
      </c>
      <c r="D788" s="272" t="s">
        <v>508</v>
      </c>
      <c r="E788" s="209">
        <v>0</v>
      </c>
      <c r="F788" s="209">
        <v>2</v>
      </c>
      <c r="G788" s="209">
        <v>2</v>
      </c>
      <c r="H788" s="209">
        <v>0</v>
      </c>
      <c r="I788" s="209">
        <v>1</v>
      </c>
      <c r="J788" s="209">
        <v>1</v>
      </c>
      <c r="K788" s="209">
        <v>209</v>
      </c>
    </row>
    <row r="789" spans="1:11">
      <c r="A789" s="208">
        <v>42652</v>
      </c>
      <c r="B789" s="209" t="s">
        <v>519</v>
      </c>
      <c r="C789" s="209">
        <v>18</v>
      </c>
      <c r="D789" s="272" t="s">
        <v>468</v>
      </c>
      <c r="E789" s="209">
        <v>0</v>
      </c>
      <c r="F789" s="209">
        <v>0</v>
      </c>
      <c r="G789" s="209">
        <v>0</v>
      </c>
      <c r="H789" s="209">
        <v>0</v>
      </c>
      <c r="I789" s="209">
        <v>0</v>
      </c>
      <c r="J789" s="209">
        <v>0</v>
      </c>
      <c r="K789" s="209">
        <v>312</v>
      </c>
    </row>
    <row r="790" spans="1:11">
      <c r="A790" s="208">
        <v>42652</v>
      </c>
      <c r="B790" s="209" t="s">
        <v>519</v>
      </c>
      <c r="C790" s="209">
        <v>19</v>
      </c>
      <c r="D790" s="272" t="s">
        <v>489</v>
      </c>
      <c r="E790" s="209">
        <v>0</v>
      </c>
      <c r="F790" s="209">
        <v>3</v>
      </c>
      <c r="G790" s="209">
        <v>3</v>
      </c>
      <c r="H790" s="209">
        <v>0</v>
      </c>
      <c r="I790" s="209">
        <v>0</v>
      </c>
      <c r="J790" s="209">
        <v>0</v>
      </c>
      <c r="K790" s="209">
        <v>880</v>
      </c>
    </row>
    <row r="791" spans="1:11">
      <c r="A791" s="208">
        <v>42652</v>
      </c>
      <c r="B791" s="209" t="s">
        <v>519</v>
      </c>
      <c r="C791" s="209">
        <v>20</v>
      </c>
      <c r="D791" s="272" t="s">
        <v>469</v>
      </c>
      <c r="E791" s="209">
        <v>0</v>
      </c>
      <c r="F791" s="209">
        <v>0</v>
      </c>
      <c r="G791" s="209">
        <v>0</v>
      </c>
      <c r="H791" s="209">
        <v>0</v>
      </c>
      <c r="I791" s="209">
        <v>0</v>
      </c>
      <c r="J791" s="209">
        <v>0</v>
      </c>
      <c r="K791" s="209">
        <v>964</v>
      </c>
    </row>
    <row r="792" spans="1:11">
      <c r="A792" s="208">
        <v>42652</v>
      </c>
      <c r="B792" s="209" t="s">
        <v>519</v>
      </c>
      <c r="C792" s="209">
        <v>21</v>
      </c>
      <c r="D792" s="272" t="s">
        <v>470</v>
      </c>
      <c r="E792" s="209">
        <v>0</v>
      </c>
      <c r="F792" s="209">
        <v>2</v>
      </c>
      <c r="G792" s="209">
        <v>2</v>
      </c>
      <c r="H792" s="209">
        <v>0</v>
      </c>
      <c r="I792" s="209">
        <v>1</v>
      </c>
      <c r="J792" s="209">
        <v>1</v>
      </c>
      <c r="K792" s="209">
        <v>583</v>
      </c>
    </row>
    <row r="793" spans="1:11">
      <c r="A793" s="208">
        <v>42652</v>
      </c>
      <c r="B793" s="209" t="s">
        <v>519</v>
      </c>
      <c r="C793" s="209">
        <v>22</v>
      </c>
      <c r="D793" s="272" t="s">
        <v>471</v>
      </c>
      <c r="E793" s="209">
        <v>0</v>
      </c>
      <c r="F793" s="209">
        <v>0</v>
      </c>
      <c r="G793" s="209">
        <v>0</v>
      </c>
      <c r="H793" s="209">
        <v>0</v>
      </c>
      <c r="I793" s="209">
        <v>0</v>
      </c>
      <c r="J793" s="209">
        <v>0</v>
      </c>
      <c r="K793" s="209">
        <v>198</v>
      </c>
    </row>
    <row r="794" spans="1:11">
      <c r="A794" s="208">
        <v>42652</v>
      </c>
      <c r="B794" s="209" t="s">
        <v>519</v>
      </c>
      <c r="C794" s="209">
        <v>23</v>
      </c>
      <c r="D794" s="272" t="s">
        <v>510</v>
      </c>
      <c r="E794" s="209">
        <v>0</v>
      </c>
      <c r="F794" s="209">
        <v>3</v>
      </c>
      <c r="G794" s="209">
        <v>3</v>
      </c>
      <c r="H794" s="209">
        <v>0</v>
      </c>
      <c r="I794" s="209">
        <v>3</v>
      </c>
      <c r="J794" s="209">
        <v>3</v>
      </c>
      <c r="K794" s="209">
        <v>281</v>
      </c>
    </row>
    <row r="795" spans="1:11">
      <c r="A795" s="208">
        <v>42652</v>
      </c>
      <c r="B795" s="209" t="s">
        <v>491</v>
      </c>
      <c r="C795" s="209">
        <v>1</v>
      </c>
      <c r="D795" s="272" t="s">
        <v>484</v>
      </c>
      <c r="E795" s="209">
        <v>0</v>
      </c>
      <c r="F795" s="209">
        <v>0</v>
      </c>
      <c r="G795" s="209">
        <v>0</v>
      </c>
      <c r="H795" s="209">
        <v>0</v>
      </c>
      <c r="I795" s="209">
        <v>0</v>
      </c>
      <c r="J795" s="209">
        <v>0</v>
      </c>
      <c r="K795" s="209">
        <v>95</v>
      </c>
    </row>
    <row r="796" spans="1:11">
      <c r="A796" s="208">
        <v>42652</v>
      </c>
      <c r="B796" s="209" t="s">
        <v>491</v>
      </c>
      <c r="C796" s="209">
        <v>2</v>
      </c>
      <c r="D796" s="272" t="s">
        <v>461</v>
      </c>
      <c r="E796" s="209">
        <v>0</v>
      </c>
      <c r="F796" s="209">
        <v>0</v>
      </c>
      <c r="G796" s="209">
        <v>0</v>
      </c>
      <c r="H796" s="209">
        <v>0</v>
      </c>
      <c r="I796" s="209">
        <v>0</v>
      </c>
      <c r="J796" s="209">
        <v>0</v>
      </c>
      <c r="K796" s="209">
        <v>1433</v>
      </c>
    </row>
    <row r="797" spans="1:11">
      <c r="A797" s="208">
        <v>42652</v>
      </c>
      <c r="B797" s="209" t="s">
        <v>491</v>
      </c>
      <c r="C797" s="209">
        <v>3</v>
      </c>
      <c r="D797" s="272" t="s">
        <v>487</v>
      </c>
      <c r="E797" s="209">
        <v>0</v>
      </c>
      <c r="F797" s="209">
        <v>0</v>
      </c>
      <c r="G797" s="209">
        <v>0</v>
      </c>
      <c r="H797" s="209">
        <v>0</v>
      </c>
      <c r="I797" s="209">
        <v>0</v>
      </c>
      <c r="J797" s="209">
        <v>0</v>
      </c>
      <c r="K797" s="209">
        <v>430</v>
      </c>
    </row>
    <row r="798" spans="1:11">
      <c r="A798" s="208">
        <v>42652</v>
      </c>
      <c r="B798" s="209" t="s">
        <v>491</v>
      </c>
      <c r="C798" s="209">
        <v>4</v>
      </c>
      <c r="D798" s="272" t="s">
        <v>462</v>
      </c>
      <c r="E798" s="209">
        <v>0</v>
      </c>
      <c r="F798" s="209">
        <v>0</v>
      </c>
      <c r="G798" s="209">
        <v>0</v>
      </c>
      <c r="H798" s="209">
        <v>0</v>
      </c>
      <c r="I798" s="209">
        <v>0</v>
      </c>
      <c r="J798" s="209">
        <v>0</v>
      </c>
      <c r="K798" s="209">
        <v>112</v>
      </c>
    </row>
    <row r="799" spans="1:11">
      <c r="A799" s="208">
        <v>42652</v>
      </c>
      <c r="B799" s="209" t="s">
        <v>491</v>
      </c>
      <c r="C799" s="209">
        <v>5</v>
      </c>
      <c r="D799" s="272" t="s">
        <v>463</v>
      </c>
      <c r="E799" s="209">
        <v>0</v>
      </c>
      <c r="F799" s="209">
        <v>2</v>
      </c>
      <c r="G799" s="209">
        <v>2</v>
      </c>
      <c r="H799" s="209">
        <v>0</v>
      </c>
      <c r="I799" s="209">
        <v>1</v>
      </c>
      <c r="J799" s="209">
        <v>1</v>
      </c>
      <c r="K799" s="209">
        <v>2696</v>
      </c>
    </row>
    <row r="800" spans="1:11">
      <c r="A800" s="208">
        <v>42652</v>
      </c>
      <c r="B800" s="209" t="s">
        <v>491</v>
      </c>
      <c r="C800" s="209">
        <v>6</v>
      </c>
      <c r="D800" s="272" t="s">
        <v>464</v>
      </c>
      <c r="E800" s="209">
        <v>0</v>
      </c>
      <c r="F800" s="209">
        <v>0</v>
      </c>
      <c r="G800" s="209">
        <v>0</v>
      </c>
      <c r="H800" s="209">
        <v>0</v>
      </c>
      <c r="I800" s="209">
        <v>0</v>
      </c>
      <c r="J800" s="209">
        <v>0</v>
      </c>
      <c r="K800" s="209">
        <v>121</v>
      </c>
    </row>
    <row r="801" spans="1:11">
      <c r="A801" s="208">
        <v>42652</v>
      </c>
      <c r="B801" s="209" t="s">
        <v>491</v>
      </c>
      <c r="C801" s="209">
        <v>7</v>
      </c>
      <c r="D801" s="272" t="s">
        <v>504</v>
      </c>
      <c r="E801" s="209">
        <v>1</v>
      </c>
      <c r="F801" s="209">
        <v>5</v>
      </c>
      <c r="G801" s="209">
        <v>5</v>
      </c>
      <c r="H801" s="209">
        <v>0</v>
      </c>
      <c r="I801" s="209">
        <v>1</v>
      </c>
      <c r="J801" s="209">
        <v>1</v>
      </c>
      <c r="K801" s="209">
        <v>1299</v>
      </c>
    </row>
    <row r="802" spans="1:11">
      <c r="A802" s="208">
        <v>42652</v>
      </c>
      <c r="B802" s="209" t="s">
        <v>491</v>
      </c>
      <c r="C802" s="209">
        <v>8</v>
      </c>
      <c r="D802" s="272" t="s">
        <v>490</v>
      </c>
      <c r="E802" s="209">
        <v>0</v>
      </c>
      <c r="F802" s="209">
        <v>0</v>
      </c>
      <c r="G802" s="209">
        <v>0</v>
      </c>
      <c r="H802" s="209">
        <v>0</v>
      </c>
      <c r="I802" s="209">
        <v>0</v>
      </c>
      <c r="J802" s="209">
        <v>0</v>
      </c>
      <c r="K802" s="209">
        <v>2</v>
      </c>
    </row>
    <row r="803" spans="1:11">
      <c r="A803" s="208">
        <v>42652</v>
      </c>
      <c r="B803" s="209" t="s">
        <v>491</v>
      </c>
      <c r="C803" s="209">
        <v>9</v>
      </c>
      <c r="D803" s="272" t="s">
        <v>460</v>
      </c>
      <c r="E803" s="209">
        <v>1</v>
      </c>
      <c r="F803" s="209">
        <v>10</v>
      </c>
      <c r="G803" s="209">
        <v>10</v>
      </c>
      <c r="H803" s="209">
        <v>0</v>
      </c>
      <c r="I803" s="209">
        <v>0</v>
      </c>
      <c r="J803" s="209">
        <v>0</v>
      </c>
      <c r="K803" s="209">
        <v>730</v>
      </c>
    </row>
    <row r="804" spans="1:11">
      <c r="A804" s="208">
        <v>42652</v>
      </c>
      <c r="B804" s="209" t="s">
        <v>491</v>
      </c>
      <c r="C804" s="209">
        <v>10</v>
      </c>
      <c r="D804" s="272" t="s">
        <v>465</v>
      </c>
      <c r="E804" s="209">
        <v>1</v>
      </c>
      <c r="F804" s="209">
        <v>5</v>
      </c>
      <c r="G804" s="209">
        <v>5</v>
      </c>
      <c r="H804" s="209">
        <v>0</v>
      </c>
      <c r="I804" s="209">
        <v>3</v>
      </c>
      <c r="J804" s="209">
        <v>3</v>
      </c>
      <c r="K804" s="209">
        <v>421</v>
      </c>
    </row>
    <row r="805" spans="1:11">
      <c r="A805" s="208">
        <v>42652</v>
      </c>
      <c r="B805" s="209" t="s">
        <v>491</v>
      </c>
      <c r="C805" s="209">
        <v>11</v>
      </c>
      <c r="D805" s="272" t="s">
        <v>505</v>
      </c>
      <c r="E805" s="209">
        <v>0</v>
      </c>
      <c r="F805" s="209">
        <v>4</v>
      </c>
      <c r="G805" s="209">
        <v>4</v>
      </c>
      <c r="H805" s="209">
        <v>0</v>
      </c>
      <c r="I805" s="209">
        <v>2</v>
      </c>
      <c r="J805" s="209">
        <v>2</v>
      </c>
      <c r="K805" s="209">
        <v>970</v>
      </c>
    </row>
    <row r="806" spans="1:11">
      <c r="A806" s="208">
        <v>42652</v>
      </c>
      <c r="B806" s="209" t="s">
        <v>491</v>
      </c>
      <c r="C806" s="209">
        <v>12</v>
      </c>
      <c r="D806" s="272" t="s">
        <v>506</v>
      </c>
      <c r="E806" s="209">
        <v>0</v>
      </c>
      <c r="F806" s="209">
        <v>0</v>
      </c>
      <c r="G806" s="209">
        <v>0</v>
      </c>
      <c r="H806" s="209">
        <v>0</v>
      </c>
      <c r="I806" s="209">
        <v>0</v>
      </c>
      <c r="J806" s="209">
        <v>0</v>
      </c>
      <c r="K806" s="209">
        <v>2</v>
      </c>
    </row>
    <row r="807" spans="1:11">
      <c r="A807" s="208">
        <v>42652</v>
      </c>
      <c r="B807" s="209" t="s">
        <v>491</v>
      </c>
      <c r="C807" s="209">
        <v>13</v>
      </c>
      <c r="D807" s="272" t="s">
        <v>466</v>
      </c>
      <c r="E807" s="209">
        <v>0</v>
      </c>
      <c r="F807" s="209">
        <v>7</v>
      </c>
      <c r="G807" s="209">
        <v>7</v>
      </c>
      <c r="H807" s="209">
        <v>0</v>
      </c>
      <c r="I807" s="209">
        <v>2</v>
      </c>
      <c r="J807" s="209">
        <v>2</v>
      </c>
      <c r="K807" s="209">
        <v>560</v>
      </c>
    </row>
    <row r="808" spans="1:11">
      <c r="A808" s="208">
        <v>42652</v>
      </c>
      <c r="B808" s="209" t="s">
        <v>491</v>
      </c>
      <c r="C808" s="209">
        <v>14</v>
      </c>
      <c r="D808" s="272" t="s">
        <v>467</v>
      </c>
      <c r="E808" s="209">
        <v>0</v>
      </c>
      <c r="F808" s="209">
        <v>3</v>
      </c>
      <c r="G808" s="209">
        <v>3</v>
      </c>
      <c r="H808" s="209">
        <v>0</v>
      </c>
      <c r="I808" s="209">
        <v>1</v>
      </c>
      <c r="J808" s="209">
        <v>1</v>
      </c>
      <c r="K808" s="209">
        <v>518</v>
      </c>
    </row>
    <row r="809" spans="1:11">
      <c r="A809" s="208">
        <v>42652</v>
      </c>
      <c r="B809" s="209" t="s">
        <v>491</v>
      </c>
      <c r="C809" s="209">
        <v>15</v>
      </c>
      <c r="D809" s="272" t="s">
        <v>472</v>
      </c>
      <c r="E809" s="209">
        <v>0</v>
      </c>
      <c r="F809" s="209">
        <v>0</v>
      </c>
      <c r="G809" s="209">
        <v>0</v>
      </c>
      <c r="H809" s="209">
        <v>0</v>
      </c>
      <c r="I809" s="209">
        <v>0</v>
      </c>
      <c r="J809" s="209">
        <v>0</v>
      </c>
      <c r="K809" s="209">
        <v>8</v>
      </c>
    </row>
    <row r="810" spans="1:11">
      <c r="A810" s="208">
        <v>42652</v>
      </c>
      <c r="B810" s="209" t="s">
        <v>491</v>
      </c>
      <c r="C810" s="209">
        <v>16</v>
      </c>
      <c r="D810" s="272" t="s">
        <v>507</v>
      </c>
      <c r="E810" s="209">
        <v>0</v>
      </c>
      <c r="F810" s="209">
        <v>0</v>
      </c>
      <c r="G810" s="209">
        <v>0</v>
      </c>
      <c r="H810" s="209">
        <v>0</v>
      </c>
      <c r="I810" s="209">
        <v>0</v>
      </c>
      <c r="J810" s="209">
        <v>0</v>
      </c>
      <c r="K810" s="209">
        <v>6</v>
      </c>
    </row>
    <row r="811" spans="1:11">
      <c r="A811" s="208">
        <v>42652</v>
      </c>
      <c r="B811" s="209" t="s">
        <v>491</v>
      </c>
      <c r="C811" s="209">
        <v>17</v>
      </c>
      <c r="D811" s="272" t="s">
        <v>479</v>
      </c>
      <c r="E811" s="209">
        <v>0</v>
      </c>
      <c r="F811" s="209">
        <v>0</v>
      </c>
      <c r="G811" s="209">
        <v>0</v>
      </c>
      <c r="H811" s="209">
        <v>0</v>
      </c>
      <c r="I811" s="209">
        <v>0</v>
      </c>
      <c r="J811" s="209">
        <v>0</v>
      </c>
      <c r="K811" s="209">
        <v>181</v>
      </c>
    </row>
    <row r="812" spans="1:11">
      <c r="A812" s="208">
        <v>42652</v>
      </c>
      <c r="B812" s="209" t="s">
        <v>491</v>
      </c>
      <c r="C812" s="209">
        <v>18</v>
      </c>
      <c r="D812" s="272" t="s">
        <v>480</v>
      </c>
      <c r="E812" s="209">
        <v>0</v>
      </c>
      <c r="F812" s="209">
        <v>0</v>
      </c>
      <c r="G812" s="209">
        <v>0</v>
      </c>
      <c r="H812" s="209">
        <v>0</v>
      </c>
      <c r="I812" s="209">
        <v>0</v>
      </c>
      <c r="J812" s="209">
        <v>0</v>
      </c>
      <c r="K812" s="209">
        <v>26</v>
      </c>
    </row>
    <row r="813" spans="1:11">
      <c r="A813" s="208">
        <v>42652</v>
      </c>
      <c r="B813" s="209" t="s">
        <v>491</v>
      </c>
      <c r="C813" s="209">
        <v>19</v>
      </c>
      <c r="D813" s="272" t="s">
        <v>508</v>
      </c>
      <c r="E813" s="209">
        <v>0</v>
      </c>
      <c r="F813" s="209">
        <v>4</v>
      </c>
      <c r="G813" s="209">
        <v>4</v>
      </c>
      <c r="H813" s="209">
        <v>0</v>
      </c>
      <c r="I813" s="209">
        <v>1</v>
      </c>
      <c r="J813" s="209">
        <v>1</v>
      </c>
      <c r="K813" s="209">
        <v>272</v>
      </c>
    </row>
    <row r="814" spans="1:11">
      <c r="A814" s="208">
        <v>42652</v>
      </c>
      <c r="B814" s="209" t="s">
        <v>491</v>
      </c>
      <c r="C814" s="209">
        <v>20</v>
      </c>
      <c r="D814" s="272" t="s">
        <v>468</v>
      </c>
      <c r="E814" s="209">
        <v>0</v>
      </c>
      <c r="F814" s="209">
        <v>0</v>
      </c>
      <c r="G814" s="209">
        <v>0</v>
      </c>
      <c r="H814" s="209">
        <v>0</v>
      </c>
      <c r="I814" s="209">
        <v>0</v>
      </c>
      <c r="J814" s="209">
        <v>0</v>
      </c>
      <c r="K814" s="209">
        <v>10</v>
      </c>
    </row>
    <row r="815" spans="1:11">
      <c r="A815" s="208">
        <v>42652</v>
      </c>
      <c r="B815" s="209" t="s">
        <v>491</v>
      </c>
      <c r="C815" s="209">
        <v>21</v>
      </c>
      <c r="D815" s="272" t="s">
        <v>489</v>
      </c>
      <c r="E815" s="209">
        <v>0</v>
      </c>
      <c r="F815" s="209">
        <v>1</v>
      </c>
      <c r="G815" s="209">
        <v>1</v>
      </c>
      <c r="H815" s="209">
        <v>0</v>
      </c>
      <c r="I815" s="209">
        <v>0</v>
      </c>
      <c r="J815" s="209">
        <v>0</v>
      </c>
      <c r="K815" s="209">
        <v>342</v>
      </c>
    </row>
    <row r="816" spans="1:11">
      <c r="A816" s="208">
        <v>42652</v>
      </c>
      <c r="B816" s="209" t="s">
        <v>491</v>
      </c>
      <c r="C816" s="209">
        <v>22</v>
      </c>
      <c r="D816" s="272" t="s">
        <v>469</v>
      </c>
      <c r="E816" s="209">
        <v>0</v>
      </c>
      <c r="F816" s="209">
        <v>0</v>
      </c>
      <c r="G816" s="209">
        <v>0</v>
      </c>
      <c r="H816" s="209">
        <v>0</v>
      </c>
      <c r="I816" s="209">
        <v>0</v>
      </c>
      <c r="J816" s="209">
        <v>0</v>
      </c>
      <c r="K816" s="209">
        <v>248</v>
      </c>
    </row>
    <row r="817" spans="1:11">
      <c r="A817" s="208">
        <v>42652</v>
      </c>
      <c r="B817" s="209" t="s">
        <v>491</v>
      </c>
      <c r="C817" s="209">
        <v>23</v>
      </c>
      <c r="D817" s="272" t="s">
        <v>470</v>
      </c>
      <c r="E817" s="209">
        <v>0</v>
      </c>
      <c r="F817" s="209">
        <v>0</v>
      </c>
      <c r="G817" s="209">
        <v>0</v>
      </c>
      <c r="H817" s="209">
        <v>0</v>
      </c>
      <c r="I817" s="209">
        <v>0</v>
      </c>
      <c r="J817" s="209">
        <v>0</v>
      </c>
      <c r="K817" s="209">
        <v>267</v>
      </c>
    </row>
    <row r="818" spans="1:11">
      <c r="A818" s="208">
        <v>42652</v>
      </c>
      <c r="B818" s="209" t="s">
        <v>491</v>
      </c>
      <c r="C818" s="209">
        <v>24</v>
      </c>
      <c r="D818" s="272" t="s">
        <v>509</v>
      </c>
      <c r="E818" s="209">
        <v>0</v>
      </c>
      <c r="F818" s="209">
        <v>0</v>
      </c>
      <c r="G818" s="209">
        <v>0</v>
      </c>
      <c r="H818" s="209">
        <v>0</v>
      </c>
      <c r="I818" s="209">
        <v>0</v>
      </c>
      <c r="J818" s="209">
        <v>0</v>
      </c>
      <c r="K818" s="209">
        <v>2</v>
      </c>
    </row>
    <row r="819" spans="1:11">
      <c r="A819" s="208">
        <v>42652</v>
      </c>
      <c r="B819" s="209" t="s">
        <v>491</v>
      </c>
      <c r="C819" s="209">
        <v>25</v>
      </c>
      <c r="D819" s="272" t="s">
        <v>471</v>
      </c>
      <c r="E819" s="209">
        <v>0</v>
      </c>
      <c r="F819" s="209">
        <v>0</v>
      </c>
      <c r="G819" s="209">
        <v>0</v>
      </c>
      <c r="H819" s="209">
        <v>0</v>
      </c>
      <c r="I819" s="209">
        <v>0</v>
      </c>
      <c r="J819" s="209">
        <v>0</v>
      </c>
      <c r="K819" s="209">
        <v>18</v>
      </c>
    </row>
    <row r="820" spans="1:11">
      <c r="A820" s="208">
        <v>42652</v>
      </c>
      <c r="B820" s="209" t="s">
        <v>491</v>
      </c>
      <c r="C820" s="209">
        <v>26</v>
      </c>
      <c r="D820" s="272" t="s">
        <v>510</v>
      </c>
      <c r="E820" s="209">
        <v>0</v>
      </c>
      <c r="F820" s="209">
        <v>1</v>
      </c>
      <c r="G820" s="209">
        <v>1</v>
      </c>
      <c r="H820" s="209">
        <v>0</v>
      </c>
      <c r="I820" s="209">
        <v>1</v>
      </c>
      <c r="J820" s="209">
        <v>1</v>
      </c>
      <c r="K820" s="209">
        <v>182</v>
      </c>
    </row>
    <row r="821" spans="1:11">
      <c r="A821" s="208">
        <v>42652</v>
      </c>
      <c r="B821" s="209" t="s">
        <v>529</v>
      </c>
      <c r="C821" s="209">
        <v>1</v>
      </c>
      <c r="D821" s="272" t="s">
        <v>549</v>
      </c>
      <c r="E821" s="209">
        <v>0</v>
      </c>
      <c r="F821" s="209">
        <v>0</v>
      </c>
      <c r="G821" s="209">
        <v>0</v>
      </c>
      <c r="H821" s="209" t="s">
        <v>242</v>
      </c>
      <c r="I821" s="209" t="s">
        <v>242</v>
      </c>
      <c r="J821" s="209" t="s">
        <v>242</v>
      </c>
      <c r="K821" s="209">
        <v>0</v>
      </c>
    </row>
    <row r="822" spans="1:11">
      <c r="A822" s="208">
        <v>42652</v>
      </c>
      <c r="B822" s="209" t="s">
        <v>529</v>
      </c>
      <c r="C822" s="209">
        <v>2</v>
      </c>
      <c r="D822" s="272" t="s">
        <v>508</v>
      </c>
      <c r="E822" s="209">
        <v>2</v>
      </c>
      <c r="F822" s="209">
        <v>5</v>
      </c>
      <c r="G822" s="209">
        <v>5</v>
      </c>
      <c r="H822" s="209">
        <v>2</v>
      </c>
      <c r="I822" s="209">
        <v>4</v>
      </c>
      <c r="J822" s="209">
        <v>4</v>
      </c>
      <c r="K822" s="209">
        <v>266</v>
      </c>
    </row>
    <row r="823" spans="1:11">
      <c r="A823" s="208">
        <v>42652</v>
      </c>
      <c r="B823" s="209" t="s">
        <v>529</v>
      </c>
      <c r="C823" s="209">
        <v>3</v>
      </c>
      <c r="D823" s="272" t="s">
        <v>466</v>
      </c>
      <c r="E823" s="209">
        <v>1</v>
      </c>
      <c r="F823" s="209">
        <v>13</v>
      </c>
      <c r="G823" s="209">
        <v>13</v>
      </c>
      <c r="H823" s="209">
        <v>1</v>
      </c>
      <c r="I823" s="209">
        <v>5</v>
      </c>
      <c r="J823" s="209">
        <v>5</v>
      </c>
      <c r="K823" s="209">
        <v>1155</v>
      </c>
    </row>
    <row r="824" spans="1:11">
      <c r="A824" s="208">
        <v>42652</v>
      </c>
      <c r="B824" s="209" t="s">
        <v>529</v>
      </c>
      <c r="C824" s="209">
        <v>4</v>
      </c>
      <c r="D824" s="272" t="s">
        <v>484</v>
      </c>
      <c r="E824" s="209">
        <v>0</v>
      </c>
      <c r="F824" s="209">
        <v>2</v>
      </c>
      <c r="G824" s="209">
        <v>2</v>
      </c>
      <c r="H824" s="209">
        <v>0</v>
      </c>
      <c r="I824" s="209">
        <v>1</v>
      </c>
      <c r="J824" s="209">
        <v>1</v>
      </c>
      <c r="K824" s="209">
        <v>518</v>
      </c>
    </row>
    <row r="825" spans="1:11">
      <c r="A825" s="208">
        <v>42652</v>
      </c>
      <c r="B825" s="209" t="s">
        <v>529</v>
      </c>
      <c r="C825" s="209">
        <v>5</v>
      </c>
      <c r="D825" s="272" t="s">
        <v>462</v>
      </c>
      <c r="E825" s="209">
        <v>0</v>
      </c>
      <c r="F825" s="209">
        <v>0</v>
      </c>
      <c r="G825" s="209">
        <v>0</v>
      </c>
      <c r="H825" s="209">
        <v>0</v>
      </c>
      <c r="I825" s="209">
        <v>0</v>
      </c>
      <c r="J825" s="209">
        <v>0</v>
      </c>
      <c r="K825" s="209">
        <v>1513</v>
      </c>
    </row>
    <row r="826" spans="1:11">
      <c r="A826" s="208">
        <v>42652</v>
      </c>
      <c r="B826" s="209" t="s">
        <v>529</v>
      </c>
      <c r="C826" s="209">
        <v>6</v>
      </c>
      <c r="D826" s="272" t="s">
        <v>463</v>
      </c>
      <c r="E826" s="209">
        <v>0</v>
      </c>
      <c r="F826" s="209">
        <v>2</v>
      </c>
      <c r="G826" s="209">
        <v>2</v>
      </c>
      <c r="H826" s="209">
        <v>0</v>
      </c>
      <c r="I826" s="209">
        <v>1</v>
      </c>
      <c r="J826" s="209">
        <v>1</v>
      </c>
      <c r="K826" s="209">
        <v>2832</v>
      </c>
    </row>
    <row r="827" spans="1:11">
      <c r="A827" s="208">
        <v>42652</v>
      </c>
      <c r="B827" s="209" t="s">
        <v>529</v>
      </c>
      <c r="C827" s="209">
        <v>7</v>
      </c>
      <c r="D827" s="272" t="s">
        <v>464</v>
      </c>
      <c r="E827" s="209">
        <v>0</v>
      </c>
      <c r="F827" s="209">
        <v>1</v>
      </c>
      <c r="G827" s="209">
        <v>1</v>
      </c>
      <c r="H827" s="209">
        <v>0</v>
      </c>
      <c r="I827" s="209">
        <v>1</v>
      </c>
      <c r="J827" s="209">
        <v>1</v>
      </c>
      <c r="K827" s="209">
        <v>612</v>
      </c>
    </row>
    <row r="828" spans="1:11">
      <c r="A828" s="208">
        <v>42652</v>
      </c>
      <c r="B828" s="209" t="s">
        <v>529</v>
      </c>
      <c r="C828" s="209">
        <v>8</v>
      </c>
      <c r="D828" s="272" t="s">
        <v>504</v>
      </c>
      <c r="E828" s="209">
        <v>0</v>
      </c>
      <c r="F828" s="209">
        <v>12</v>
      </c>
      <c r="G828" s="209">
        <v>12</v>
      </c>
      <c r="H828" s="209">
        <v>0</v>
      </c>
      <c r="I828" s="209">
        <v>2</v>
      </c>
      <c r="J828" s="209">
        <v>2</v>
      </c>
      <c r="K828" s="209">
        <v>1519</v>
      </c>
    </row>
    <row r="829" spans="1:11">
      <c r="A829" s="208">
        <v>42652</v>
      </c>
      <c r="B829" s="209" t="s">
        <v>529</v>
      </c>
      <c r="C829" s="209">
        <v>9</v>
      </c>
      <c r="D829" s="272" t="s">
        <v>490</v>
      </c>
      <c r="E829" s="209">
        <v>2</v>
      </c>
      <c r="F829" s="209">
        <v>18</v>
      </c>
      <c r="G829" s="209">
        <v>18</v>
      </c>
      <c r="H829" s="209">
        <v>0</v>
      </c>
      <c r="I829" s="209">
        <v>7</v>
      </c>
      <c r="J829" s="209">
        <v>7</v>
      </c>
      <c r="K829" s="209">
        <v>471</v>
      </c>
    </row>
    <row r="830" spans="1:11">
      <c r="A830" s="208">
        <v>42652</v>
      </c>
      <c r="B830" s="209" t="s">
        <v>529</v>
      </c>
      <c r="C830" s="209">
        <v>10</v>
      </c>
      <c r="D830" s="272" t="s">
        <v>460</v>
      </c>
      <c r="E830" s="209">
        <v>0</v>
      </c>
      <c r="F830" s="209">
        <v>0</v>
      </c>
      <c r="G830" s="209">
        <v>0</v>
      </c>
      <c r="H830" s="209">
        <v>0</v>
      </c>
      <c r="I830" s="209">
        <v>0</v>
      </c>
      <c r="J830" s="209">
        <v>0</v>
      </c>
      <c r="K830" s="209">
        <v>203</v>
      </c>
    </row>
    <row r="831" spans="1:11">
      <c r="A831" s="208">
        <v>42652</v>
      </c>
      <c r="B831" s="209" t="s">
        <v>529</v>
      </c>
      <c r="C831" s="209">
        <v>11</v>
      </c>
      <c r="D831" s="272" t="s">
        <v>490</v>
      </c>
      <c r="E831" s="209">
        <v>2</v>
      </c>
      <c r="F831" s="209">
        <v>18</v>
      </c>
      <c r="G831" s="209">
        <v>18</v>
      </c>
      <c r="H831" s="209">
        <v>0</v>
      </c>
      <c r="I831" s="209">
        <v>7</v>
      </c>
      <c r="J831" s="209">
        <v>7</v>
      </c>
      <c r="K831" s="209">
        <v>471</v>
      </c>
    </row>
    <row r="832" spans="1:11">
      <c r="A832" s="208">
        <v>42652</v>
      </c>
      <c r="B832" s="209" t="s">
        <v>529</v>
      </c>
      <c r="C832" s="209">
        <v>12</v>
      </c>
      <c r="D832" s="272" t="s">
        <v>460</v>
      </c>
      <c r="E832" s="209">
        <v>0</v>
      </c>
      <c r="F832" s="209">
        <v>0</v>
      </c>
      <c r="G832" s="209">
        <v>0</v>
      </c>
      <c r="H832" s="209">
        <v>0</v>
      </c>
      <c r="I832" s="209">
        <v>0</v>
      </c>
      <c r="J832" s="209">
        <v>0</v>
      </c>
      <c r="K832" s="209">
        <v>203</v>
      </c>
    </row>
    <row r="833" spans="1:11">
      <c r="A833" s="208">
        <v>42652</v>
      </c>
      <c r="B833" s="209" t="s">
        <v>529</v>
      </c>
      <c r="C833" s="209">
        <v>13</v>
      </c>
      <c r="D833" s="272" t="s">
        <v>465</v>
      </c>
      <c r="E833" s="209">
        <v>1</v>
      </c>
      <c r="F833" s="209">
        <v>5</v>
      </c>
      <c r="G833" s="209">
        <v>5</v>
      </c>
      <c r="H833" s="209">
        <v>0</v>
      </c>
      <c r="I833" s="209">
        <v>4</v>
      </c>
      <c r="J833" s="209">
        <v>4</v>
      </c>
      <c r="K833" s="209">
        <v>290</v>
      </c>
    </row>
    <row r="834" spans="1:11">
      <c r="A834" s="208">
        <v>42652</v>
      </c>
      <c r="B834" s="209" t="s">
        <v>529</v>
      </c>
      <c r="C834" s="209">
        <v>14</v>
      </c>
      <c r="D834" s="272" t="s">
        <v>505</v>
      </c>
      <c r="E834" s="209">
        <v>0</v>
      </c>
      <c r="F834" s="209">
        <v>1</v>
      </c>
      <c r="G834" s="209">
        <v>1</v>
      </c>
      <c r="H834" s="209">
        <v>0</v>
      </c>
      <c r="I834" s="209">
        <v>0</v>
      </c>
      <c r="J834" s="209">
        <v>0</v>
      </c>
      <c r="K834" s="209">
        <v>1186</v>
      </c>
    </row>
    <row r="835" spans="1:11">
      <c r="A835" s="208">
        <v>42652</v>
      </c>
      <c r="B835" s="209" t="s">
        <v>529</v>
      </c>
      <c r="C835" s="209">
        <v>15</v>
      </c>
      <c r="D835" s="272" t="s">
        <v>467</v>
      </c>
      <c r="E835" s="209">
        <v>0</v>
      </c>
      <c r="F835" s="209">
        <v>0</v>
      </c>
      <c r="G835" s="209">
        <v>0</v>
      </c>
      <c r="H835" s="209">
        <v>0</v>
      </c>
      <c r="I835" s="209">
        <v>0</v>
      </c>
      <c r="J835" s="209">
        <v>0</v>
      </c>
      <c r="K835" s="209">
        <v>32</v>
      </c>
    </row>
    <row r="836" spans="1:11">
      <c r="A836" s="208">
        <v>42652</v>
      </c>
      <c r="B836" s="209" t="s">
        <v>529</v>
      </c>
      <c r="C836" s="209">
        <v>16</v>
      </c>
      <c r="D836" s="272" t="s">
        <v>472</v>
      </c>
      <c r="E836" s="209">
        <v>0</v>
      </c>
      <c r="F836" s="209">
        <v>0</v>
      </c>
      <c r="G836" s="209">
        <v>0</v>
      </c>
      <c r="H836" s="209">
        <v>0</v>
      </c>
      <c r="I836" s="209">
        <v>0</v>
      </c>
      <c r="J836" s="209">
        <v>0</v>
      </c>
      <c r="K836" s="209">
        <v>1</v>
      </c>
    </row>
    <row r="837" spans="1:11">
      <c r="A837" s="208">
        <v>42652</v>
      </c>
      <c r="B837" s="209" t="s">
        <v>529</v>
      </c>
      <c r="C837" s="209">
        <v>17</v>
      </c>
      <c r="D837" s="272" t="s">
        <v>507</v>
      </c>
      <c r="E837" s="209">
        <v>0</v>
      </c>
      <c r="F837" s="209">
        <v>3</v>
      </c>
      <c r="G837" s="209">
        <v>3</v>
      </c>
      <c r="H837" s="209">
        <v>0</v>
      </c>
      <c r="I837" s="209">
        <v>1</v>
      </c>
      <c r="J837" s="209">
        <v>1</v>
      </c>
      <c r="K837" s="209">
        <v>678</v>
      </c>
    </row>
    <row r="838" spans="1:11">
      <c r="A838" s="208">
        <v>42652</v>
      </c>
      <c r="B838" s="209" t="s">
        <v>529</v>
      </c>
      <c r="C838" s="209">
        <v>18</v>
      </c>
      <c r="D838" s="272" t="s">
        <v>479</v>
      </c>
      <c r="E838" s="209">
        <v>0</v>
      </c>
      <c r="F838" s="209">
        <v>1</v>
      </c>
      <c r="G838" s="209">
        <v>1</v>
      </c>
      <c r="H838" s="209">
        <v>0</v>
      </c>
      <c r="I838" s="209">
        <v>0</v>
      </c>
      <c r="J838" s="209">
        <v>0</v>
      </c>
      <c r="K838" s="209">
        <v>513</v>
      </c>
    </row>
    <row r="839" spans="1:11">
      <c r="A839" s="208">
        <v>42652</v>
      </c>
      <c r="B839" s="209" t="s">
        <v>529</v>
      </c>
      <c r="C839" s="209">
        <v>19</v>
      </c>
      <c r="D839" s="272" t="s">
        <v>480</v>
      </c>
      <c r="E839" s="209">
        <v>0</v>
      </c>
      <c r="F839" s="209">
        <v>0</v>
      </c>
      <c r="G839" s="209">
        <v>0</v>
      </c>
      <c r="H839" s="209">
        <v>0</v>
      </c>
      <c r="I839" s="209">
        <v>0</v>
      </c>
      <c r="J839" s="209">
        <v>0</v>
      </c>
      <c r="K839" s="209">
        <v>41</v>
      </c>
    </row>
    <row r="840" spans="1:11">
      <c r="A840" s="208">
        <v>42652</v>
      </c>
      <c r="B840" s="209" t="s">
        <v>529</v>
      </c>
      <c r="C840" s="209">
        <v>20</v>
      </c>
      <c r="D840" s="272" t="s">
        <v>468</v>
      </c>
      <c r="E840" s="209">
        <v>0</v>
      </c>
      <c r="F840" s="209">
        <v>0</v>
      </c>
      <c r="G840" s="209">
        <v>0</v>
      </c>
      <c r="H840" s="209">
        <v>0</v>
      </c>
      <c r="I840" s="209">
        <v>0</v>
      </c>
      <c r="J840" s="209">
        <v>0</v>
      </c>
      <c r="K840" s="209">
        <v>796</v>
      </c>
    </row>
    <row r="841" spans="1:11">
      <c r="A841" s="208">
        <v>42652</v>
      </c>
      <c r="B841" s="209" t="s">
        <v>529</v>
      </c>
      <c r="C841" s="209">
        <v>21</v>
      </c>
      <c r="D841" s="272" t="s">
        <v>489</v>
      </c>
      <c r="E841" s="209">
        <v>2</v>
      </c>
      <c r="F841" s="209">
        <v>32</v>
      </c>
      <c r="G841" s="209">
        <v>32</v>
      </c>
      <c r="H841" s="209">
        <v>0</v>
      </c>
      <c r="I841" s="209">
        <v>12</v>
      </c>
      <c r="J841" s="209">
        <v>12</v>
      </c>
      <c r="K841" s="209">
        <v>4941</v>
      </c>
    </row>
    <row r="842" spans="1:11">
      <c r="A842" s="208">
        <v>42652</v>
      </c>
      <c r="B842" s="209" t="s">
        <v>529</v>
      </c>
      <c r="C842" s="209">
        <v>22</v>
      </c>
      <c r="D842" s="272" t="s">
        <v>469</v>
      </c>
      <c r="E842" s="209">
        <v>0</v>
      </c>
      <c r="F842" s="209">
        <v>0</v>
      </c>
      <c r="G842" s="209">
        <v>0</v>
      </c>
      <c r="H842" s="209">
        <v>0</v>
      </c>
      <c r="I842" s="209">
        <v>0</v>
      </c>
      <c r="J842" s="209">
        <v>0</v>
      </c>
      <c r="K842" s="209">
        <v>1636</v>
      </c>
    </row>
    <row r="843" spans="1:11">
      <c r="A843" s="208">
        <v>42652</v>
      </c>
      <c r="B843" s="209" t="s">
        <v>529</v>
      </c>
      <c r="C843" s="209">
        <v>23</v>
      </c>
      <c r="D843" s="272" t="s">
        <v>470</v>
      </c>
      <c r="E843" s="209">
        <v>0</v>
      </c>
      <c r="F843" s="209">
        <v>3</v>
      </c>
      <c r="G843" s="209">
        <v>3</v>
      </c>
      <c r="H843" s="209">
        <v>0</v>
      </c>
      <c r="I843" s="209">
        <v>0</v>
      </c>
      <c r="J843" s="209">
        <v>0</v>
      </c>
      <c r="K843" s="209">
        <v>1440</v>
      </c>
    </row>
    <row r="844" spans="1:11">
      <c r="A844" s="208">
        <v>42652</v>
      </c>
      <c r="B844" s="209" t="s">
        <v>529</v>
      </c>
      <c r="C844" s="209">
        <v>24</v>
      </c>
      <c r="D844" s="272" t="s">
        <v>471</v>
      </c>
      <c r="E844" s="209">
        <v>0</v>
      </c>
      <c r="F844" s="209">
        <v>3</v>
      </c>
      <c r="G844" s="209">
        <v>3</v>
      </c>
      <c r="H844" s="209">
        <v>0</v>
      </c>
      <c r="I844" s="209">
        <v>0</v>
      </c>
      <c r="J844" s="209">
        <v>0</v>
      </c>
      <c r="K844" s="209">
        <v>805</v>
      </c>
    </row>
    <row r="845" spans="1:11">
      <c r="A845" s="208">
        <v>42652</v>
      </c>
      <c r="B845" s="209" t="s">
        <v>529</v>
      </c>
      <c r="C845" s="209">
        <v>25</v>
      </c>
      <c r="D845" s="272" t="s">
        <v>510</v>
      </c>
      <c r="E845" s="209">
        <v>0</v>
      </c>
      <c r="F845" s="209">
        <v>0</v>
      </c>
      <c r="G845" s="209">
        <v>0</v>
      </c>
      <c r="H845" s="209">
        <v>0</v>
      </c>
      <c r="I845" s="209">
        <v>0</v>
      </c>
      <c r="J845" s="209">
        <v>0</v>
      </c>
      <c r="K845" s="209">
        <v>114</v>
      </c>
    </row>
    <row r="846" spans="1:11">
      <c r="A846" s="208">
        <v>42653</v>
      </c>
      <c r="B846" s="209" t="s">
        <v>511</v>
      </c>
      <c r="C846" s="209">
        <v>1</v>
      </c>
      <c r="D846" s="272" t="s">
        <v>484</v>
      </c>
      <c r="E846" s="209">
        <v>0</v>
      </c>
      <c r="F846" s="209">
        <v>2</v>
      </c>
      <c r="G846" s="209">
        <v>2</v>
      </c>
      <c r="H846" s="209">
        <v>0</v>
      </c>
      <c r="I846" s="209">
        <v>1</v>
      </c>
      <c r="J846" s="209">
        <v>1</v>
      </c>
      <c r="K846" s="209">
        <v>148</v>
      </c>
    </row>
    <row r="847" spans="1:11">
      <c r="A847" s="208">
        <v>42653</v>
      </c>
      <c r="B847" s="209" t="s">
        <v>511</v>
      </c>
      <c r="C847" s="209">
        <v>2</v>
      </c>
      <c r="D847" s="272" t="s">
        <v>461</v>
      </c>
      <c r="E847" s="209">
        <v>0</v>
      </c>
      <c r="F847" s="209">
        <v>0</v>
      </c>
      <c r="G847" s="209">
        <v>0</v>
      </c>
      <c r="H847" s="209">
        <v>0</v>
      </c>
      <c r="I847" s="209">
        <v>0</v>
      </c>
      <c r="J847" s="209">
        <v>0</v>
      </c>
      <c r="K847" s="209">
        <v>2241</v>
      </c>
    </row>
    <row r="848" spans="1:11">
      <c r="A848" s="208">
        <v>42653</v>
      </c>
      <c r="B848" s="209" t="s">
        <v>511</v>
      </c>
      <c r="C848" s="209">
        <v>3</v>
      </c>
      <c r="D848" s="272" t="s">
        <v>487</v>
      </c>
      <c r="E848" s="209">
        <v>0</v>
      </c>
      <c r="F848" s="209">
        <v>4</v>
      </c>
      <c r="G848" s="209">
        <v>4</v>
      </c>
      <c r="H848" s="209">
        <v>0</v>
      </c>
      <c r="I848" s="209">
        <v>4</v>
      </c>
      <c r="J848" s="209">
        <v>4</v>
      </c>
      <c r="K848" s="209">
        <v>535</v>
      </c>
    </row>
    <row r="849" spans="1:11">
      <c r="A849" s="208">
        <v>42653</v>
      </c>
      <c r="B849" s="209" t="s">
        <v>511</v>
      </c>
      <c r="C849" s="209">
        <v>4</v>
      </c>
      <c r="D849" s="272" t="s">
        <v>462</v>
      </c>
      <c r="E849" s="209">
        <v>0</v>
      </c>
      <c r="F849" s="209">
        <v>0</v>
      </c>
      <c r="G849" s="209">
        <v>0</v>
      </c>
      <c r="H849" s="209">
        <v>0</v>
      </c>
      <c r="I849" s="209">
        <v>0</v>
      </c>
      <c r="J849" s="209">
        <v>0</v>
      </c>
      <c r="K849" s="209">
        <v>557</v>
      </c>
    </row>
    <row r="850" spans="1:11">
      <c r="A850" s="208">
        <v>42653</v>
      </c>
      <c r="B850" s="209" t="s">
        <v>511</v>
      </c>
      <c r="C850" s="209">
        <v>5</v>
      </c>
      <c r="D850" s="272" t="s">
        <v>463</v>
      </c>
      <c r="E850" s="209">
        <v>0</v>
      </c>
      <c r="F850" s="209">
        <v>3</v>
      </c>
      <c r="G850" s="209">
        <v>3</v>
      </c>
      <c r="H850" s="209">
        <v>0</v>
      </c>
      <c r="I850" s="209">
        <v>2</v>
      </c>
      <c r="J850" s="209">
        <v>2</v>
      </c>
      <c r="K850" s="209">
        <v>2957</v>
      </c>
    </row>
    <row r="851" spans="1:11">
      <c r="A851" s="208">
        <v>42653</v>
      </c>
      <c r="B851" s="209" t="s">
        <v>511</v>
      </c>
      <c r="C851" s="209">
        <v>6</v>
      </c>
      <c r="D851" s="272" t="s">
        <v>464</v>
      </c>
      <c r="E851" s="209">
        <v>0</v>
      </c>
      <c r="F851" s="209">
        <v>0</v>
      </c>
      <c r="G851" s="209">
        <v>0</v>
      </c>
      <c r="H851" s="209">
        <v>0</v>
      </c>
      <c r="I851" s="209">
        <v>0</v>
      </c>
      <c r="J851" s="209">
        <v>0</v>
      </c>
      <c r="K851" s="209">
        <v>247</v>
      </c>
    </row>
    <row r="852" spans="1:11">
      <c r="A852" s="208">
        <v>42653</v>
      </c>
      <c r="B852" s="209" t="s">
        <v>511</v>
      </c>
      <c r="C852" s="209">
        <v>7</v>
      </c>
      <c r="D852" s="272" t="s">
        <v>504</v>
      </c>
      <c r="E852" s="209">
        <v>0</v>
      </c>
      <c r="F852" s="209">
        <v>9</v>
      </c>
      <c r="G852" s="209">
        <v>9</v>
      </c>
      <c r="H852" s="209">
        <v>0</v>
      </c>
      <c r="I852" s="209">
        <v>5</v>
      </c>
      <c r="J852" s="209">
        <v>5</v>
      </c>
      <c r="K852" s="209">
        <v>1262</v>
      </c>
    </row>
    <row r="853" spans="1:11">
      <c r="A853" s="208">
        <v>42653</v>
      </c>
      <c r="B853" s="209" t="s">
        <v>511</v>
      </c>
      <c r="C853" s="209">
        <v>8</v>
      </c>
      <c r="D853" s="272" t="s">
        <v>490</v>
      </c>
      <c r="E853" s="209">
        <v>1</v>
      </c>
      <c r="F853" s="209">
        <v>2</v>
      </c>
      <c r="G853" s="209">
        <v>2</v>
      </c>
      <c r="H853" s="209">
        <v>0</v>
      </c>
      <c r="I853" s="209">
        <v>0</v>
      </c>
      <c r="J853" s="209">
        <v>0</v>
      </c>
      <c r="K853" s="209">
        <v>74</v>
      </c>
    </row>
    <row r="854" spans="1:11">
      <c r="A854" s="208">
        <v>42653</v>
      </c>
      <c r="B854" s="209" t="s">
        <v>511</v>
      </c>
      <c r="C854" s="209">
        <v>9</v>
      </c>
      <c r="D854" s="272" t="s">
        <v>460</v>
      </c>
      <c r="E854" s="209">
        <v>4</v>
      </c>
      <c r="F854" s="209">
        <v>10</v>
      </c>
      <c r="G854" s="209">
        <v>10</v>
      </c>
      <c r="H854" s="209">
        <v>0</v>
      </c>
      <c r="I854" s="209">
        <v>2</v>
      </c>
      <c r="J854" s="209">
        <v>2</v>
      </c>
      <c r="K854" s="209">
        <v>940</v>
      </c>
    </row>
    <row r="855" spans="1:11">
      <c r="A855" s="208">
        <v>42653</v>
      </c>
      <c r="B855" s="209" t="s">
        <v>511</v>
      </c>
      <c r="C855" s="209">
        <v>10</v>
      </c>
      <c r="D855" s="272" t="s">
        <v>465</v>
      </c>
      <c r="E855" s="209">
        <v>1</v>
      </c>
      <c r="F855" s="209">
        <v>14</v>
      </c>
      <c r="G855" s="209">
        <v>14</v>
      </c>
      <c r="H855" s="209">
        <v>0</v>
      </c>
      <c r="I855" s="209">
        <v>3</v>
      </c>
      <c r="J855" s="209">
        <v>3</v>
      </c>
      <c r="K855" s="209">
        <v>1256</v>
      </c>
    </row>
    <row r="856" spans="1:11">
      <c r="A856" s="208">
        <v>42653</v>
      </c>
      <c r="B856" s="209" t="s">
        <v>511</v>
      </c>
      <c r="C856" s="209">
        <v>11</v>
      </c>
      <c r="D856" s="272" t="s">
        <v>505</v>
      </c>
      <c r="E856" s="209">
        <v>0</v>
      </c>
      <c r="F856" s="209">
        <v>5</v>
      </c>
      <c r="G856" s="209">
        <v>5</v>
      </c>
      <c r="H856" s="209">
        <v>0</v>
      </c>
      <c r="I856" s="209">
        <v>2</v>
      </c>
      <c r="J856" s="209">
        <v>2</v>
      </c>
      <c r="K856" s="209">
        <v>989</v>
      </c>
    </row>
    <row r="857" spans="1:11">
      <c r="A857" s="208">
        <v>42653</v>
      </c>
      <c r="B857" s="209" t="s">
        <v>511</v>
      </c>
      <c r="C857" s="209">
        <v>12</v>
      </c>
      <c r="D857" s="272" t="s">
        <v>466</v>
      </c>
      <c r="E857" s="209">
        <v>0</v>
      </c>
      <c r="F857" s="209">
        <v>19</v>
      </c>
      <c r="G857" s="209">
        <v>19</v>
      </c>
      <c r="H857" s="209">
        <v>0</v>
      </c>
      <c r="I857" s="209">
        <v>6</v>
      </c>
      <c r="J857" s="209">
        <v>6</v>
      </c>
      <c r="K857" s="209">
        <v>1132</v>
      </c>
    </row>
    <row r="858" spans="1:11">
      <c r="A858" s="208">
        <v>42653</v>
      </c>
      <c r="B858" s="209" t="s">
        <v>511</v>
      </c>
      <c r="C858" s="209">
        <v>13</v>
      </c>
      <c r="D858" s="272" t="s">
        <v>467</v>
      </c>
      <c r="E858" s="209">
        <v>0</v>
      </c>
      <c r="F858" s="209">
        <v>5</v>
      </c>
      <c r="G858" s="209">
        <v>5</v>
      </c>
      <c r="H858" s="209">
        <v>0</v>
      </c>
      <c r="I858" s="209">
        <v>1</v>
      </c>
      <c r="J858" s="209">
        <v>1</v>
      </c>
      <c r="K858" s="209">
        <v>659</v>
      </c>
    </row>
    <row r="859" spans="1:11">
      <c r="A859" s="208">
        <v>42653</v>
      </c>
      <c r="B859" s="209" t="s">
        <v>511</v>
      </c>
      <c r="C859" s="209">
        <v>14</v>
      </c>
      <c r="D859" s="272" t="s">
        <v>472</v>
      </c>
      <c r="E859" s="209">
        <v>0</v>
      </c>
      <c r="F859" s="209">
        <v>0</v>
      </c>
      <c r="G859" s="209">
        <v>0</v>
      </c>
      <c r="H859" s="209">
        <v>0</v>
      </c>
      <c r="I859" s="209">
        <v>0</v>
      </c>
      <c r="J859" s="209">
        <v>0</v>
      </c>
      <c r="K859" s="209">
        <v>1</v>
      </c>
    </row>
    <row r="860" spans="1:11">
      <c r="A860" s="208">
        <v>42653</v>
      </c>
      <c r="B860" s="209" t="s">
        <v>511</v>
      </c>
      <c r="C860" s="209">
        <v>15</v>
      </c>
      <c r="D860" s="272" t="s">
        <v>507</v>
      </c>
      <c r="E860" s="209">
        <v>0</v>
      </c>
      <c r="F860" s="209">
        <v>0</v>
      </c>
      <c r="G860" s="209">
        <v>0</v>
      </c>
      <c r="H860" s="209">
        <v>0</v>
      </c>
      <c r="I860" s="209">
        <v>0</v>
      </c>
      <c r="J860" s="209">
        <v>0</v>
      </c>
      <c r="K860" s="209">
        <v>25</v>
      </c>
    </row>
    <row r="861" spans="1:11">
      <c r="A861" s="208">
        <v>42653</v>
      </c>
      <c r="B861" s="209" t="s">
        <v>511</v>
      </c>
      <c r="C861" s="209">
        <v>16</v>
      </c>
      <c r="D861" s="272" t="s">
        <v>479</v>
      </c>
      <c r="E861" s="209">
        <v>0</v>
      </c>
      <c r="F861" s="209">
        <v>1</v>
      </c>
      <c r="G861" s="209">
        <v>1</v>
      </c>
      <c r="H861" s="209">
        <v>0</v>
      </c>
      <c r="I861" s="209">
        <v>1</v>
      </c>
      <c r="J861" s="209">
        <v>1</v>
      </c>
      <c r="K861" s="209">
        <v>344</v>
      </c>
    </row>
    <row r="862" spans="1:11">
      <c r="A862" s="208">
        <v>42653</v>
      </c>
      <c r="B862" s="209" t="s">
        <v>511</v>
      </c>
      <c r="C862" s="209">
        <v>17</v>
      </c>
      <c r="D862" s="272" t="s">
        <v>480</v>
      </c>
      <c r="E862" s="209">
        <v>0</v>
      </c>
      <c r="F862" s="209">
        <v>1</v>
      </c>
      <c r="G862" s="209">
        <v>1</v>
      </c>
      <c r="H862" s="209">
        <v>0</v>
      </c>
      <c r="I862" s="209">
        <v>0</v>
      </c>
      <c r="J862" s="209">
        <v>0</v>
      </c>
      <c r="K862" s="209">
        <v>55</v>
      </c>
    </row>
    <row r="863" spans="1:11">
      <c r="A863" s="208">
        <v>42653</v>
      </c>
      <c r="B863" s="209" t="s">
        <v>511</v>
      </c>
      <c r="C863" s="209">
        <v>18</v>
      </c>
      <c r="D863" s="272" t="s">
        <v>508</v>
      </c>
      <c r="E863" s="209">
        <v>0</v>
      </c>
      <c r="F863" s="209">
        <v>6</v>
      </c>
      <c r="G863" s="209">
        <v>6</v>
      </c>
      <c r="H863" s="209">
        <v>0</v>
      </c>
      <c r="I863" s="209">
        <v>3</v>
      </c>
      <c r="J863" s="209">
        <v>3</v>
      </c>
      <c r="K863" s="209">
        <v>304</v>
      </c>
    </row>
    <row r="864" spans="1:11">
      <c r="A864" s="208">
        <v>42653</v>
      </c>
      <c r="B864" s="209" t="s">
        <v>511</v>
      </c>
      <c r="C864" s="209">
        <v>19</v>
      </c>
      <c r="D864" s="272" t="s">
        <v>468</v>
      </c>
      <c r="E864" s="209">
        <v>0</v>
      </c>
      <c r="F864" s="209">
        <v>0</v>
      </c>
      <c r="G864" s="209">
        <v>0</v>
      </c>
      <c r="H864" s="209">
        <v>0</v>
      </c>
      <c r="I864" s="209">
        <v>0</v>
      </c>
      <c r="J864" s="209">
        <v>0</v>
      </c>
      <c r="K864" s="209">
        <v>81</v>
      </c>
    </row>
    <row r="865" spans="1:11">
      <c r="A865" s="208">
        <v>42653</v>
      </c>
      <c r="B865" s="209" t="s">
        <v>511</v>
      </c>
      <c r="C865" s="209">
        <v>20</v>
      </c>
      <c r="D865" s="272" t="s">
        <v>489</v>
      </c>
      <c r="E865" s="209">
        <v>0</v>
      </c>
      <c r="F865" s="209">
        <v>1</v>
      </c>
      <c r="G865" s="209">
        <v>1</v>
      </c>
      <c r="H865" s="209">
        <v>0</v>
      </c>
      <c r="I865" s="209">
        <v>1</v>
      </c>
      <c r="J865" s="209">
        <v>1</v>
      </c>
      <c r="K865" s="209">
        <v>347</v>
      </c>
    </row>
    <row r="866" spans="1:11">
      <c r="A866" s="208">
        <v>42653</v>
      </c>
      <c r="B866" s="209" t="s">
        <v>511</v>
      </c>
      <c r="C866" s="209">
        <v>21</v>
      </c>
      <c r="D866" s="272" t="s">
        <v>469</v>
      </c>
      <c r="E866" s="209">
        <v>0</v>
      </c>
      <c r="F866" s="209">
        <v>0</v>
      </c>
      <c r="G866" s="209">
        <v>0</v>
      </c>
      <c r="H866" s="209">
        <v>0</v>
      </c>
      <c r="I866" s="209">
        <v>0</v>
      </c>
      <c r="J866" s="209">
        <v>0</v>
      </c>
      <c r="K866" s="209">
        <v>1178</v>
      </c>
    </row>
    <row r="867" spans="1:11">
      <c r="A867" s="208">
        <v>42653</v>
      </c>
      <c r="B867" s="209" t="s">
        <v>511</v>
      </c>
      <c r="C867" s="209">
        <v>22</v>
      </c>
      <c r="D867" s="272" t="s">
        <v>470</v>
      </c>
      <c r="E867" s="209">
        <v>0</v>
      </c>
      <c r="F867" s="209">
        <v>1</v>
      </c>
      <c r="G867" s="209">
        <v>1</v>
      </c>
      <c r="H867" s="209">
        <v>0</v>
      </c>
      <c r="I867" s="209">
        <v>0</v>
      </c>
      <c r="J867" s="209">
        <v>0</v>
      </c>
      <c r="K867" s="209">
        <v>504</v>
      </c>
    </row>
    <row r="868" spans="1:11">
      <c r="A868" s="208">
        <v>42653</v>
      </c>
      <c r="B868" s="209" t="s">
        <v>511</v>
      </c>
      <c r="C868" s="209">
        <v>23</v>
      </c>
      <c r="D868" s="272" t="s">
        <v>471</v>
      </c>
      <c r="E868" s="209">
        <v>0</v>
      </c>
      <c r="F868" s="209">
        <v>1</v>
      </c>
      <c r="G868" s="209">
        <v>1</v>
      </c>
      <c r="H868" s="209">
        <v>0</v>
      </c>
      <c r="I868" s="209">
        <v>0</v>
      </c>
      <c r="J868" s="209">
        <v>0</v>
      </c>
      <c r="K868" s="209">
        <v>88</v>
      </c>
    </row>
    <row r="869" spans="1:11">
      <c r="A869" s="208">
        <v>42653</v>
      </c>
      <c r="B869" s="209" t="s">
        <v>511</v>
      </c>
      <c r="C869" s="209">
        <v>24</v>
      </c>
      <c r="D869" s="272" t="s">
        <v>510</v>
      </c>
      <c r="E869" s="209">
        <v>0</v>
      </c>
      <c r="F869" s="209">
        <v>0</v>
      </c>
      <c r="G869" s="209">
        <v>0</v>
      </c>
      <c r="H869" s="209">
        <v>0</v>
      </c>
      <c r="I869" s="209">
        <v>0</v>
      </c>
      <c r="J869" s="209">
        <v>0</v>
      </c>
      <c r="K869" s="209">
        <v>189</v>
      </c>
    </row>
    <row r="870" spans="1:11">
      <c r="A870" s="208">
        <v>42653</v>
      </c>
      <c r="B870" s="209" t="s">
        <v>519</v>
      </c>
      <c r="C870" s="209">
        <v>1</v>
      </c>
      <c r="D870" s="272" t="s">
        <v>487</v>
      </c>
      <c r="E870" s="209">
        <v>1</v>
      </c>
      <c r="F870" s="209">
        <v>3</v>
      </c>
      <c r="G870" s="209">
        <v>3</v>
      </c>
      <c r="H870" s="209">
        <v>1</v>
      </c>
      <c r="I870" s="209">
        <v>3</v>
      </c>
      <c r="J870" s="209">
        <v>3</v>
      </c>
      <c r="K870" s="209">
        <v>411</v>
      </c>
    </row>
    <row r="871" spans="1:11">
      <c r="A871" s="208">
        <v>42653</v>
      </c>
      <c r="B871" s="209" t="s">
        <v>519</v>
      </c>
      <c r="C871" s="209">
        <v>2</v>
      </c>
      <c r="D871" s="272" t="s">
        <v>490</v>
      </c>
      <c r="E871" s="209">
        <v>1</v>
      </c>
      <c r="F871" s="209">
        <v>11</v>
      </c>
      <c r="G871" s="209">
        <v>11</v>
      </c>
      <c r="H871" s="209">
        <v>1</v>
      </c>
      <c r="I871" s="209">
        <v>10</v>
      </c>
      <c r="J871" s="209">
        <v>10</v>
      </c>
      <c r="K871" s="209">
        <v>349</v>
      </c>
    </row>
    <row r="872" spans="1:11">
      <c r="A872" s="208">
        <v>42653</v>
      </c>
      <c r="B872" s="209" t="s">
        <v>519</v>
      </c>
      <c r="C872" s="209">
        <v>3</v>
      </c>
      <c r="D872" s="272" t="s">
        <v>484</v>
      </c>
      <c r="E872" s="209">
        <v>0</v>
      </c>
      <c r="F872" s="209">
        <v>3</v>
      </c>
      <c r="G872" s="209">
        <v>3</v>
      </c>
      <c r="H872" s="209">
        <v>0</v>
      </c>
      <c r="I872" s="209">
        <v>2</v>
      </c>
      <c r="J872" s="209">
        <v>2</v>
      </c>
      <c r="K872" s="209">
        <v>273</v>
      </c>
    </row>
    <row r="873" spans="1:11">
      <c r="A873" s="208">
        <v>42653</v>
      </c>
      <c r="B873" s="209" t="s">
        <v>519</v>
      </c>
      <c r="C873" s="209">
        <v>4</v>
      </c>
      <c r="D873" s="272" t="s">
        <v>461</v>
      </c>
      <c r="E873" s="209">
        <v>0</v>
      </c>
      <c r="F873" s="209">
        <v>0</v>
      </c>
      <c r="G873" s="209">
        <v>0</v>
      </c>
      <c r="H873" s="209">
        <v>0</v>
      </c>
      <c r="I873" s="209">
        <v>0</v>
      </c>
      <c r="J873" s="209">
        <v>0</v>
      </c>
      <c r="K873" s="209">
        <v>1489</v>
      </c>
    </row>
    <row r="874" spans="1:11">
      <c r="A874" s="208">
        <v>42653</v>
      </c>
      <c r="B874" s="209" t="s">
        <v>519</v>
      </c>
      <c r="C874" s="209">
        <v>5</v>
      </c>
      <c r="D874" s="272" t="s">
        <v>462</v>
      </c>
      <c r="E874" s="209">
        <v>0</v>
      </c>
      <c r="F874" s="209">
        <v>0</v>
      </c>
      <c r="G874" s="209">
        <v>0</v>
      </c>
      <c r="H874" s="209">
        <v>0</v>
      </c>
      <c r="I874" s="209">
        <v>0</v>
      </c>
      <c r="J874" s="209">
        <v>0</v>
      </c>
      <c r="K874" s="209">
        <v>554</v>
      </c>
    </row>
    <row r="875" spans="1:11">
      <c r="A875" s="208">
        <v>42653</v>
      </c>
      <c r="B875" s="209" t="s">
        <v>519</v>
      </c>
      <c r="C875" s="209">
        <v>6</v>
      </c>
      <c r="D875" s="272" t="s">
        <v>463</v>
      </c>
      <c r="E875" s="209">
        <v>0</v>
      </c>
      <c r="F875" s="209">
        <v>1</v>
      </c>
      <c r="G875" s="209">
        <v>1</v>
      </c>
      <c r="H875" s="209">
        <v>0</v>
      </c>
      <c r="I875" s="209">
        <v>0</v>
      </c>
      <c r="J875" s="209">
        <v>0</v>
      </c>
      <c r="K875" s="209">
        <v>4039</v>
      </c>
    </row>
    <row r="876" spans="1:11">
      <c r="A876" s="208">
        <v>42653</v>
      </c>
      <c r="B876" s="209" t="s">
        <v>519</v>
      </c>
      <c r="C876" s="209">
        <v>7</v>
      </c>
      <c r="D876" s="272" t="s">
        <v>464</v>
      </c>
      <c r="E876" s="209">
        <v>0</v>
      </c>
      <c r="F876" s="209">
        <v>0</v>
      </c>
      <c r="G876" s="209">
        <v>0</v>
      </c>
      <c r="H876" s="209">
        <v>0</v>
      </c>
      <c r="I876" s="209">
        <v>0</v>
      </c>
      <c r="J876" s="209">
        <v>0</v>
      </c>
      <c r="K876" s="209">
        <v>175</v>
      </c>
    </row>
    <row r="877" spans="1:11">
      <c r="A877" s="208">
        <v>42653</v>
      </c>
      <c r="B877" s="209" t="s">
        <v>519</v>
      </c>
      <c r="C877" s="209">
        <v>8</v>
      </c>
      <c r="D877" s="272" t="s">
        <v>504</v>
      </c>
      <c r="E877" s="209">
        <v>0</v>
      </c>
      <c r="F877" s="209">
        <v>4</v>
      </c>
      <c r="G877" s="209">
        <v>4</v>
      </c>
      <c r="H877" s="209">
        <v>0</v>
      </c>
      <c r="I877" s="209">
        <v>3</v>
      </c>
      <c r="J877" s="209">
        <v>3</v>
      </c>
      <c r="K877" s="209">
        <v>1300</v>
      </c>
    </row>
    <row r="878" spans="1:11">
      <c r="A878" s="208">
        <v>42653</v>
      </c>
      <c r="B878" s="209" t="s">
        <v>519</v>
      </c>
      <c r="C878" s="209">
        <v>9</v>
      </c>
      <c r="D878" s="272" t="s">
        <v>460</v>
      </c>
      <c r="E878" s="209">
        <v>2</v>
      </c>
      <c r="F878" s="209">
        <v>9</v>
      </c>
      <c r="G878" s="209">
        <v>9</v>
      </c>
      <c r="H878" s="209">
        <v>0</v>
      </c>
      <c r="I878" s="209">
        <v>3</v>
      </c>
      <c r="J878" s="209">
        <v>3</v>
      </c>
      <c r="K878" s="209">
        <v>372</v>
      </c>
    </row>
    <row r="879" spans="1:11">
      <c r="A879" s="208">
        <v>42653</v>
      </c>
      <c r="B879" s="209" t="s">
        <v>519</v>
      </c>
      <c r="C879" s="209">
        <v>10</v>
      </c>
      <c r="D879" s="272" t="s">
        <v>465</v>
      </c>
      <c r="E879" s="209">
        <v>0</v>
      </c>
      <c r="F879" s="209">
        <v>25</v>
      </c>
      <c r="G879" s="209">
        <v>25</v>
      </c>
      <c r="H879" s="209">
        <v>0</v>
      </c>
      <c r="I879" s="209">
        <v>9</v>
      </c>
      <c r="J879" s="209">
        <v>9</v>
      </c>
      <c r="K879" s="209">
        <v>1369</v>
      </c>
    </row>
    <row r="880" spans="1:11">
      <c r="A880" s="208">
        <v>42653</v>
      </c>
      <c r="B880" s="209" t="s">
        <v>519</v>
      </c>
      <c r="C880" s="209">
        <v>11</v>
      </c>
      <c r="D880" s="272" t="s">
        <v>505</v>
      </c>
      <c r="E880" s="209">
        <v>0</v>
      </c>
      <c r="F880" s="209">
        <v>3</v>
      </c>
      <c r="G880" s="209">
        <v>3</v>
      </c>
      <c r="H880" s="209">
        <v>0</v>
      </c>
      <c r="I880" s="209">
        <v>1</v>
      </c>
      <c r="J880" s="209">
        <v>1</v>
      </c>
      <c r="K880" s="209">
        <v>1036</v>
      </c>
    </row>
    <row r="881" spans="1:11">
      <c r="A881" s="208">
        <v>42653</v>
      </c>
      <c r="B881" s="209" t="s">
        <v>519</v>
      </c>
      <c r="C881" s="209">
        <v>12</v>
      </c>
      <c r="D881" s="272" t="s">
        <v>466</v>
      </c>
      <c r="E881" s="209">
        <v>0</v>
      </c>
      <c r="F881" s="209">
        <v>18</v>
      </c>
      <c r="G881" s="209">
        <v>18</v>
      </c>
      <c r="H881" s="209">
        <v>0</v>
      </c>
      <c r="I881" s="209">
        <v>4</v>
      </c>
      <c r="J881" s="209">
        <v>4</v>
      </c>
      <c r="K881" s="209">
        <v>903</v>
      </c>
    </row>
    <row r="882" spans="1:11">
      <c r="A882" s="208">
        <v>42653</v>
      </c>
      <c r="B882" s="209" t="s">
        <v>519</v>
      </c>
      <c r="C882" s="209">
        <v>13</v>
      </c>
      <c r="D882" s="272" t="s">
        <v>467</v>
      </c>
      <c r="E882" s="209">
        <v>0</v>
      </c>
      <c r="F882" s="209">
        <v>0</v>
      </c>
      <c r="G882" s="209">
        <v>0</v>
      </c>
      <c r="H882" s="209">
        <v>0</v>
      </c>
      <c r="I882" s="209">
        <v>0</v>
      </c>
      <c r="J882" s="209">
        <v>0</v>
      </c>
      <c r="K882" s="209">
        <v>276</v>
      </c>
    </row>
    <row r="883" spans="1:11">
      <c r="A883" s="208">
        <v>42653</v>
      </c>
      <c r="B883" s="209" t="s">
        <v>519</v>
      </c>
      <c r="C883" s="209">
        <v>14</v>
      </c>
      <c r="D883" s="272" t="s">
        <v>472</v>
      </c>
      <c r="E883" s="209">
        <v>0</v>
      </c>
      <c r="F883" s="209">
        <v>0</v>
      </c>
      <c r="G883" s="209">
        <v>0</v>
      </c>
      <c r="H883" s="209">
        <v>0</v>
      </c>
      <c r="I883" s="209">
        <v>0</v>
      </c>
      <c r="J883" s="209">
        <v>0</v>
      </c>
      <c r="K883" s="209">
        <v>5</v>
      </c>
    </row>
    <row r="884" spans="1:11">
      <c r="A884" s="208">
        <v>42653</v>
      </c>
      <c r="B884" s="209" t="s">
        <v>519</v>
      </c>
      <c r="C884" s="209">
        <v>15</v>
      </c>
      <c r="D884" s="272" t="s">
        <v>479</v>
      </c>
      <c r="E884" s="209">
        <v>0</v>
      </c>
      <c r="F884" s="209">
        <v>1</v>
      </c>
      <c r="G884" s="209">
        <v>1</v>
      </c>
      <c r="H884" s="209">
        <v>0</v>
      </c>
      <c r="I884" s="209">
        <v>1</v>
      </c>
      <c r="J884" s="209">
        <v>1</v>
      </c>
      <c r="K884" s="209">
        <v>821</v>
      </c>
    </row>
    <row r="885" spans="1:11">
      <c r="A885" s="208">
        <v>42653</v>
      </c>
      <c r="B885" s="209" t="s">
        <v>519</v>
      </c>
      <c r="C885" s="209">
        <v>16</v>
      </c>
      <c r="D885" s="272" t="s">
        <v>480</v>
      </c>
      <c r="E885" s="209">
        <v>0</v>
      </c>
      <c r="F885" s="209">
        <v>3</v>
      </c>
      <c r="G885" s="209">
        <v>3</v>
      </c>
      <c r="H885" s="209">
        <v>0</v>
      </c>
      <c r="I885" s="209">
        <v>3</v>
      </c>
      <c r="J885" s="209">
        <v>3</v>
      </c>
      <c r="K885" s="209">
        <v>549</v>
      </c>
    </row>
    <row r="886" spans="1:11">
      <c r="A886" s="208">
        <v>42653</v>
      </c>
      <c r="B886" s="209" t="s">
        <v>519</v>
      </c>
      <c r="C886" s="209">
        <v>17</v>
      </c>
      <c r="D886" s="272" t="s">
        <v>508</v>
      </c>
      <c r="E886" s="209">
        <v>1</v>
      </c>
      <c r="F886" s="209">
        <v>3</v>
      </c>
      <c r="G886" s="209">
        <v>3</v>
      </c>
      <c r="H886" s="209">
        <v>0</v>
      </c>
      <c r="I886" s="209">
        <v>1</v>
      </c>
      <c r="J886" s="209">
        <v>1</v>
      </c>
      <c r="K886" s="209">
        <v>234</v>
      </c>
    </row>
    <row r="887" spans="1:11">
      <c r="A887" s="208">
        <v>42653</v>
      </c>
      <c r="B887" s="209" t="s">
        <v>519</v>
      </c>
      <c r="C887" s="209">
        <v>18</v>
      </c>
      <c r="D887" s="272" t="s">
        <v>468</v>
      </c>
      <c r="E887" s="209">
        <v>0</v>
      </c>
      <c r="F887" s="209">
        <v>0</v>
      </c>
      <c r="G887" s="209">
        <v>0</v>
      </c>
      <c r="H887" s="209">
        <v>0</v>
      </c>
      <c r="I887" s="209">
        <v>0</v>
      </c>
      <c r="J887" s="209">
        <v>0</v>
      </c>
      <c r="K887" s="209">
        <v>336</v>
      </c>
    </row>
    <row r="888" spans="1:11">
      <c r="A888" s="208">
        <v>42653</v>
      </c>
      <c r="B888" s="209" t="s">
        <v>519</v>
      </c>
      <c r="C888" s="209">
        <v>19</v>
      </c>
      <c r="D888" s="272" t="s">
        <v>489</v>
      </c>
      <c r="E888" s="209">
        <v>0</v>
      </c>
      <c r="F888" s="209">
        <v>3</v>
      </c>
      <c r="G888" s="209">
        <v>3</v>
      </c>
      <c r="H888" s="209">
        <v>0</v>
      </c>
      <c r="I888" s="209">
        <v>1</v>
      </c>
      <c r="J888" s="209">
        <v>1</v>
      </c>
      <c r="K888" s="209">
        <v>940</v>
      </c>
    </row>
    <row r="889" spans="1:11">
      <c r="A889" s="208">
        <v>42653</v>
      </c>
      <c r="B889" s="209" t="s">
        <v>519</v>
      </c>
      <c r="C889" s="209">
        <v>20</v>
      </c>
      <c r="D889" s="272" t="s">
        <v>469</v>
      </c>
      <c r="E889" s="209">
        <v>0</v>
      </c>
      <c r="F889" s="209">
        <v>0</v>
      </c>
      <c r="G889" s="209">
        <v>0</v>
      </c>
      <c r="H889" s="209">
        <v>0</v>
      </c>
      <c r="I889" s="209">
        <v>0</v>
      </c>
      <c r="J889" s="209">
        <v>0</v>
      </c>
      <c r="K889" s="209">
        <v>1034</v>
      </c>
    </row>
    <row r="890" spans="1:11">
      <c r="A890" s="208">
        <v>42653</v>
      </c>
      <c r="B890" s="209" t="s">
        <v>519</v>
      </c>
      <c r="C890" s="209">
        <v>21</v>
      </c>
      <c r="D890" s="272" t="s">
        <v>470</v>
      </c>
      <c r="E890" s="209">
        <v>1</v>
      </c>
      <c r="F890" s="209">
        <v>3</v>
      </c>
      <c r="G890" s="209">
        <v>3</v>
      </c>
      <c r="H890" s="209">
        <v>0</v>
      </c>
      <c r="I890" s="209">
        <v>1</v>
      </c>
      <c r="J890" s="209">
        <v>1</v>
      </c>
      <c r="K890" s="209">
        <v>683</v>
      </c>
    </row>
    <row r="891" spans="1:11">
      <c r="A891" s="208">
        <v>42653</v>
      </c>
      <c r="B891" s="209" t="s">
        <v>519</v>
      </c>
      <c r="C891" s="209">
        <v>22</v>
      </c>
      <c r="D891" s="272" t="s">
        <v>471</v>
      </c>
      <c r="E891" s="209">
        <v>0</v>
      </c>
      <c r="F891" s="209">
        <v>0</v>
      </c>
      <c r="G891" s="209">
        <v>0</v>
      </c>
      <c r="H891" s="209">
        <v>0</v>
      </c>
      <c r="I891" s="209">
        <v>0</v>
      </c>
      <c r="J891" s="209">
        <v>0</v>
      </c>
      <c r="K891" s="209">
        <v>210</v>
      </c>
    </row>
    <row r="892" spans="1:11">
      <c r="A892" s="208">
        <v>42653</v>
      </c>
      <c r="B892" s="209" t="s">
        <v>519</v>
      </c>
      <c r="C892" s="209">
        <v>23</v>
      </c>
      <c r="D892" s="272" t="s">
        <v>510</v>
      </c>
      <c r="E892" s="209">
        <v>0</v>
      </c>
      <c r="F892" s="209">
        <v>3</v>
      </c>
      <c r="G892" s="209">
        <v>3</v>
      </c>
      <c r="H892" s="209">
        <v>0</v>
      </c>
      <c r="I892" s="209">
        <v>3</v>
      </c>
      <c r="J892" s="209">
        <v>3</v>
      </c>
      <c r="K892" s="209">
        <v>287</v>
      </c>
    </row>
    <row r="893" spans="1:11">
      <c r="A893" s="208">
        <v>42653</v>
      </c>
      <c r="B893" s="209" t="s">
        <v>491</v>
      </c>
      <c r="C893" s="209">
        <v>1</v>
      </c>
      <c r="D893" s="272" t="s">
        <v>484</v>
      </c>
      <c r="E893" s="209">
        <v>0</v>
      </c>
      <c r="F893" s="209">
        <v>0</v>
      </c>
      <c r="G893" s="209">
        <v>0</v>
      </c>
      <c r="H893" s="209">
        <v>0</v>
      </c>
      <c r="I893" s="209">
        <v>0</v>
      </c>
      <c r="J893" s="209">
        <v>0</v>
      </c>
      <c r="K893" s="209">
        <v>102</v>
      </c>
    </row>
    <row r="894" spans="1:11">
      <c r="A894" s="208">
        <v>42653</v>
      </c>
      <c r="B894" s="209" t="s">
        <v>491</v>
      </c>
      <c r="C894" s="209">
        <v>2</v>
      </c>
      <c r="D894" s="272" t="s">
        <v>461</v>
      </c>
      <c r="E894" s="209">
        <v>0</v>
      </c>
      <c r="F894" s="209">
        <v>0</v>
      </c>
      <c r="G894" s="209">
        <v>0</v>
      </c>
      <c r="H894" s="209">
        <v>0</v>
      </c>
      <c r="I894" s="209">
        <v>0</v>
      </c>
      <c r="J894" s="209">
        <v>0</v>
      </c>
      <c r="K894" s="209">
        <v>1514</v>
      </c>
    </row>
    <row r="895" spans="1:11">
      <c r="A895" s="208">
        <v>42653</v>
      </c>
      <c r="B895" s="209" t="s">
        <v>491</v>
      </c>
      <c r="C895" s="209">
        <v>3</v>
      </c>
      <c r="D895" s="272" t="s">
        <v>487</v>
      </c>
      <c r="E895" s="209">
        <v>0</v>
      </c>
      <c r="F895" s="209">
        <v>1</v>
      </c>
      <c r="G895" s="209">
        <v>1</v>
      </c>
      <c r="H895" s="209">
        <v>0</v>
      </c>
      <c r="I895" s="209">
        <v>1</v>
      </c>
      <c r="J895" s="209">
        <v>1</v>
      </c>
      <c r="K895" s="209">
        <v>441</v>
      </c>
    </row>
    <row r="896" spans="1:11">
      <c r="A896" s="208">
        <v>42653</v>
      </c>
      <c r="B896" s="209" t="s">
        <v>491</v>
      </c>
      <c r="C896" s="209">
        <v>4</v>
      </c>
      <c r="D896" s="272" t="s">
        <v>462</v>
      </c>
      <c r="E896" s="209">
        <v>0</v>
      </c>
      <c r="F896" s="209">
        <v>0</v>
      </c>
      <c r="G896" s="209">
        <v>0</v>
      </c>
      <c r="H896" s="209">
        <v>0</v>
      </c>
      <c r="I896" s="209">
        <v>0</v>
      </c>
      <c r="J896" s="209">
        <v>0</v>
      </c>
      <c r="K896" s="209">
        <v>119</v>
      </c>
    </row>
    <row r="897" spans="1:11">
      <c r="A897" s="208">
        <v>42653</v>
      </c>
      <c r="B897" s="209" t="s">
        <v>491</v>
      </c>
      <c r="C897" s="209">
        <v>5</v>
      </c>
      <c r="D897" s="272" t="s">
        <v>463</v>
      </c>
      <c r="E897" s="209">
        <v>0</v>
      </c>
      <c r="F897" s="209">
        <v>3</v>
      </c>
      <c r="G897" s="209">
        <v>3</v>
      </c>
      <c r="H897" s="209">
        <v>0</v>
      </c>
      <c r="I897" s="209">
        <v>1</v>
      </c>
      <c r="J897" s="209">
        <v>1</v>
      </c>
      <c r="K897" s="209">
        <v>2801</v>
      </c>
    </row>
    <row r="898" spans="1:11">
      <c r="A898" s="208">
        <v>42653</v>
      </c>
      <c r="B898" s="209" t="s">
        <v>491</v>
      </c>
      <c r="C898" s="209">
        <v>6</v>
      </c>
      <c r="D898" s="272" t="s">
        <v>464</v>
      </c>
      <c r="E898" s="209">
        <v>0</v>
      </c>
      <c r="F898" s="209">
        <v>0</v>
      </c>
      <c r="G898" s="209">
        <v>0</v>
      </c>
      <c r="H898" s="209">
        <v>0</v>
      </c>
      <c r="I898" s="209">
        <v>0</v>
      </c>
      <c r="J898" s="209">
        <v>0</v>
      </c>
      <c r="K898" s="209">
        <v>130</v>
      </c>
    </row>
    <row r="899" spans="1:11">
      <c r="A899" s="208">
        <v>42653</v>
      </c>
      <c r="B899" s="209" t="s">
        <v>491</v>
      </c>
      <c r="C899" s="209">
        <v>7</v>
      </c>
      <c r="D899" s="272" t="s">
        <v>504</v>
      </c>
      <c r="E899" s="209">
        <v>0</v>
      </c>
      <c r="F899" s="209">
        <v>5</v>
      </c>
      <c r="G899" s="209">
        <v>5</v>
      </c>
      <c r="H899" s="209">
        <v>0</v>
      </c>
      <c r="I899" s="209">
        <v>1</v>
      </c>
      <c r="J899" s="209">
        <v>1</v>
      </c>
      <c r="K899" s="209">
        <v>1449</v>
      </c>
    </row>
    <row r="900" spans="1:11">
      <c r="A900" s="208">
        <v>42653</v>
      </c>
      <c r="B900" s="209" t="s">
        <v>491</v>
      </c>
      <c r="C900" s="209">
        <v>8</v>
      </c>
      <c r="D900" s="272" t="s">
        <v>490</v>
      </c>
      <c r="E900" s="209">
        <v>0</v>
      </c>
      <c r="F900" s="209">
        <v>0</v>
      </c>
      <c r="G900" s="209">
        <v>0</v>
      </c>
      <c r="H900" s="209">
        <v>0</v>
      </c>
      <c r="I900" s="209">
        <v>0</v>
      </c>
      <c r="J900" s="209">
        <v>0</v>
      </c>
      <c r="K900" s="209">
        <v>2</v>
      </c>
    </row>
    <row r="901" spans="1:11">
      <c r="A901" s="208">
        <v>42653</v>
      </c>
      <c r="B901" s="209" t="s">
        <v>491</v>
      </c>
      <c r="C901" s="209">
        <v>9</v>
      </c>
      <c r="D901" s="272" t="s">
        <v>460</v>
      </c>
      <c r="E901" s="209">
        <v>1</v>
      </c>
      <c r="F901" s="209">
        <v>12</v>
      </c>
      <c r="G901" s="209">
        <v>12</v>
      </c>
      <c r="H901" s="209">
        <v>0</v>
      </c>
      <c r="I901" s="209">
        <v>1</v>
      </c>
      <c r="J901" s="209">
        <v>1</v>
      </c>
      <c r="K901" s="209">
        <v>777</v>
      </c>
    </row>
    <row r="902" spans="1:11">
      <c r="A902" s="208">
        <v>42653</v>
      </c>
      <c r="B902" s="209" t="s">
        <v>491</v>
      </c>
      <c r="C902" s="209">
        <v>10</v>
      </c>
      <c r="D902" s="272" t="s">
        <v>465</v>
      </c>
      <c r="E902" s="209">
        <v>0</v>
      </c>
      <c r="F902" s="209">
        <v>5</v>
      </c>
      <c r="G902" s="209">
        <v>5</v>
      </c>
      <c r="H902" s="209">
        <v>0</v>
      </c>
      <c r="I902" s="209">
        <v>3</v>
      </c>
      <c r="J902" s="209">
        <v>3</v>
      </c>
      <c r="K902" s="209">
        <v>421</v>
      </c>
    </row>
    <row r="903" spans="1:11">
      <c r="A903" s="208">
        <v>42653</v>
      </c>
      <c r="B903" s="209" t="s">
        <v>491</v>
      </c>
      <c r="C903" s="209">
        <v>11</v>
      </c>
      <c r="D903" s="272" t="s">
        <v>505</v>
      </c>
      <c r="E903" s="209">
        <v>0</v>
      </c>
      <c r="F903" s="209">
        <v>5</v>
      </c>
      <c r="G903" s="209">
        <v>5</v>
      </c>
      <c r="H903" s="209">
        <v>0</v>
      </c>
      <c r="I903" s="209">
        <v>2</v>
      </c>
      <c r="J903" s="209">
        <v>2</v>
      </c>
      <c r="K903" s="209">
        <v>1017</v>
      </c>
    </row>
    <row r="904" spans="1:11">
      <c r="A904" s="208">
        <v>42653</v>
      </c>
      <c r="B904" s="209" t="s">
        <v>491</v>
      </c>
      <c r="C904" s="209">
        <v>12</v>
      </c>
      <c r="D904" s="272" t="s">
        <v>506</v>
      </c>
      <c r="E904" s="209">
        <v>0</v>
      </c>
      <c r="F904" s="209">
        <v>0</v>
      </c>
      <c r="G904" s="209">
        <v>0</v>
      </c>
      <c r="H904" s="209">
        <v>0</v>
      </c>
      <c r="I904" s="209">
        <v>0</v>
      </c>
      <c r="J904" s="209">
        <v>0</v>
      </c>
      <c r="K904" s="209">
        <v>2</v>
      </c>
    </row>
    <row r="905" spans="1:11">
      <c r="A905" s="208">
        <v>42653</v>
      </c>
      <c r="B905" s="209" t="s">
        <v>491</v>
      </c>
      <c r="C905" s="209">
        <v>13</v>
      </c>
      <c r="D905" s="272" t="s">
        <v>466</v>
      </c>
      <c r="E905" s="209">
        <v>0</v>
      </c>
      <c r="F905" s="209">
        <v>7</v>
      </c>
      <c r="G905" s="209">
        <v>7</v>
      </c>
      <c r="H905" s="209">
        <v>0</v>
      </c>
      <c r="I905" s="209">
        <v>2</v>
      </c>
      <c r="J905" s="209">
        <v>2</v>
      </c>
      <c r="K905" s="209">
        <v>560</v>
      </c>
    </row>
    <row r="906" spans="1:11">
      <c r="A906" s="208">
        <v>42653</v>
      </c>
      <c r="B906" s="209" t="s">
        <v>491</v>
      </c>
      <c r="C906" s="209">
        <v>14</v>
      </c>
      <c r="D906" s="272" t="s">
        <v>467</v>
      </c>
      <c r="E906" s="209">
        <v>0</v>
      </c>
      <c r="F906" s="209">
        <v>3</v>
      </c>
      <c r="G906" s="209">
        <v>3</v>
      </c>
      <c r="H906" s="209">
        <v>0</v>
      </c>
      <c r="I906" s="209">
        <v>1</v>
      </c>
      <c r="J906" s="209">
        <v>1</v>
      </c>
      <c r="K906" s="209">
        <v>565</v>
      </c>
    </row>
    <row r="907" spans="1:11">
      <c r="A907" s="208">
        <v>42653</v>
      </c>
      <c r="B907" s="209" t="s">
        <v>491</v>
      </c>
      <c r="C907" s="209">
        <v>15</v>
      </c>
      <c r="D907" s="272" t="s">
        <v>472</v>
      </c>
      <c r="E907" s="209">
        <v>0</v>
      </c>
      <c r="F907" s="209">
        <v>0</v>
      </c>
      <c r="G907" s="209">
        <v>0</v>
      </c>
      <c r="H907" s="209">
        <v>0</v>
      </c>
      <c r="I907" s="209">
        <v>0</v>
      </c>
      <c r="J907" s="209">
        <v>0</v>
      </c>
      <c r="K907" s="209">
        <v>8</v>
      </c>
    </row>
    <row r="908" spans="1:11">
      <c r="A908" s="208">
        <v>42653</v>
      </c>
      <c r="B908" s="209" t="s">
        <v>491</v>
      </c>
      <c r="C908" s="209">
        <v>16</v>
      </c>
      <c r="D908" s="272" t="s">
        <v>507</v>
      </c>
      <c r="E908" s="209">
        <v>0</v>
      </c>
      <c r="F908" s="209">
        <v>0</v>
      </c>
      <c r="G908" s="209">
        <v>0</v>
      </c>
      <c r="H908" s="209">
        <v>0</v>
      </c>
      <c r="I908" s="209">
        <v>0</v>
      </c>
      <c r="J908" s="209">
        <v>0</v>
      </c>
      <c r="K908" s="209">
        <v>8</v>
      </c>
    </row>
    <row r="909" spans="1:11">
      <c r="A909" s="208">
        <v>42653</v>
      </c>
      <c r="B909" s="209" t="s">
        <v>491</v>
      </c>
      <c r="C909" s="209">
        <v>17</v>
      </c>
      <c r="D909" s="272" t="s">
        <v>479</v>
      </c>
      <c r="E909" s="209">
        <v>0</v>
      </c>
      <c r="F909" s="209">
        <v>0</v>
      </c>
      <c r="G909" s="209">
        <v>0</v>
      </c>
      <c r="H909" s="209">
        <v>0</v>
      </c>
      <c r="I909" s="209">
        <v>0</v>
      </c>
      <c r="J909" s="209">
        <v>0</v>
      </c>
      <c r="K909" s="209">
        <v>181</v>
      </c>
    </row>
    <row r="910" spans="1:11">
      <c r="A910" s="208">
        <v>42653</v>
      </c>
      <c r="B910" s="209" t="s">
        <v>491</v>
      </c>
      <c r="C910" s="209">
        <v>18</v>
      </c>
      <c r="D910" s="272" t="s">
        <v>480</v>
      </c>
      <c r="E910" s="209">
        <v>0</v>
      </c>
      <c r="F910" s="209">
        <v>0</v>
      </c>
      <c r="G910" s="209">
        <v>0</v>
      </c>
      <c r="H910" s="209">
        <v>0</v>
      </c>
      <c r="I910" s="209">
        <v>0</v>
      </c>
      <c r="J910" s="209">
        <v>0</v>
      </c>
      <c r="K910" s="209">
        <v>26</v>
      </c>
    </row>
    <row r="911" spans="1:11">
      <c r="A911" s="208">
        <v>42653</v>
      </c>
      <c r="B911" s="209" t="s">
        <v>491</v>
      </c>
      <c r="C911" s="209">
        <v>19</v>
      </c>
      <c r="D911" s="272" t="s">
        <v>508</v>
      </c>
      <c r="E911" s="209">
        <v>0</v>
      </c>
      <c r="F911" s="209">
        <v>4</v>
      </c>
      <c r="G911" s="209">
        <v>4</v>
      </c>
      <c r="H911" s="209">
        <v>0</v>
      </c>
      <c r="I911" s="209">
        <v>1</v>
      </c>
      <c r="J911" s="209">
        <v>1</v>
      </c>
      <c r="K911" s="209">
        <v>283</v>
      </c>
    </row>
    <row r="912" spans="1:11">
      <c r="A912" s="208">
        <v>42653</v>
      </c>
      <c r="B912" s="209" t="s">
        <v>491</v>
      </c>
      <c r="C912" s="209">
        <v>20</v>
      </c>
      <c r="D912" s="272" t="s">
        <v>468</v>
      </c>
      <c r="E912" s="209">
        <v>0</v>
      </c>
      <c r="F912" s="209">
        <v>0</v>
      </c>
      <c r="G912" s="209">
        <v>0</v>
      </c>
      <c r="H912" s="209">
        <v>0</v>
      </c>
      <c r="I912" s="209">
        <v>0</v>
      </c>
      <c r="J912" s="209">
        <v>0</v>
      </c>
      <c r="K912" s="209">
        <v>11</v>
      </c>
    </row>
    <row r="913" spans="1:11">
      <c r="A913" s="208">
        <v>42653</v>
      </c>
      <c r="B913" s="209" t="s">
        <v>491</v>
      </c>
      <c r="C913" s="209">
        <v>21</v>
      </c>
      <c r="D913" s="272" t="s">
        <v>489</v>
      </c>
      <c r="E913" s="209">
        <v>0</v>
      </c>
      <c r="F913" s="209">
        <v>1</v>
      </c>
      <c r="G913" s="209">
        <v>1</v>
      </c>
      <c r="H913" s="209">
        <v>0</v>
      </c>
      <c r="I913" s="209">
        <v>0</v>
      </c>
      <c r="J913" s="209">
        <v>0</v>
      </c>
      <c r="K913" s="209">
        <v>343</v>
      </c>
    </row>
    <row r="914" spans="1:11">
      <c r="A914" s="208">
        <v>42653</v>
      </c>
      <c r="B914" s="209" t="s">
        <v>491</v>
      </c>
      <c r="C914" s="209">
        <v>22</v>
      </c>
      <c r="D914" s="272" t="s">
        <v>469</v>
      </c>
      <c r="E914" s="209">
        <v>0</v>
      </c>
      <c r="F914" s="209">
        <v>0</v>
      </c>
      <c r="G914" s="209">
        <v>0</v>
      </c>
      <c r="H914" s="209">
        <v>0</v>
      </c>
      <c r="I914" s="209">
        <v>0</v>
      </c>
      <c r="J914" s="209">
        <v>0</v>
      </c>
      <c r="K914" s="209">
        <v>267</v>
      </c>
    </row>
    <row r="915" spans="1:11">
      <c r="A915" s="208">
        <v>42653</v>
      </c>
      <c r="B915" s="209" t="s">
        <v>491</v>
      </c>
      <c r="C915" s="209">
        <v>23</v>
      </c>
      <c r="D915" s="272" t="s">
        <v>470</v>
      </c>
      <c r="E915" s="209">
        <v>0</v>
      </c>
      <c r="F915" s="209">
        <v>0</v>
      </c>
      <c r="G915" s="209">
        <v>0</v>
      </c>
      <c r="H915" s="209">
        <v>0</v>
      </c>
      <c r="I915" s="209">
        <v>0</v>
      </c>
      <c r="J915" s="209">
        <v>0</v>
      </c>
      <c r="K915" s="209">
        <v>282</v>
      </c>
    </row>
    <row r="916" spans="1:11">
      <c r="A916" s="208">
        <v>42653</v>
      </c>
      <c r="B916" s="209" t="s">
        <v>491</v>
      </c>
      <c r="C916" s="209">
        <v>24</v>
      </c>
      <c r="D916" s="272" t="s">
        <v>509</v>
      </c>
      <c r="E916" s="209">
        <v>0</v>
      </c>
      <c r="F916" s="209">
        <v>0</v>
      </c>
      <c r="G916" s="209">
        <v>0</v>
      </c>
      <c r="H916" s="209">
        <v>0</v>
      </c>
      <c r="I916" s="209">
        <v>0</v>
      </c>
      <c r="J916" s="209">
        <v>0</v>
      </c>
      <c r="K916" s="209">
        <v>2</v>
      </c>
    </row>
    <row r="917" spans="1:11">
      <c r="A917" s="208">
        <v>42653</v>
      </c>
      <c r="B917" s="209" t="s">
        <v>491</v>
      </c>
      <c r="C917" s="209">
        <v>25</v>
      </c>
      <c r="D917" s="272" t="s">
        <v>471</v>
      </c>
      <c r="E917" s="209">
        <v>0</v>
      </c>
      <c r="F917" s="209">
        <v>0</v>
      </c>
      <c r="G917" s="209">
        <v>0</v>
      </c>
      <c r="H917" s="209">
        <v>0</v>
      </c>
      <c r="I917" s="209">
        <v>0</v>
      </c>
      <c r="J917" s="209">
        <v>0</v>
      </c>
      <c r="K917" s="209">
        <v>19</v>
      </c>
    </row>
    <row r="918" spans="1:11">
      <c r="A918" s="208">
        <v>42653</v>
      </c>
      <c r="B918" s="209" t="s">
        <v>491</v>
      </c>
      <c r="C918" s="209">
        <v>26</v>
      </c>
      <c r="D918" s="272" t="s">
        <v>510</v>
      </c>
      <c r="E918" s="209">
        <v>0</v>
      </c>
      <c r="F918" s="209">
        <v>1</v>
      </c>
      <c r="G918" s="209">
        <v>1</v>
      </c>
      <c r="H918" s="209">
        <v>0</v>
      </c>
      <c r="I918" s="209">
        <v>1</v>
      </c>
      <c r="J918" s="209">
        <v>1</v>
      </c>
      <c r="K918" s="209">
        <v>186</v>
      </c>
    </row>
    <row r="919" spans="1:11">
      <c r="A919" s="208">
        <v>42653</v>
      </c>
      <c r="B919" s="209" t="s">
        <v>529</v>
      </c>
      <c r="C919" s="209">
        <v>1</v>
      </c>
      <c r="D919" s="272" t="s">
        <v>549</v>
      </c>
      <c r="E919" s="209">
        <v>0</v>
      </c>
      <c r="F919" s="209">
        <v>0</v>
      </c>
      <c r="G919" s="209">
        <v>0</v>
      </c>
      <c r="H919" s="209" t="s">
        <v>242</v>
      </c>
      <c r="I919" s="209" t="s">
        <v>242</v>
      </c>
      <c r="J919" s="209" t="s">
        <v>242</v>
      </c>
      <c r="K919" s="209">
        <v>0</v>
      </c>
    </row>
    <row r="920" spans="1:11">
      <c r="A920" s="208">
        <v>42653</v>
      </c>
      <c r="B920" s="209" t="s">
        <v>529</v>
      </c>
      <c r="C920" s="209">
        <v>2</v>
      </c>
      <c r="D920" s="272" t="s">
        <v>465</v>
      </c>
      <c r="E920" s="209">
        <v>2</v>
      </c>
      <c r="F920" s="209">
        <v>7</v>
      </c>
      <c r="G920" s="209">
        <v>7</v>
      </c>
      <c r="H920" s="209">
        <v>1</v>
      </c>
      <c r="I920" s="209">
        <v>5</v>
      </c>
      <c r="J920" s="209">
        <v>5</v>
      </c>
      <c r="K920" s="209">
        <v>416</v>
      </c>
    </row>
    <row r="921" spans="1:11">
      <c r="A921" s="208">
        <v>42653</v>
      </c>
      <c r="B921" s="209" t="s">
        <v>529</v>
      </c>
      <c r="C921" s="209">
        <v>3</v>
      </c>
      <c r="D921" s="272" t="s">
        <v>470</v>
      </c>
      <c r="E921" s="209">
        <v>1</v>
      </c>
      <c r="F921" s="209">
        <v>4</v>
      </c>
      <c r="G921" s="209">
        <v>4</v>
      </c>
      <c r="H921" s="209">
        <v>1</v>
      </c>
      <c r="I921" s="209">
        <v>1</v>
      </c>
      <c r="J921" s="209">
        <v>1</v>
      </c>
      <c r="K921" s="209">
        <v>1484</v>
      </c>
    </row>
    <row r="922" spans="1:11">
      <c r="A922" s="208">
        <v>42653</v>
      </c>
      <c r="B922" s="209" t="s">
        <v>529</v>
      </c>
      <c r="C922" s="209">
        <v>4</v>
      </c>
      <c r="D922" s="272" t="s">
        <v>489</v>
      </c>
      <c r="E922" s="209">
        <v>3</v>
      </c>
      <c r="F922" s="209">
        <v>35</v>
      </c>
      <c r="G922" s="209">
        <v>35</v>
      </c>
      <c r="H922" s="209">
        <v>1</v>
      </c>
      <c r="I922" s="209">
        <v>13</v>
      </c>
      <c r="J922" s="209">
        <v>13</v>
      </c>
      <c r="K922" s="209">
        <v>5057</v>
      </c>
    </row>
    <row r="923" spans="1:11">
      <c r="A923" s="208">
        <v>42653</v>
      </c>
      <c r="B923" s="209" t="s">
        <v>529</v>
      </c>
      <c r="C923" s="209">
        <v>5</v>
      </c>
      <c r="D923" s="272" t="s">
        <v>484</v>
      </c>
      <c r="E923" s="209">
        <v>1</v>
      </c>
      <c r="F923" s="209">
        <v>3</v>
      </c>
      <c r="G923" s="209">
        <v>3</v>
      </c>
      <c r="H923" s="209">
        <v>0</v>
      </c>
      <c r="I923" s="209">
        <v>1</v>
      </c>
      <c r="J923" s="209">
        <v>1</v>
      </c>
      <c r="K923" s="209">
        <v>575</v>
      </c>
    </row>
    <row r="924" spans="1:11">
      <c r="A924" s="208">
        <v>42653</v>
      </c>
      <c r="B924" s="209" t="s">
        <v>529</v>
      </c>
      <c r="C924" s="209">
        <v>6</v>
      </c>
      <c r="D924" s="272" t="s">
        <v>463</v>
      </c>
      <c r="E924" s="209">
        <v>0</v>
      </c>
      <c r="F924" s="209">
        <v>2</v>
      </c>
      <c r="G924" s="209">
        <v>2</v>
      </c>
      <c r="H924" s="209">
        <v>0</v>
      </c>
      <c r="I924" s="209">
        <v>1</v>
      </c>
      <c r="J924" s="209">
        <v>1</v>
      </c>
      <c r="K924" s="209">
        <v>3157</v>
      </c>
    </row>
    <row r="925" spans="1:11">
      <c r="A925" s="208">
        <v>42653</v>
      </c>
      <c r="B925" s="209" t="s">
        <v>529</v>
      </c>
      <c r="C925" s="209">
        <v>7</v>
      </c>
      <c r="D925" s="272" t="s">
        <v>464</v>
      </c>
      <c r="E925" s="209">
        <v>0</v>
      </c>
      <c r="F925" s="209">
        <v>1</v>
      </c>
      <c r="G925" s="209">
        <v>1</v>
      </c>
      <c r="H925" s="209">
        <v>0</v>
      </c>
      <c r="I925" s="209">
        <v>1</v>
      </c>
      <c r="J925" s="209">
        <v>1</v>
      </c>
      <c r="K925" s="209">
        <v>662</v>
      </c>
    </row>
    <row r="926" spans="1:11">
      <c r="A926" s="208">
        <v>42653</v>
      </c>
      <c r="B926" s="209" t="s">
        <v>529</v>
      </c>
      <c r="C926" s="209">
        <v>8</v>
      </c>
      <c r="D926" s="272" t="s">
        <v>504</v>
      </c>
      <c r="E926" s="209">
        <v>4</v>
      </c>
      <c r="F926" s="209">
        <v>17</v>
      </c>
      <c r="G926" s="209">
        <v>17</v>
      </c>
      <c r="H926" s="209">
        <v>0</v>
      </c>
      <c r="I926" s="209">
        <v>3</v>
      </c>
      <c r="J926" s="209">
        <v>3</v>
      </c>
      <c r="K926" s="209">
        <v>1686</v>
      </c>
    </row>
    <row r="927" spans="1:11">
      <c r="A927" s="208">
        <v>42653</v>
      </c>
      <c r="B927" s="209" t="s">
        <v>529</v>
      </c>
      <c r="C927" s="209">
        <v>9</v>
      </c>
      <c r="D927" s="272" t="s">
        <v>490</v>
      </c>
      <c r="E927" s="209">
        <v>4</v>
      </c>
      <c r="F927" s="209">
        <v>22</v>
      </c>
      <c r="G927" s="209">
        <v>22</v>
      </c>
      <c r="H927" s="209">
        <v>0</v>
      </c>
      <c r="I927" s="209">
        <v>7</v>
      </c>
      <c r="J927" s="209">
        <v>7</v>
      </c>
      <c r="K927" s="209">
        <v>572</v>
      </c>
    </row>
    <row r="928" spans="1:11">
      <c r="A928" s="208">
        <v>42653</v>
      </c>
      <c r="B928" s="209" t="s">
        <v>529</v>
      </c>
      <c r="C928" s="209">
        <v>10</v>
      </c>
      <c r="D928" s="272" t="s">
        <v>460</v>
      </c>
      <c r="E928" s="209">
        <v>0</v>
      </c>
      <c r="F928" s="209">
        <v>0</v>
      </c>
      <c r="G928" s="209">
        <v>0</v>
      </c>
      <c r="H928" s="209">
        <v>0</v>
      </c>
      <c r="I928" s="209">
        <v>0</v>
      </c>
      <c r="J928" s="209">
        <v>0</v>
      </c>
      <c r="K928" s="209">
        <v>206</v>
      </c>
    </row>
    <row r="929" spans="1:11">
      <c r="A929" s="208">
        <v>42653</v>
      </c>
      <c r="B929" s="209" t="s">
        <v>529</v>
      </c>
      <c r="C929" s="209">
        <v>11</v>
      </c>
      <c r="D929" s="272" t="s">
        <v>460</v>
      </c>
      <c r="E929" s="209">
        <v>0</v>
      </c>
      <c r="F929" s="209">
        <v>0</v>
      </c>
      <c r="G929" s="209">
        <v>0</v>
      </c>
      <c r="H929" s="209">
        <v>0</v>
      </c>
      <c r="I929" s="209">
        <v>0</v>
      </c>
      <c r="J929" s="209">
        <v>0</v>
      </c>
      <c r="K929" s="209">
        <v>206</v>
      </c>
    </row>
    <row r="930" spans="1:11">
      <c r="A930" s="208">
        <v>42653</v>
      </c>
      <c r="B930" s="209" t="s">
        <v>529</v>
      </c>
      <c r="C930" s="209">
        <v>12</v>
      </c>
      <c r="D930" s="272" t="s">
        <v>505</v>
      </c>
      <c r="E930" s="209">
        <v>0</v>
      </c>
      <c r="F930" s="209">
        <v>1</v>
      </c>
      <c r="G930" s="209">
        <v>1</v>
      </c>
      <c r="H930" s="209">
        <v>0</v>
      </c>
      <c r="I930" s="209">
        <v>0</v>
      </c>
      <c r="J930" s="209">
        <v>0</v>
      </c>
      <c r="K930" s="209">
        <v>1229</v>
      </c>
    </row>
    <row r="931" spans="1:11">
      <c r="A931" s="208">
        <v>42653</v>
      </c>
      <c r="B931" s="209" t="s">
        <v>529</v>
      </c>
      <c r="C931" s="209">
        <v>13</v>
      </c>
      <c r="D931" s="272" t="s">
        <v>466</v>
      </c>
      <c r="E931" s="209">
        <v>0</v>
      </c>
      <c r="F931" s="209">
        <v>14</v>
      </c>
      <c r="G931" s="209">
        <v>14</v>
      </c>
      <c r="H931" s="209">
        <v>0</v>
      </c>
      <c r="I931" s="209">
        <v>5</v>
      </c>
      <c r="J931" s="209">
        <v>5</v>
      </c>
      <c r="K931" s="209">
        <v>1155</v>
      </c>
    </row>
    <row r="932" spans="1:11">
      <c r="A932" s="208">
        <v>42653</v>
      </c>
      <c r="B932" s="209" t="s">
        <v>529</v>
      </c>
      <c r="C932" s="209">
        <v>14</v>
      </c>
      <c r="D932" s="272" t="s">
        <v>467</v>
      </c>
      <c r="E932" s="209">
        <v>0</v>
      </c>
      <c r="F932" s="209">
        <v>0</v>
      </c>
      <c r="G932" s="209">
        <v>0</v>
      </c>
      <c r="H932" s="209">
        <v>0</v>
      </c>
      <c r="I932" s="209">
        <v>0</v>
      </c>
      <c r="J932" s="209">
        <v>0</v>
      </c>
      <c r="K932" s="209">
        <v>33</v>
      </c>
    </row>
    <row r="933" spans="1:11">
      <c r="A933" s="208">
        <v>42653</v>
      </c>
      <c r="B933" s="209" t="s">
        <v>529</v>
      </c>
      <c r="C933" s="209">
        <v>15</v>
      </c>
      <c r="D933" s="272" t="s">
        <v>472</v>
      </c>
      <c r="E933" s="209">
        <v>0</v>
      </c>
      <c r="F933" s="209">
        <v>0</v>
      </c>
      <c r="G933" s="209">
        <v>0</v>
      </c>
      <c r="H933" s="209">
        <v>0</v>
      </c>
      <c r="I933" s="209">
        <v>0</v>
      </c>
      <c r="J933" s="209">
        <v>0</v>
      </c>
      <c r="K933" s="209">
        <v>1</v>
      </c>
    </row>
    <row r="934" spans="1:11">
      <c r="A934" s="208">
        <v>42653</v>
      </c>
      <c r="B934" s="209" t="s">
        <v>529</v>
      </c>
      <c r="C934" s="209">
        <v>16</v>
      </c>
      <c r="D934" s="272" t="s">
        <v>507</v>
      </c>
      <c r="E934" s="209">
        <v>0</v>
      </c>
      <c r="F934" s="209">
        <v>3</v>
      </c>
      <c r="G934" s="209">
        <v>3</v>
      </c>
      <c r="H934" s="209">
        <v>0</v>
      </c>
      <c r="I934" s="209">
        <v>1</v>
      </c>
      <c r="J934" s="209">
        <v>1</v>
      </c>
      <c r="K934" s="209">
        <v>705</v>
      </c>
    </row>
    <row r="935" spans="1:11">
      <c r="A935" s="208">
        <v>42653</v>
      </c>
      <c r="B935" s="209" t="s">
        <v>529</v>
      </c>
      <c r="C935" s="209">
        <v>17</v>
      </c>
      <c r="D935" s="272" t="s">
        <v>479</v>
      </c>
      <c r="E935" s="209">
        <v>0</v>
      </c>
      <c r="F935" s="209">
        <v>1</v>
      </c>
      <c r="G935" s="209">
        <v>1</v>
      </c>
      <c r="H935" s="209">
        <v>0</v>
      </c>
      <c r="I935" s="209">
        <v>0</v>
      </c>
      <c r="J935" s="209">
        <v>0</v>
      </c>
      <c r="K935" s="209">
        <v>560</v>
      </c>
    </row>
    <row r="936" spans="1:11">
      <c r="A936" s="208">
        <v>42653</v>
      </c>
      <c r="B936" s="209" t="s">
        <v>529</v>
      </c>
      <c r="C936" s="209">
        <v>18</v>
      </c>
      <c r="D936" s="272" t="s">
        <v>480</v>
      </c>
      <c r="E936" s="209">
        <v>0</v>
      </c>
      <c r="F936" s="209">
        <v>0</v>
      </c>
      <c r="G936" s="209">
        <v>0</v>
      </c>
      <c r="H936" s="209">
        <v>0</v>
      </c>
      <c r="I936" s="209">
        <v>0</v>
      </c>
      <c r="J936" s="209">
        <v>0</v>
      </c>
      <c r="K936" s="209">
        <v>41</v>
      </c>
    </row>
    <row r="937" spans="1:11">
      <c r="A937" s="208">
        <v>42653</v>
      </c>
      <c r="B937" s="209" t="s">
        <v>529</v>
      </c>
      <c r="C937" s="209">
        <v>19</v>
      </c>
      <c r="D937" s="272" t="s">
        <v>508</v>
      </c>
      <c r="E937" s="209">
        <v>2</v>
      </c>
      <c r="F937" s="209">
        <v>8</v>
      </c>
      <c r="G937" s="209">
        <v>8</v>
      </c>
      <c r="H937" s="209">
        <v>0</v>
      </c>
      <c r="I937" s="209">
        <v>4</v>
      </c>
      <c r="J937" s="209">
        <v>4</v>
      </c>
      <c r="K937" s="209">
        <v>298</v>
      </c>
    </row>
    <row r="938" spans="1:11">
      <c r="A938" s="208">
        <v>42653</v>
      </c>
      <c r="B938" s="209" t="s">
        <v>529</v>
      </c>
      <c r="C938" s="209">
        <v>20</v>
      </c>
      <c r="D938" s="272" t="s">
        <v>468</v>
      </c>
      <c r="E938" s="209">
        <v>0</v>
      </c>
      <c r="F938" s="209">
        <v>0</v>
      </c>
      <c r="G938" s="209">
        <v>0</v>
      </c>
      <c r="H938" s="209">
        <v>0</v>
      </c>
      <c r="I938" s="209">
        <v>0</v>
      </c>
      <c r="J938" s="209">
        <v>0</v>
      </c>
      <c r="K938" s="209">
        <v>849</v>
      </c>
    </row>
    <row r="939" spans="1:11">
      <c r="A939" s="208">
        <v>42653</v>
      </c>
      <c r="B939" s="209" t="s">
        <v>529</v>
      </c>
      <c r="C939" s="209">
        <v>21</v>
      </c>
      <c r="D939" s="272" t="s">
        <v>508</v>
      </c>
      <c r="E939" s="209">
        <v>2</v>
      </c>
      <c r="F939" s="209">
        <v>8</v>
      </c>
      <c r="G939" s="209">
        <v>8</v>
      </c>
      <c r="H939" s="209">
        <v>0</v>
      </c>
      <c r="I939" s="209">
        <v>4</v>
      </c>
      <c r="J939" s="209">
        <v>4</v>
      </c>
      <c r="K939" s="209">
        <v>298</v>
      </c>
    </row>
    <row r="940" spans="1:11">
      <c r="A940" s="208">
        <v>42653</v>
      </c>
      <c r="B940" s="209" t="s">
        <v>529</v>
      </c>
      <c r="C940" s="209">
        <v>22</v>
      </c>
      <c r="D940" s="272" t="s">
        <v>468</v>
      </c>
      <c r="E940" s="209">
        <v>0</v>
      </c>
      <c r="F940" s="209">
        <v>0</v>
      </c>
      <c r="G940" s="209">
        <v>0</v>
      </c>
      <c r="H940" s="209">
        <v>0</v>
      </c>
      <c r="I940" s="209">
        <v>0</v>
      </c>
      <c r="J940" s="209">
        <v>0</v>
      </c>
      <c r="K940" s="209">
        <v>849</v>
      </c>
    </row>
    <row r="941" spans="1:11">
      <c r="A941" s="208">
        <v>42653</v>
      </c>
      <c r="B941" s="209" t="s">
        <v>529</v>
      </c>
      <c r="C941" s="209">
        <v>23</v>
      </c>
      <c r="D941" s="272" t="s">
        <v>469</v>
      </c>
      <c r="E941" s="209">
        <v>0</v>
      </c>
      <c r="F941" s="209">
        <v>0</v>
      </c>
      <c r="G941" s="209">
        <v>0</v>
      </c>
      <c r="H941" s="209">
        <v>0</v>
      </c>
      <c r="I941" s="209">
        <v>0</v>
      </c>
      <c r="J941" s="209">
        <v>0</v>
      </c>
      <c r="K941" s="209">
        <v>1737</v>
      </c>
    </row>
    <row r="942" spans="1:11">
      <c r="A942" s="208">
        <v>42653</v>
      </c>
      <c r="B942" s="209" t="s">
        <v>529</v>
      </c>
      <c r="C942" s="209">
        <v>24</v>
      </c>
      <c r="D942" s="272" t="s">
        <v>471</v>
      </c>
      <c r="E942" s="209">
        <v>0</v>
      </c>
      <c r="F942" s="209">
        <v>3</v>
      </c>
      <c r="G942" s="209">
        <v>3</v>
      </c>
      <c r="H942" s="209">
        <v>0</v>
      </c>
      <c r="I942" s="209">
        <v>0</v>
      </c>
      <c r="J942" s="209">
        <v>0</v>
      </c>
      <c r="K942" s="209">
        <v>861</v>
      </c>
    </row>
    <row r="943" spans="1:11">
      <c r="A943" s="208">
        <v>42653</v>
      </c>
      <c r="B943" s="209" t="s">
        <v>529</v>
      </c>
      <c r="C943" s="209">
        <v>25</v>
      </c>
      <c r="D943" s="272" t="s">
        <v>510</v>
      </c>
      <c r="E943" s="209">
        <v>0</v>
      </c>
      <c r="F943" s="209">
        <v>0</v>
      </c>
      <c r="G943" s="209">
        <v>0</v>
      </c>
      <c r="H943" s="209">
        <v>0</v>
      </c>
      <c r="I943" s="209">
        <v>0</v>
      </c>
      <c r="J943" s="209">
        <v>0</v>
      </c>
      <c r="K943" s="209">
        <v>114</v>
      </c>
    </row>
    <row r="944" spans="1:11">
      <c r="A944" s="208">
        <v>42654</v>
      </c>
      <c r="B944" s="209" t="s">
        <v>511</v>
      </c>
      <c r="C944" s="209">
        <v>1</v>
      </c>
      <c r="D944" s="272" t="s">
        <v>484</v>
      </c>
      <c r="E944" s="209">
        <v>0</v>
      </c>
      <c r="F944" s="209">
        <v>2</v>
      </c>
      <c r="G944" s="209">
        <v>2</v>
      </c>
      <c r="H944" s="209">
        <v>0</v>
      </c>
      <c r="I944" s="209">
        <v>1</v>
      </c>
      <c r="J944" s="209">
        <v>1</v>
      </c>
      <c r="K944" s="209">
        <v>155</v>
      </c>
    </row>
    <row r="945" spans="1:11">
      <c r="A945" s="208">
        <v>42654</v>
      </c>
      <c r="B945" s="209" t="s">
        <v>511</v>
      </c>
      <c r="C945" s="209">
        <v>2</v>
      </c>
      <c r="D945" s="272" t="s">
        <v>461</v>
      </c>
      <c r="E945" s="209">
        <v>0</v>
      </c>
      <c r="F945" s="209">
        <v>0</v>
      </c>
      <c r="G945" s="209">
        <v>0</v>
      </c>
      <c r="H945" s="209">
        <v>0</v>
      </c>
      <c r="I945" s="209">
        <v>0</v>
      </c>
      <c r="J945" s="209">
        <v>0</v>
      </c>
      <c r="K945" s="209">
        <v>2393</v>
      </c>
    </row>
    <row r="946" spans="1:11">
      <c r="A946" s="208">
        <v>42654</v>
      </c>
      <c r="B946" s="209" t="s">
        <v>511</v>
      </c>
      <c r="C946" s="209">
        <v>3</v>
      </c>
      <c r="D946" s="272" t="s">
        <v>487</v>
      </c>
      <c r="E946" s="209">
        <v>0</v>
      </c>
      <c r="F946" s="209">
        <v>4</v>
      </c>
      <c r="G946" s="209">
        <v>4</v>
      </c>
      <c r="H946" s="209">
        <v>0</v>
      </c>
      <c r="I946" s="209">
        <v>4</v>
      </c>
      <c r="J946" s="209">
        <v>4</v>
      </c>
      <c r="K946" s="209">
        <v>567</v>
      </c>
    </row>
    <row r="947" spans="1:11">
      <c r="A947" s="208">
        <v>42654</v>
      </c>
      <c r="B947" s="209" t="s">
        <v>511</v>
      </c>
      <c r="C947" s="209">
        <v>4</v>
      </c>
      <c r="D947" s="272" t="s">
        <v>462</v>
      </c>
      <c r="E947" s="209">
        <v>0</v>
      </c>
      <c r="F947" s="209">
        <v>0</v>
      </c>
      <c r="G947" s="209">
        <v>0</v>
      </c>
      <c r="H947" s="209">
        <v>0</v>
      </c>
      <c r="I947" s="209">
        <v>0</v>
      </c>
      <c r="J947" s="209">
        <v>0</v>
      </c>
      <c r="K947" s="209">
        <v>586</v>
      </c>
    </row>
    <row r="948" spans="1:11">
      <c r="A948" s="208">
        <v>42654</v>
      </c>
      <c r="B948" s="209" t="s">
        <v>511</v>
      </c>
      <c r="C948" s="209">
        <v>5</v>
      </c>
      <c r="D948" s="272" t="s">
        <v>463</v>
      </c>
      <c r="E948" s="209">
        <v>0</v>
      </c>
      <c r="F948" s="209">
        <v>3</v>
      </c>
      <c r="G948" s="209">
        <v>3</v>
      </c>
      <c r="H948" s="209">
        <v>0</v>
      </c>
      <c r="I948" s="209">
        <v>2</v>
      </c>
      <c r="J948" s="209">
        <v>2</v>
      </c>
      <c r="K948" s="209">
        <v>3060</v>
      </c>
    </row>
    <row r="949" spans="1:11">
      <c r="A949" s="208">
        <v>42654</v>
      </c>
      <c r="B949" s="209" t="s">
        <v>511</v>
      </c>
      <c r="C949" s="209">
        <v>6</v>
      </c>
      <c r="D949" s="272" t="s">
        <v>464</v>
      </c>
      <c r="E949" s="209">
        <v>0</v>
      </c>
      <c r="F949" s="209">
        <v>0</v>
      </c>
      <c r="G949" s="209">
        <v>0</v>
      </c>
      <c r="H949" s="209">
        <v>0</v>
      </c>
      <c r="I949" s="209">
        <v>0</v>
      </c>
      <c r="J949" s="209">
        <v>0</v>
      </c>
      <c r="K949" s="209">
        <v>257</v>
      </c>
    </row>
    <row r="950" spans="1:11">
      <c r="A950" s="208">
        <v>42654</v>
      </c>
      <c r="B950" s="209" t="s">
        <v>511</v>
      </c>
      <c r="C950" s="209">
        <v>7</v>
      </c>
      <c r="D950" s="272" t="s">
        <v>504</v>
      </c>
      <c r="E950" s="209">
        <v>0</v>
      </c>
      <c r="F950" s="209">
        <v>9</v>
      </c>
      <c r="G950" s="209">
        <v>9</v>
      </c>
      <c r="H950" s="209">
        <v>0</v>
      </c>
      <c r="I950" s="209">
        <v>5</v>
      </c>
      <c r="J950" s="209">
        <v>5</v>
      </c>
      <c r="K950" s="209">
        <v>1333</v>
      </c>
    </row>
    <row r="951" spans="1:11">
      <c r="A951" s="208">
        <v>42654</v>
      </c>
      <c r="B951" s="209" t="s">
        <v>511</v>
      </c>
      <c r="C951" s="209">
        <v>8</v>
      </c>
      <c r="D951" s="272" t="s">
        <v>490</v>
      </c>
      <c r="E951" s="209">
        <v>0</v>
      </c>
      <c r="F951" s="209">
        <v>2</v>
      </c>
      <c r="G951" s="209">
        <v>2</v>
      </c>
      <c r="H951" s="209">
        <v>0</v>
      </c>
      <c r="I951" s="209">
        <v>0</v>
      </c>
      <c r="J951" s="209">
        <v>0</v>
      </c>
      <c r="K951" s="209">
        <v>92</v>
      </c>
    </row>
    <row r="952" spans="1:11">
      <c r="A952" s="208">
        <v>42654</v>
      </c>
      <c r="B952" s="209" t="s">
        <v>511</v>
      </c>
      <c r="C952" s="209">
        <v>9</v>
      </c>
      <c r="D952" s="272" t="s">
        <v>460</v>
      </c>
      <c r="E952" s="209">
        <v>2</v>
      </c>
      <c r="F952" s="209">
        <v>13</v>
      </c>
      <c r="G952" s="209">
        <v>13</v>
      </c>
      <c r="H952" s="209">
        <v>0</v>
      </c>
      <c r="I952" s="209">
        <v>2</v>
      </c>
      <c r="J952" s="209">
        <v>2</v>
      </c>
      <c r="K952" s="209">
        <v>973</v>
      </c>
    </row>
    <row r="953" spans="1:11">
      <c r="A953" s="208">
        <v>42654</v>
      </c>
      <c r="B953" s="209" t="s">
        <v>511</v>
      </c>
      <c r="C953" s="209">
        <v>10</v>
      </c>
      <c r="D953" s="272" t="s">
        <v>465</v>
      </c>
      <c r="E953" s="209">
        <v>0</v>
      </c>
      <c r="F953" s="209">
        <v>14</v>
      </c>
      <c r="G953" s="209">
        <v>14</v>
      </c>
      <c r="H953" s="209">
        <v>0</v>
      </c>
      <c r="I953" s="209">
        <v>3</v>
      </c>
      <c r="J953" s="209">
        <v>3</v>
      </c>
      <c r="K953" s="209">
        <v>1328</v>
      </c>
    </row>
    <row r="954" spans="1:11">
      <c r="A954" s="208">
        <v>42654</v>
      </c>
      <c r="B954" s="209" t="s">
        <v>511</v>
      </c>
      <c r="C954" s="209">
        <v>11</v>
      </c>
      <c r="D954" s="272" t="s">
        <v>505</v>
      </c>
      <c r="E954" s="209">
        <v>0</v>
      </c>
      <c r="F954" s="209">
        <v>5</v>
      </c>
      <c r="G954" s="209">
        <v>5</v>
      </c>
      <c r="H954" s="209">
        <v>0</v>
      </c>
      <c r="I954" s="209">
        <v>3</v>
      </c>
      <c r="J954" s="209">
        <v>3</v>
      </c>
      <c r="K954" s="209">
        <v>1021</v>
      </c>
    </row>
    <row r="955" spans="1:11">
      <c r="A955" s="208">
        <v>42654</v>
      </c>
      <c r="B955" s="209" t="s">
        <v>511</v>
      </c>
      <c r="C955" s="209">
        <v>12</v>
      </c>
      <c r="D955" s="272" t="s">
        <v>466</v>
      </c>
      <c r="E955" s="209">
        <v>1</v>
      </c>
      <c r="F955" s="209">
        <v>20</v>
      </c>
      <c r="G955" s="209">
        <v>20</v>
      </c>
      <c r="H955" s="209">
        <v>0</v>
      </c>
      <c r="I955" s="209">
        <v>6</v>
      </c>
      <c r="J955" s="209">
        <v>6</v>
      </c>
      <c r="K955" s="209">
        <v>1132</v>
      </c>
    </row>
    <row r="956" spans="1:11">
      <c r="A956" s="208">
        <v>42654</v>
      </c>
      <c r="B956" s="209" t="s">
        <v>511</v>
      </c>
      <c r="C956" s="209">
        <v>13</v>
      </c>
      <c r="D956" s="272" t="s">
        <v>467</v>
      </c>
      <c r="E956" s="209">
        <v>0</v>
      </c>
      <c r="F956" s="209">
        <v>5</v>
      </c>
      <c r="G956" s="209">
        <v>5</v>
      </c>
      <c r="H956" s="209">
        <v>0</v>
      </c>
      <c r="I956" s="209">
        <v>1</v>
      </c>
      <c r="J956" s="209">
        <v>1</v>
      </c>
      <c r="K956" s="209">
        <v>679</v>
      </c>
    </row>
    <row r="957" spans="1:11">
      <c r="A957" s="208">
        <v>42654</v>
      </c>
      <c r="B957" s="209" t="s">
        <v>511</v>
      </c>
      <c r="C957" s="209">
        <v>14</v>
      </c>
      <c r="D957" s="272" t="s">
        <v>472</v>
      </c>
      <c r="E957" s="209">
        <v>0</v>
      </c>
      <c r="F957" s="209">
        <v>0</v>
      </c>
      <c r="G957" s="209">
        <v>0</v>
      </c>
      <c r="H957" s="209">
        <v>0</v>
      </c>
      <c r="I957" s="209">
        <v>0</v>
      </c>
      <c r="J957" s="209">
        <v>0</v>
      </c>
      <c r="K957" s="209">
        <v>2</v>
      </c>
    </row>
    <row r="958" spans="1:11">
      <c r="A958" s="208">
        <v>42654</v>
      </c>
      <c r="B958" s="209" t="s">
        <v>511</v>
      </c>
      <c r="C958" s="209">
        <v>15</v>
      </c>
      <c r="D958" s="272" t="s">
        <v>507</v>
      </c>
      <c r="E958" s="209">
        <v>0</v>
      </c>
      <c r="F958" s="209">
        <v>0</v>
      </c>
      <c r="G958" s="209">
        <v>0</v>
      </c>
      <c r="H958" s="209">
        <v>0</v>
      </c>
      <c r="I958" s="209">
        <v>0</v>
      </c>
      <c r="J958" s="209">
        <v>0</v>
      </c>
      <c r="K958" s="209">
        <v>56</v>
      </c>
    </row>
    <row r="959" spans="1:11">
      <c r="A959" s="208">
        <v>42654</v>
      </c>
      <c r="B959" s="209" t="s">
        <v>511</v>
      </c>
      <c r="C959" s="209">
        <v>16</v>
      </c>
      <c r="D959" s="272" t="s">
        <v>479</v>
      </c>
      <c r="E959" s="209">
        <v>0</v>
      </c>
      <c r="F959" s="209">
        <v>1</v>
      </c>
      <c r="G959" s="209">
        <v>1</v>
      </c>
      <c r="H959" s="209">
        <v>0</v>
      </c>
      <c r="I959" s="209">
        <v>1</v>
      </c>
      <c r="J959" s="209">
        <v>1</v>
      </c>
      <c r="K959" s="209">
        <v>367</v>
      </c>
    </row>
    <row r="960" spans="1:11">
      <c r="A960" s="208">
        <v>42654</v>
      </c>
      <c r="B960" s="209" t="s">
        <v>511</v>
      </c>
      <c r="C960" s="209">
        <v>17</v>
      </c>
      <c r="D960" s="272" t="s">
        <v>480</v>
      </c>
      <c r="E960" s="209">
        <v>0</v>
      </c>
      <c r="F960" s="209">
        <v>1</v>
      </c>
      <c r="G960" s="209">
        <v>1</v>
      </c>
      <c r="H960" s="209">
        <v>0</v>
      </c>
      <c r="I960" s="209">
        <v>0</v>
      </c>
      <c r="J960" s="209">
        <v>0</v>
      </c>
      <c r="K960" s="209">
        <v>55</v>
      </c>
    </row>
    <row r="961" spans="1:11">
      <c r="A961" s="208">
        <v>42654</v>
      </c>
      <c r="B961" s="209" t="s">
        <v>511</v>
      </c>
      <c r="C961" s="209">
        <v>18</v>
      </c>
      <c r="D961" s="272" t="s">
        <v>508</v>
      </c>
      <c r="E961" s="209">
        <v>0</v>
      </c>
      <c r="F961" s="209">
        <v>6</v>
      </c>
      <c r="G961" s="209">
        <v>6</v>
      </c>
      <c r="H961" s="209">
        <v>0</v>
      </c>
      <c r="I961" s="209">
        <v>3</v>
      </c>
      <c r="J961" s="209">
        <v>3</v>
      </c>
      <c r="K961" s="209">
        <v>312</v>
      </c>
    </row>
    <row r="962" spans="1:11">
      <c r="A962" s="208">
        <v>42654</v>
      </c>
      <c r="B962" s="209" t="s">
        <v>511</v>
      </c>
      <c r="C962" s="209">
        <v>19</v>
      </c>
      <c r="D962" s="272" t="s">
        <v>468</v>
      </c>
      <c r="E962" s="209">
        <v>0</v>
      </c>
      <c r="F962" s="209">
        <v>0</v>
      </c>
      <c r="G962" s="209">
        <v>0</v>
      </c>
      <c r="H962" s="209">
        <v>0</v>
      </c>
      <c r="I962" s="209">
        <v>0</v>
      </c>
      <c r="J962" s="209">
        <v>0</v>
      </c>
      <c r="K962" s="209">
        <v>87</v>
      </c>
    </row>
    <row r="963" spans="1:11">
      <c r="A963" s="208">
        <v>42654</v>
      </c>
      <c r="B963" s="209" t="s">
        <v>511</v>
      </c>
      <c r="C963" s="209">
        <v>20</v>
      </c>
      <c r="D963" s="272" t="s">
        <v>489</v>
      </c>
      <c r="E963" s="209">
        <v>0</v>
      </c>
      <c r="F963" s="209">
        <v>1</v>
      </c>
      <c r="G963" s="209">
        <v>1</v>
      </c>
      <c r="H963" s="209">
        <v>0</v>
      </c>
      <c r="I963" s="209">
        <v>1</v>
      </c>
      <c r="J963" s="209">
        <v>1</v>
      </c>
      <c r="K963" s="209">
        <v>374</v>
      </c>
    </row>
    <row r="964" spans="1:11">
      <c r="A964" s="208">
        <v>42654</v>
      </c>
      <c r="B964" s="209" t="s">
        <v>511</v>
      </c>
      <c r="C964" s="209">
        <v>21</v>
      </c>
      <c r="D964" s="272" t="s">
        <v>469</v>
      </c>
      <c r="E964" s="209">
        <v>0</v>
      </c>
      <c r="F964" s="209">
        <v>0</v>
      </c>
      <c r="G964" s="209">
        <v>0</v>
      </c>
      <c r="H964" s="209">
        <v>0</v>
      </c>
      <c r="I964" s="209">
        <v>0</v>
      </c>
      <c r="J964" s="209">
        <v>0</v>
      </c>
      <c r="K964" s="209">
        <v>1217</v>
      </c>
    </row>
    <row r="965" spans="1:11">
      <c r="A965" s="208">
        <v>42654</v>
      </c>
      <c r="B965" s="209" t="s">
        <v>511</v>
      </c>
      <c r="C965" s="209">
        <v>22</v>
      </c>
      <c r="D965" s="272" t="s">
        <v>470</v>
      </c>
      <c r="E965" s="209">
        <v>0</v>
      </c>
      <c r="F965" s="209">
        <v>1</v>
      </c>
      <c r="G965" s="209">
        <v>1</v>
      </c>
      <c r="H965" s="209">
        <v>0</v>
      </c>
      <c r="I965" s="209">
        <v>0</v>
      </c>
      <c r="J965" s="209">
        <v>0</v>
      </c>
      <c r="K965" s="209">
        <v>527</v>
      </c>
    </row>
    <row r="966" spans="1:11">
      <c r="A966" s="208">
        <v>42654</v>
      </c>
      <c r="B966" s="209" t="s">
        <v>511</v>
      </c>
      <c r="C966" s="209">
        <v>23</v>
      </c>
      <c r="D966" s="272" t="s">
        <v>471</v>
      </c>
      <c r="E966" s="209">
        <v>0</v>
      </c>
      <c r="F966" s="209">
        <v>1</v>
      </c>
      <c r="G966" s="209">
        <v>1</v>
      </c>
      <c r="H966" s="209">
        <v>0</v>
      </c>
      <c r="I966" s="209">
        <v>0</v>
      </c>
      <c r="J966" s="209">
        <v>0</v>
      </c>
      <c r="K966" s="209">
        <v>97</v>
      </c>
    </row>
    <row r="967" spans="1:11">
      <c r="A967" s="208">
        <v>42654</v>
      </c>
      <c r="B967" s="209" t="s">
        <v>511</v>
      </c>
      <c r="C967" s="209">
        <v>24</v>
      </c>
      <c r="D967" s="272" t="s">
        <v>510</v>
      </c>
      <c r="E967" s="209">
        <v>0</v>
      </c>
      <c r="F967" s="209">
        <v>0</v>
      </c>
      <c r="G967" s="209">
        <v>0</v>
      </c>
      <c r="H967" s="209">
        <v>0</v>
      </c>
      <c r="I967" s="209">
        <v>0</v>
      </c>
      <c r="J967" s="209">
        <v>0</v>
      </c>
      <c r="K967" s="209">
        <v>200</v>
      </c>
    </row>
    <row r="968" spans="1:11">
      <c r="A968" s="208">
        <v>42654</v>
      </c>
      <c r="B968" s="209" t="s">
        <v>519</v>
      </c>
      <c r="C968" s="209">
        <v>1</v>
      </c>
      <c r="D968" s="272" t="s">
        <v>480</v>
      </c>
      <c r="E968" s="209">
        <v>4</v>
      </c>
      <c r="F968" s="209">
        <v>7</v>
      </c>
      <c r="G968" s="209">
        <v>7</v>
      </c>
      <c r="H968" s="209">
        <v>3</v>
      </c>
      <c r="I968" s="209">
        <v>6</v>
      </c>
      <c r="J968" s="209">
        <v>6</v>
      </c>
      <c r="K968" s="209">
        <v>549</v>
      </c>
    </row>
    <row r="969" spans="1:11">
      <c r="A969" s="208">
        <v>42654</v>
      </c>
      <c r="B969" s="209" t="s">
        <v>519</v>
      </c>
      <c r="C969" s="209">
        <v>2</v>
      </c>
      <c r="D969" s="272" t="s">
        <v>490</v>
      </c>
      <c r="E969" s="209">
        <v>1</v>
      </c>
      <c r="F969" s="209">
        <v>13</v>
      </c>
      <c r="G969" s="209">
        <v>13</v>
      </c>
      <c r="H969" s="209">
        <v>1</v>
      </c>
      <c r="I969" s="209">
        <v>11</v>
      </c>
      <c r="J969" s="209">
        <v>11</v>
      </c>
      <c r="K969" s="209">
        <v>350</v>
      </c>
    </row>
    <row r="970" spans="1:11">
      <c r="A970" s="208">
        <v>42654</v>
      </c>
      <c r="B970" s="209" t="s">
        <v>519</v>
      </c>
      <c r="C970" s="209">
        <v>3</v>
      </c>
      <c r="D970" s="272" t="s">
        <v>484</v>
      </c>
      <c r="E970" s="209">
        <v>0</v>
      </c>
      <c r="F970" s="209">
        <v>3</v>
      </c>
      <c r="G970" s="209">
        <v>3</v>
      </c>
      <c r="H970" s="209">
        <v>0</v>
      </c>
      <c r="I970" s="209">
        <v>2</v>
      </c>
      <c r="J970" s="209">
        <v>2</v>
      </c>
      <c r="K970" s="209">
        <v>290</v>
      </c>
    </row>
    <row r="971" spans="1:11">
      <c r="A971" s="208">
        <v>42654</v>
      </c>
      <c r="B971" s="209" t="s">
        <v>519</v>
      </c>
      <c r="C971" s="209">
        <v>4</v>
      </c>
      <c r="D971" s="272" t="s">
        <v>487</v>
      </c>
      <c r="E971" s="209">
        <v>0</v>
      </c>
      <c r="F971" s="209">
        <v>4</v>
      </c>
      <c r="G971" s="209">
        <v>4</v>
      </c>
      <c r="H971" s="209">
        <v>0</v>
      </c>
      <c r="I971" s="209">
        <v>4</v>
      </c>
      <c r="J971" s="209">
        <v>4</v>
      </c>
      <c r="K971" s="209">
        <v>422</v>
      </c>
    </row>
    <row r="972" spans="1:11">
      <c r="A972" s="208">
        <v>42654</v>
      </c>
      <c r="B972" s="209" t="s">
        <v>519</v>
      </c>
      <c r="C972" s="209">
        <v>5</v>
      </c>
      <c r="D972" s="272" t="s">
        <v>462</v>
      </c>
      <c r="E972" s="209">
        <v>0</v>
      </c>
      <c r="F972" s="209">
        <v>0</v>
      </c>
      <c r="G972" s="209">
        <v>0</v>
      </c>
      <c r="H972" s="209">
        <v>0</v>
      </c>
      <c r="I972" s="209">
        <v>0</v>
      </c>
      <c r="J972" s="209">
        <v>0</v>
      </c>
      <c r="K972" s="209">
        <v>578</v>
      </c>
    </row>
    <row r="973" spans="1:11">
      <c r="A973" s="208">
        <v>42654</v>
      </c>
      <c r="B973" s="209" t="s">
        <v>519</v>
      </c>
      <c r="C973" s="209">
        <v>6</v>
      </c>
      <c r="D973" s="272" t="s">
        <v>463</v>
      </c>
      <c r="E973" s="209">
        <v>0</v>
      </c>
      <c r="F973" s="209">
        <v>1</v>
      </c>
      <c r="G973" s="209">
        <v>1</v>
      </c>
      <c r="H973" s="209">
        <v>0</v>
      </c>
      <c r="I973" s="209">
        <v>1</v>
      </c>
      <c r="J973" s="209">
        <v>1</v>
      </c>
      <c r="K973" s="209">
        <v>4205</v>
      </c>
    </row>
    <row r="974" spans="1:11">
      <c r="A974" s="208">
        <v>42654</v>
      </c>
      <c r="B974" s="209" t="s">
        <v>519</v>
      </c>
      <c r="C974" s="209">
        <v>7</v>
      </c>
      <c r="D974" s="272" t="s">
        <v>464</v>
      </c>
      <c r="E974" s="209">
        <v>0</v>
      </c>
      <c r="F974" s="209">
        <v>0</v>
      </c>
      <c r="G974" s="209">
        <v>0</v>
      </c>
      <c r="H974" s="209">
        <v>0</v>
      </c>
      <c r="I974" s="209">
        <v>0</v>
      </c>
      <c r="J974" s="209">
        <v>0</v>
      </c>
      <c r="K974" s="209">
        <v>183</v>
      </c>
    </row>
    <row r="975" spans="1:11">
      <c r="A975" s="208">
        <v>42654</v>
      </c>
      <c r="B975" s="209" t="s">
        <v>519</v>
      </c>
      <c r="C975" s="209">
        <v>8</v>
      </c>
      <c r="D975" s="272" t="s">
        <v>504</v>
      </c>
      <c r="E975" s="209">
        <v>0</v>
      </c>
      <c r="F975" s="209">
        <v>4</v>
      </c>
      <c r="G975" s="209">
        <v>4</v>
      </c>
      <c r="H975" s="209">
        <v>0</v>
      </c>
      <c r="I975" s="209">
        <v>3</v>
      </c>
      <c r="J975" s="209">
        <v>3</v>
      </c>
      <c r="K975" s="209">
        <v>1343</v>
      </c>
    </row>
    <row r="976" spans="1:11">
      <c r="A976" s="208">
        <v>42654</v>
      </c>
      <c r="B976" s="209" t="s">
        <v>519</v>
      </c>
      <c r="C976" s="209">
        <v>9</v>
      </c>
      <c r="D976" s="272" t="s">
        <v>460</v>
      </c>
      <c r="E976" s="209">
        <v>0</v>
      </c>
      <c r="F976" s="209">
        <v>9</v>
      </c>
      <c r="G976" s="209">
        <v>9</v>
      </c>
      <c r="H976" s="209">
        <v>0</v>
      </c>
      <c r="I976" s="209">
        <v>3</v>
      </c>
      <c r="J976" s="209">
        <v>3</v>
      </c>
      <c r="K976" s="209">
        <v>387</v>
      </c>
    </row>
    <row r="977" spans="1:11">
      <c r="A977" s="208">
        <v>42654</v>
      </c>
      <c r="B977" s="209" t="s">
        <v>519</v>
      </c>
      <c r="C977" s="209">
        <v>10</v>
      </c>
      <c r="D977" s="272" t="s">
        <v>465</v>
      </c>
      <c r="E977" s="209">
        <v>0</v>
      </c>
      <c r="F977" s="209">
        <v>25</v>
      </c>
      <c r="G977" s="209">
        <v>25</v>
      </c>
      <c r="H977" s="209">
        <v>0</v>
      </c>
      <c r="I977" s="209">
        <v>9</v>
      </c>
      <c r="J977" s="209">
        <v>9</v>
      </c>
      <c r="K977" s="209">
        <v>1378</v>
      </c>
    </row>
    <row r="978" spans="1:11">
      <c r="A978" s="208">
        <v>42654</v>
      </c>
      <c r="B978" s="209" t="s">
        <v>519</v>
      </c>
      <c r="C978" s="209">
        <v>11</v>
      </c>
      <c r="D978" s="272" t="s">
        <v>465</v>
      </c>
      <c r="E978" s="209">
        <v>0</v>
      </c>
      <c r="F978" s="209">
        <v>25</v>
      </c>
      <c r="G978" s="209">
        <v>25</v>
      </c>
      <c r="H978" s="209">
        <v>0</v>
      </c>
      <c r="I978" s="209">
        <v>9</v>
      </c>
      <c r="J978" s="209">
        <v>9</v>
      </c>
      <c r="K978" s="209">
        <v>1378</v>
      </c>
    </row>
    <row r="979" spans="1:11">
      <c r="A979" s="208">
        <v>42654</v>
      </c>
      <c r="B979" s="209" t="s">
        <v>519</v>
      </c>
      <c r="C979" s="209">
        <v>12</v>
      </c>
      <c r="D979" s="272" t="s">
        <v>505</v>
      </c>
      <c r="E979" s="209">
        <v>0</v>
      </c>
      <c r="F979" s="209">
        <v>4</v>
      </c>
      <c r="G979" s="209">
        <v>4</v>
      </c>
      <c r="H979" s="209">
        <v>0</v>
      </c>
      <c r="I979" s="209">
        <v>1</v>
      </c>
      <c r="J979" s="209">
        <v>1</v>
      </c>
      <c r="K979" s="209">
        <v>1067</v>
      </c>
    </row>
    <row r="980" spans="1:11">
      <c r="A980" s="208">
        <v>42654</v>
      </c>
      <c r="B980" s="209" t="s">
        <v>519</v>
      </c>
      <c r="C980" s="209">
        <v>13</v>
      </c>
      <c r="D980" s="272" t="s">
        <v>466</v>
      </c>
      <c r="E980" s="209">
        <v>1</v>
      </c>
      <c r="F980" s="209">
        <v>20</v>
      </c>
      <c r="G980" s="209">
        <v>20</v>
      </c>
      <c r="H980" s="209">
        <v>0</v>
      </c>
      <c r="I980" s="209">
        <v>4</v>
      </c>
      <c r="J980" s="209">
        <v>4</v>
      </c>
      <c r="K980" s="209">
        <v>903</v>
      </c>
    </row>
    <row r="981" spans="1:11">
      <c r="A981" s="208">
        <v>42654</v>
      </c>
      <c r="B981" s="209" t="s">
        <v>519</v>
      </c>
      <c r="C981" s="209">
        <v>14</v>
      </c>
      <c r="D981" s="272" t="s">
        <v>467</v>
      </c>
      <c r="E981" s="209">
        <v>0</v>
      </c>
      <c r="F981" s="209">
        <v>0</v>
      </c>
      <c r="G981" s="209">
        <v>0</v>
      </c>
      <c r="H981" s="209">
        <v>0</v>
      </c>
      <c r="I981" s="209">
        <v>0</v>
      </c>
      <c r="J981" s="209">
        <v>0</v>
      </c>
      <c r="K981" s="209">
        <v>306</v>
      </c>
    </row>
    <row r="982" spans="1:11">
      <c r="A982" s="208">
        <v>42654</v>
      </c>
      <c r="B982" s="209" t="s">
        <v>519</v>
      </c>
      <c r="C982" s="209">
        <v>15</v>
      </c>
      <c r="D982" s="272" t="s">
        <v>472</v>
      </c>
      <c r="E982" s="209">
        <v>0</v>
      </c>
      <c r="F982" s="209">
        <v>0</v>
      </c>
      <c r="G982" s="209">
        <v>0</v>
      </c>
      <c r="H982" s="209">
        <v>0</v>
      </c>
      <c r="I982" s="209">
        <v>0</v>
      </c>
      <c r="J982" s="209">
        <v>0</v>
      </c>
      <c r="K982" s="209">
        <v>6</v>
      </c>
    </row>
    <row r="983" spans="1:11">
      <c r="A983" s="208">
        <v>42654</v>
      </c>
      <c r="B983" s="209" t="s">
        <v>519</v>
      </c>
      <c r="C983" s="209">
        <v>16</v>
      </c>
      <c r="D983" s="272" t="s">
        <v>479</v>
      </c>
      <c r="E983" s="209">
        <v>0</v>
      </c>
      <c r="F983" s="209">
        <v>1</v>
      </c>
      <c r="G983" s="209">
        <v>1</v>
      </c>
      <c r="H983" s="209">
        <v>0</v>
      </c>
      <c r="I983" s="209">
        <v>1</v>
      </c>
      <c r="J983" s="209">
        <v>1</v>
      </c>
      <c r="K983" s="209">
        <v>830</v>
      </c>
    </row>
    <row r="984" spans="1:11">
      <c r="A984" s="208">
        <v>42654</v>
      </c>
      <c r="B984" s="209" t="s">
        <v>519</v>
      </c>
      <c r="C984" s="209">
        <v>17</v>
      </c>
      <c r="D984" s="272" t="s">
        <v>508</v>
      </c>
      <c r="E984" s="209">
        <v>3</v>
      </c>
      <c r="F984" s="209">
        <v>6</v>
      </c>
      <c r="G984" s="209">
        <v>6</v>
      </c>
      <c r="H984" s="209">
        <v>0</v>
      </c>
      <c r="I984" s="209">
        <v>1</v>
      </c>
      <c r="J984" s="209">
        <v>1</v>
      </c>
      <c r="K984" s="209">
        <v>290</v>
      </c>
    </row>
    <row r="985" spans="1:11">
      <c r="A985" s="208">
        <v>42654</v>
      </c>
      <c r="B985" s="209" t="s">
        <v>519</v>
      </c>
      <c r="C985" s="209">
        <v>18</v>
      </c>
      <c r="D985" s="272" t="s">
        <v>468</v>
      </c>
      <c r="E985" s="209">
        <v>0</v>
      </c>
      <c r="F985" s="209">
        <v>0</v>
      </c>
      <c r="G985" s="209">
        <v>0</v>
      </c>
      <c r="H985" s="209">
        <v>0</v>
      </c>
      <c r="I985" s="209">
        <v>0</v>
      </c>
      <c r="J985" s="209">
        <v>0</v>
      </c>
      <c r="K985" s="209">
        <v>348</v>
      </c>
    </row>
    <row r="986" spans="1:11">
      <c r="A986" s="208">
        <v>42654</v>
      </c>
      <c r="B986" s="209" t="s">
        <v>519</v>
      </c>
      <c r="C986" s="209">
        <v>19</v>
      </c>
      <c r="D986" s="272" t="s">
        <v>489</v>
      </c>
      <c r="E986" s="209">
        <v>0</v>
      </c>
      <c r="F986" s="209">
        <v>3</v>
      </c>
      <c r="G986" s="209">
        <v>3</v>
      </c>
      <c r="H986" s="209">
        <v>0</v>
      </c>
      <c r="I986" s="209">
        <v>1</v>
      </c>
      <c r="J986" s="209">
        <v>1</v>
      </c>
      <c r="K986" s="209">
        <v>1040</v>
      </c>
    </row>
    <row r="987" spans="1:11">
      <c r="A987" s="208">
        <v>42654</v>
      </c>
      <c r="B987" s="209" t="s">
        <v>519</v>
      </c>
      <c r="C987" s="209">
        <v>20</v>
      </c>
      <c r="D987" s="272" t="s">
        <v>469</v>
      </c>
      <c r="E987" s="209">
        <v>0</v>
      </c>
      <c r="F987" s="209">
        <v>0</v>
      </c>
      <c r="G987" s="209">
        <v>0</v>
      </c>
      <c r="H987" s="209">
        <v>0</v>
      </c>
      <c r="I987" s="209">
        <v>0</v>
      </c>
      <c r="J987" s="209">
        <v>0</v>
      </c>
      <c r="K987" s="209">
        <v>1083</v>
      </c>
    </row>
    <row r="988" spans="1:11">
      <c r="A988" s="208">
        <v>42654</v>
      </c>
      <c r="B988" s="209" t="s">
        <v>519</v>
      </c>
      <c r="C988" s="209">
        <v>21</v>
      </c>
      <c r="D988" s="272" t="s">
        <v>470</v>
      </c>
      <c r="E988" s="209">
        <v>0</v>
      </c>
      <c r="F988" s="209">
        <v>4</v>
      </c>
      <c r="G988" s="209">
        <v>4</v>
      </c>
      <c r="H988" s="209">
        <v>0</v>
      </c>
      <c r="I988" s="209">
        <v>1</v>
      </c>
      <c r="J988" s="209">
        <v>1</v>
      </c>
      <c r="K988" s="209">
        <v>786</v>
      </c>
    </row>
    <row r="989" spans="1:11">
      <c r="A989" s="208">
        <v>42654</v>
      </c>
      <c r="B989" s="209" t="s">
        <v>519</v>
      </c>
      <c r="C989" s="209">
        <v>22</v>
      </c>
      <c r="D989" s="272" t="s">
        <v>471</v>
      </c>
      <c r="E989" s="209">
        <v>0</v>
      </c>
      <c r="F989" s="209">
        <v>0</v>
      </c>
      <c r="G989" s="209">
        <v>0</v>
      </c>
      <c r="H989" s="209">
        <v>0</v>
      </c>
      <c r="I989" s="209">
        <v>0</v>
      </c>
      <c r="J989" s="209">
        <v>0</v>
      </c>
      <c r="K989" s="209">
        <v>216</v>
      </c>
    </row>
    <row r="990" spans="1:11">
      <c r="A990" s="208">
        <v>42654</v>
      </c>
      <c r="B990" s="209" t="s">
        <v>519</v>
      </c>
      <c r="C990" s="209">
        <v>23</v>
      </c>
      <c r="D990" s="272" t="s">
        <v>510</v>
      </c>
      <c r="E990" s="209">
        <v>0</v>
      </c>
      <c r="F990" s="209">
        <v>3</v>
      </c>
      <c r="G990" s="209">
        <v>3</v>
      </c>
      <c r="H990" s="209">
        <v>0</v>
      </c>
      <c r="I990" s="209">
        <v>3</v>
      </c>
      <c r="J990" s="209">
        <v>3</v>
      </c>
      <c r="K990" s="209">
        <v>298</v>
      </c>
    </row>
    <row r="991" spans="1:11">
      <c r="A991" s="208">
        <v>42654</v>
      </c>
      <c r="B991" s="209" t="s">
        <v>491</v>
      </c>
      <c r="C991" s="209">
        <v>1</v>
      </c>
      <c r="D991" s="272" t="s">
        <v>504</v>
      </c>
      <c r="E991" s="209">
        <v>1</v>
      </c>
      <c r="F991" s="209">
        <v>6</v>
      </c>
      <c r="G991" s="209">
        <v>6</v>
      </c>
      <c r="H991" s="209">
        <v>1</v>
      </c>
      <c r="I991" s="209">
        <v>2</v>
      </c>
      <c r="J991" s="209">
        <v>2</v>
      </c>
      <c r="K991" s="209">
        <v>1562</v>
      </c>
    </row>
    <row r="992" spans="1:11">
      <c r="A992" s="208">
        <v>42654</v>
      </c>
      <c r="B992" s="209" t="s">
        <v>491</v>
      </c>
      <c r="C992" s="209">
        <v>2</v>
      </c>
      <c r="D992" s="272" t="s">
        <v>508</v>
      </c>
      <c r="E992" s="209">
        <v>1</v>
      </c>
      <c r="F992" s="209">
        <v>5</v>
      </c>
      <c r="G992" s="209">
        <v>5</v>
      </c>
      <c r="H992" s="209">
        <v>1</v>
      </c>
      <c r="I992" s="209">
        <v>2</v>
      </c>
      <c r="J992" s="209">
        <v>2</v>
      </c>
      <c r="K992" s="209">
        <v>294</v>
      </c>
    </row>
    <row r="993" spans="1:11">
      <c r="A993" s="208">
        <v>42654</v>
      </c>
      <c r="B993" s="209" t="s">
        <v>491</v>
      </c>
      <c r="C993" s="209">
        <v>3</v>
      </c>
      <c r="D993" s="272" t="s">
        <v>484</v>
      </c>
      <c r="E993" s="209">
        <v>0</v>
      </c>
      <c r="F993" s="209">
        <v>0</v>
      </c>
      <c r="G993" s="209">
        <v>0</v>
      </c>
      <c r="H993" s="209">
        <v>0</v>
      </c>
      <c r="I993" s="209">
        <v>0</v>
      </c>
      <c r="J993" s="209">
        <v>0</v>
      </c>
      <c r="K993" s="209">
        <v>107</v>
      </c>
    </row>
    <row r="994" spans="1:11">
      <c r="A994" s="208">
        <v>42654</v>
      </c>
      <c r="B994" s="209" t="s">
        <v>491</v>
      </c>
      <c r="C994" s="209">
        <v>4</v>
      </c>
      <c r="D994" s="272" t="s">
        <v>487</v>
      </c>
      <c r="E994" s="209">
        <v>0</v>
      </c>
      <c r="F994" s="209">
        <v>1</v>
      </c>
      <c r="G994" s="209">
        <v>1</v>
      </c>
      <c r="H994" s="209">
        <v>0</v>
      </c>
      <c r="I994" s="209">
        <v>1</v>
      </c>
      <c r="J994" s="209">
        <v>1</v>
      </c>
      <c r="K994" s="209">
        <v>454</v>
      </c>
    </row>
    <row r="995" spans="1:11">
      <c r="A995" s="208">
        <v>42654</v>
      </c>
      <c r="B995" s="209" t="s">
        <v>491</v>
      </c>
      <c r="C995" s="209">
        <v>5</v>
      </c>
      <c r="D995" s="272" t="s">
        <v>462</v>
      </c>
      <c r="E995" s="209">
        <v>0</v>
      </c>
      <c r="F995" s="209">
        <v>0</v>
      </c>
      <c r="G995" s="209">
        <v>0</v>
      </c>
      <c r="H995" s="209">
        <v>0</v>
      </c>
      <c r="I995" s="209">
        <v>0</v>
      </c>
      <c r="J995" s="209">
        <v>0</v>
      </c>
      <c r="K995" s="209">
        <v>119</v>
      </c>
    </row>
    <row r="996" spans="1:11">
      <c r="A996" s="208">
        <v>42654</v>
      </c>
      <c r="B996" s="209" t="s">
        <v>491</v>
      </c>
      <c r="C996" s="209">
        <v>6</v>
      </c>
      <c r="D996" s="272" t="s">
        <v>463</v>
      </c>
      <c r="E996" s="209">
        <v>0</v>
      </c>
      <c r="F996" s="209">
        <v>3</v>
      </c>
      <c r="G996" s="209">
        <v>3</v>
      </c>
      <c r="H996" s="209">
        <v>0</v>
      </c>
      <c r="I996" s="209">
        <v>1</v>
      </c>
      <c r="J996" s="209">
        <v>1</v>
      </c>
      <c r="K996" s="209">
        <v>2873</v>
      </c>
    </row>
    <row r="997" spans="1:11">
      <c r="A997" s="208">
        <v>42654</v>
      </c>
      <c r="B997" s="209" t="s">
        <v>491</v>
      </c>
      <c r="C997" s="209">
        <v>7</v>
      </c>
      <c r="D997" s="272" t="s">
        <v>464</v>
      </c>
      <c r="E997" s="209">
        <v>0</v>
      </c>
      <c r="F997" s="209">
        <v>0</v>
      </c>
      <c r="G997" s="209">
        <v>0</v>
      </c>
      <c r="H997" s="209">
        <v>0</v>
      </c>
      <c r="I997" s="209">
        <v>0</v>
      </c>
      <c r="J997" s="209">
        <v>0</v>
      </c>
      <c r="K997" s="209">
        <v>130</v>
      </c>
    </row>
    <row r="998" spans="1:11">
      <c r="A998" s="208">
        <v>42654</v>
      </c>
      <c r="B998" s="209" t="s">
        <v>491</v>
      </c>
      <c r="C998" s="209">
        <v>8</v>
      </c>
      <c r="D998" s="272" t="s">
        <v>490</v>
      </c>
      <c r="E998" s="209">
        <v>0</v>
      </c>
      <c r="F998" s="209">
        <v>0</v>
      </c>
      <c r="G998" s="209">
        <v>0</v>
      </c>
      <c r="H998" s="209">
        <v>0</v>
      </c>
      <c r="I998" s="209">
        <v>0</v>
      </c>
      <c r="J998" s="209">
        <v>0</v>
      </c>
      <c r="K998" s="209">
        <v>2</v>
      </c>
    </row>
    <row r="999" spans="1:11">
      <c r="A999" s="208">
        <v>42654</v>
      </c>
      <c r="B999" s="209" t="s">
        <v>491</v>
      </c>
      <c r="C999" s="209">
        <v>9</v>
      </c>
      <c r="D999" s="272" t="s">
        <v>460</v>
      </c>
      <c r="E999" s="209">
        <v>1</v>
      </c>
      <c r="F999" s="209">
        <v>13</v>
      </c>
      <c r="G999" s="209">
        <v>13</v>
      </c>
      <c r="H999" s="209">
        <v>0</v>
      </c>
      <c r="I999" s="209">
        <v>1</v>
      </c>
      <c r="J999" s="209">
        <v>1</v>
      </c>
      <c r="K999" s="209">
        <v>785</v>
      </c>
    </row>
    <row r="1000" spans="1:11">
      <c r="A1000" s="208">
        <v>42654</v>
      </c>
      <c r="B1000" s="209" t="s">
        <v>491</v>
      </c>
      <c r="C1000" s="209">
        <v>10</v>
      </c>
      <c r="D1000" s="272" t="s">
        <v>465</v>
      </c>
      <c r="E1000" s="209">
        <v>0</v>
      </c>
      <c r="F1000" s="209">
        <v>5</v>
      </c>
      <c r="G1000" s="209">
        <v>5</v>
      </c>
      <c r="H1000" s="209">
        <v>0</v>
      </c>
      <c r="I1000" s="209">
        <v>3</v>
      </c>
      <c r="J1000" s="209">
        <v>3</v>
      </c>
      <c r="K1000" s="209">
        <v>421</v>
      </c>
    </row>
    <row r="1001" spans="1:11">
      <c r="A1001" s="208">
        <v>42654</v>
      </c>
      <c r="B1001" s="209" t="s">
        <v>491</v>
      </c>
      <c r="C1001" s="209">
        <v>11</v>
      </c>
      <c r="D1001" s="272" t="s">
        <v>465</v>
      </c>
      <c r="E1001" s="209">
        <v>0</v>
      </c>
      <c r="F1001" s="209">
        <v>5</v>
      </c>
      <c r="G1001" s="209">
        <v>5</v>
      </c>
      <c r="H1001" s="209">
        <v>0</v>
      </c>
      <c r="I1001" s="209">
        <v>3</v>
      </c>
      <c r="J1001" s="209">
        <v>3</v>
      </c>
      <c r="K1001" s="209">
        <v>421</v>
      </c>
    </row>
    <row r="1002" spans="1:11">
      <c r="A1002" s="208">
        <v>42654</v>
      </c>
      <c r="B1002" s="209" t="s">
        <v>491</v>
      </c>
      <c r="C1002" s="209">
        <v>12</v>
      </c>
      <c r="D1002" s="272" t="s">
        <v>505</v>
      </c>
      <c r="E1002" s="209">
        <v>0</v>
      </c>
      <c r="F1002" s="209">
        <v>5</v>
      </c>
      <c r="G1002" s="209">
        <v>5</v>
      </c>
      <c r="H1002" s="209">
        <v>0</v>
      </c>
      <c r="I1002" s="209">
        <v>2</v>
      </c>
      <c r="J1002" s="209">
        <v>2</v>
      </c>
      <c r="K1002" s="209">
        <v>1048</v>
      </c>
    </row>
    <row r="1003" spans="1:11">
      <c r="A1003" s="208">
        <v>42654</v>
      </c>
      <c r="B1003" s="209" t="s">
        <v>491</v>
      </c>
      <c r="C1003" s="209">
        <v>13</v>
      </c>
      <c r="D1003" s="272" t="s">
        <v>506</v>
      </c>
      <c r="E1003" s="209">
        <v>0</v>
      </c>
      <c r="F1003" s="209">
        <v>0</v>
      </c>
      <c r="G1003" s="209">
        <v>0</v>
      </c>
      <c r="H1003" s="209">
        <v>0</v>
      </c>
      <c r="I1003" s="209">
        <v>0</v>
      </c>
      <c r="J1003" s="209">
        <v>0</v>
      </c>
      <c r="K1003" s="209">
        <v>2</v>
      </c>
    </row>
    <row r="1004" spans="1:11">
      <c r="A1004" s="208">
        <v>42654</v>
      </c>
      <c r="B1004" s="209" t="s">
        <v>491</v>
      </c>
      <c r="C1004" s="209">
        <v>14</v>
      </c>
      <c r="D1004" s="272" t="s">
        <v>466</v>
      </c>
      <c r="E1004" s="209">
        <v>0</v>
      </c>
      <c r="F1004" s="209">
        <v>7</v>
      </c>
      <c r="G1004" s="209">
        <v>7</v>
      </c>
      <c r="H1004" s="209">
        <v>0</v>
      </c>
      <c r="I1004" s="209">
        <v>2</v>
      </c>
      <c r="J1004" s="209">
        <v>2</v>
      </c>
      <c r="K1004" s="209">
        <v>560</v>
      </c>
    </row>
    <row r="1005" spans="1:11">
      <c r="A1005" s="208">
        <v>42654</v>
      </c>
      <c r="B1005" s="209" t="s">
        <v>491</v>
      </c>
      <c r="C1005" s="209">
        <v>15</v>
      </c>
      <c r="D1005" s="272" t="s">
        <v>467</v>
      </c>
      <c r="E1005" s="209">
        <v>2</v>
      </c>
      <c r="F1005" s="209">
        <v>6</v>
      </c>
      <c r="G1005" s="209">
        <v>6</v>
      </c>
      <c r="H1005" s="209">
        <v>0</v>
      </c>
      <c r="I1005" s="209">
        <v>1</v>
      </c>
      <c r="J1005" s="209">
        <v>1</v>
      </c>
      <c r="K1005" s="209">
        <v>579</v>
      </c>
    </row>
    <row r="1006" spans="1:11">
      <c r="A1006" s="208">
        <v>42654</v>
      </c>
      <c r="B1006" s="209" t="s">
        <v>491</v>
      </c>
      <c r="C1006" s="209">
        <v>16</v>
      </c>
      <c r="D1006" s="272" t="s">
        <v>472</v>
      </c>
      <c r="E1006" s="209">
        <v>0</v>
      </c>
      <c r="F1006" s="209">
        <v>0</v>
      </c>
      <c r="G1006" s="209">
        <v>0</v>
      </c>
      <c r="H1006" s="209">
        <v>0</v>
      </c>
      <c r="I1006" s="209">
        <v>0</v>
      </c>
      <c r="J1006" s="209">
        <v>0</v>
      </c>
      <c r="K1006" s="209">
        <v>8</v>
      </c>
    </row>
    <row r="1007" spans="1:11">
      <c r="A1007" s="208">
        <v>42654</v>
      </c>
      <c r="B1007" s="209" t="s">
        <v>491</v>
      </c>
      <c r="C1007" s="209">
        <v>17</v>
      </c>
      <c r="D1007" s="272" t="s">
        <v>507</v>
      </c>
      <c r="E1007" s="209">
        <v>0</v>
      </c>
      <c r="F1007" s="209">
        <v>0</v>
      </c>
      <c r="G1007" s="209">
        <v>0</v>
      </c>
      <c r="H1007" s="209">
        <v>0</v>
      </c>
      <c r="I1007" s="209">
        <v>0</v>
      </c>
      <c r="J1007" s="209">
        <v>0</v>
      </c>
      <c r="K1007" s="209">
        <v>24</v>
      </c>
    </row>
    <row r="1008" spans="1:11">
      <c r="A1008" s="208">
        <v>42654</v>
      </c>
      <c r="B1008" s="209" t="s">
        <v>491</v>
      </c>
      <c r="C1008" s="209">
        <v>18</v>
      </c>
      <c r="D1008" s="272" t="s">
        <v>479</v>
      </c>
      <c r="E1008" s="209">
        <v>0</v>
      </c>
      <c r="F1008" s="209">
        <v>0</v>
      </c>
      <c r="G1008" s="209">
        <v>0</v>
      </c>
      <c r="H1008" s="209">
        <v>0</v>
      </c>
      <c r="I1008" s="209">
        <v>0</v>
      </c>
      <c r="J1008" s="209">
        <v>0</v>
      </c>
      <c r="K1008" s="209">
        <v>181</v>
      </c>
    </row>
    <row r="1009" spans="1:11">
      <c r="A1009" s="208">
        <v>42654</v>
      </c>
      <c r="B1009" s="209" t="s">
        <v>491</v>
      </c>
      <c r="C1009" s="209">
        <v>19</v>
      </c>
      <c r="D1009" s="272" t="s">
        <v>480</v>
      </c>
      <c r="E1009" s="209">
        <v>0</v>
      </c>
      <c r="F1009" s="209">
        <v>0</v>
      </c>
      <c r="G1009" s="209">
        <v>0</v>
      </c>
      <c r="H1009" s="209">
        <v>0</v>
      </c>
      <c r="I1009" s="209">
        <v>0</v>
      </c>
      <c r="J1009" s="209">
        <v>0</v>
      </c>
      <c r="K1009" s="209">
        <v>26</v>
      </c>
    </row>
    <row r="1010" spans="1:11">
      <c r="A1010" s="208">
        <v>42654</v>
      </c>
      <c r="B1010" s="209" t="s">
        <v>491</v>
      </c>
      <c r="C1010" s="209">
        <v>20</v>
      </c>
      <c r="D1010" s="272" t="s">
        <v>468</v>
      </c>
      <c r="E1010" s="209">
        <v>0</v>
      </c>
      <c r="F1010" s="209">
        <v>0</v>
      </c>
      <c r="G1010" s="209">
        <v>0</v>
      </c>
      <c r="H1010" s="209">
        <v>0</v>
      </c>
      <c r="I1010" s="209">
        <v>0</v>
      </c>
      <c r="J1010" s="209">
        <v>0</v>
      </c>
      <c r="K1010" s="209">
        <v>11</v>
      </c>
    </row>
    <row r="1011" spans="1:11">
      <c r="A1011" s="208">
        <v>42654</v>
      </c>
      <c r="B1011" s="209" t="s">
        <v>491</v>
      </c>
      <c r="C1011" s="209">
        <v>21</v>
      </c>
      <c r="D1011" s="272" t="s">
        <v>489</v>
      </c>
      <c r="E1011" s="209">
        <v>0</v>
      </c>
      <c r="F1011" s="209">
        <v>2</v>
      </c>
      <c r="G1011" s="209">
        <v>2</v>
      </c>
      <c r="H1011" s="209">
        <v>0</v>
      </c>
      <c r="I1011" s="209">
        <v>0</v>
      </c>
      <c r="J1011" s="209">
        <v>0</v>
      </c>
      <c r="K1011" s="209">
        <v>343</v>
      </c>
    </row>
    <row r="1012" spans="1:11">
      <c r="A1012" s="208">
        <v>42654</v>
      </c>
      <c r="B1012" s="209" t="s">
        <v>491</v>
      </c>
      <c r="C1012" s="209">
        <v>22</v>
      </c>
      <c r="D1012" s="272" t="s">
        <v>469</v>
      </c>
      <c r="E1012" s="209">
        <v>0</v>
      </c>
      <c r="F1012" s="209">
        <v>0</v>
      </c>
      <c r="G1012" s="209">
        <v>0</v>
      </c>
      <c r="H1012" s="209">
        <v>0</v>
      </c>
      <c r="I1012" s="209">
        <v>0</v>
      </c>
      <c r="J1012" s="209">
        <v>0</v>
      </c>
      <c r="K1012" s="209">
        <v>268</v>
      </c>
    </row>
    <row r="1013" spans="1:11">
      <c r="A1013" s="208">
        <v>42654</v>
      </c>
      <c r="B1013" s="209" t="s">
        <v>491</v>
      </c>
      <c r="C1013" s="209">
        <v>23</v>
      </c>
      <c r="D1013" s="272" t="s">
        <v>470</v>
      </c>
      <c r="E1013" s="209">
        <v>0</v>
      </c>
      <c r="F1013" s="209">
        <v>0</v>
      </c>
      <c r="G1013" s="209">
        <v>0</v>
      </c>
      <c r="H1013" s="209">
        <v>0</v>
      </c>
      <c r="I1013" s="209">
        <v>0</v>
      </c>
      <c r="J1013" s="209">
        <v>0</v>
      </c>
      <c r="K1013" s="209">
        <v>283</v>
      </c>
    </row>
    <row r="1014" spans="1:11">
      <c r="A1014" s="208">
        <v>42654</v>
      </c>
      <c r="B1014" s="209" t="s">
        <v>491</v>
      </c>
      <c r="C1014" s="209">
        <v>24</v>
      </c>
      <c r="D1014" s="272" t="s">
        <v>509</v>
      </c>
      <c r="E1014" s="209">
        <v>0</v>
      </c>
      <c r="F1014" s="209">
        <v>0</v>
      </c>
      <c r="G1014" s="209">
        <v>0</v>
      </c>
      <c r="H1014" s="209">
        <v>0</v>
      </c>
      <c r="I1014" s="209">
        <v>0</v>
      </c>
      <c r="J1014" s="209">
        <v>0</v>
      </c>
      <c r="K1014" s="209">
        <v>2</v>
      </c>
    </row>
    <row r="1015" spans="1:11">
      <c r="A1015" s="208">
        <v>42654</v>
      </c>
      <c r="B1015" s="209" t="s">
        <v>491</v>
      </c>
      <c r="C1015" s="209">
        <v>25</v>
      </c>
      <c r="D1015" s="272" t="s">
        <v>471</v>
      </c>
      <c r="E1015" s="209">
        <v>0</v>
      </c>
      <c r="F1015" s="209">
        <v>0</v>
      </c>
      <c r="G1015" s="209">
        <v>0</v>
      </c>
      <c r="H1015" s="209">
        <v>0</v>
      </c>
      <c r="I1015" s="209">
        <v>0</v>
      </c>
      <c r="J1015" s="209">
        <v>0</v>
      </c>
      <c r="K1015" s="209">
        <v>20</v>
      </c>
    </row>
    <row r="1016" spans="1:11">
      <c r="A1016" s="208">
        <v>42654</v>
      </c>
      <c r="B1016" s="209" t="s">
        <v>491</v>
      </c>
      <c r="C1016" s="209">
        <v>26</v>
      </c>
      <c r="D1016" s="272" t="s">
        <v>510</v>
      </c>
      <c r="E1016" s="209">
        <v>0</v>
      </c>
      <c r="F1016" s="209">
        <v>1</v>
      </c>
      <c r="G1016" s="209">
        <v>1</v>
      </c>
      <c r="H1016" s="209">
        <v>0</v>
      </c>
      <c r="I1016" s="209">
        <v>1</v>
      </c>
      <c r="J1016" s="209">
        <v>1</v>
      </c>
      <c r="K1016" s="209">
        <v>196</v>
      </c>
    </row>
    <row r="1017" spans="1:11">
      <c r="A1017" s="208">
        <v>42654</v>
      </c>
      <c r="B1017" s="209" t="s">
        <v>529</v>
      </c>
      <c r="C1017" s="209">
        <v>1</v>
      </c>
      <c r="D1017" s="272" t="s">
        <v>549</v>
      </c>
      <c r="E1017" s="209">
        <v>0</v>
      </c>
      <c r="F1017" s="209">
        <v>0</v>
      </c>
      <c r="G1017" s="209">
        <v>0</v>
      </c>
      <c r="H1017" s="209" t="s">
        <v>242</v>
      </c>
      <c r="I1017" s="209" t="s">
        <v>242</v>
      </c>
      <c r="J1017" s="209" t="s">
        <v>242</v>
      </c>
      <c r="K1017" s="209">
        <v>0</v>
      </c>
    </row>
    <row r="1018" spans="1:11">
      <c r="A1018" s="208">
        <v>42654</v>
      </c>
      <c r="B1018" s="209" t="s">
        <v>529</v>
      </c>
      <c r="C1018" s="209">
        <v>2</v>
      </c>
      <c r="D1018" s="272" t="s">
        <v>466</v>
      </c>
      <c r="E1018" s="209">
        <v>1</v>
      </c>
      <c r="F1018" s="209">
        <v>16</v>
      </c>
      <c r="G1018" s="209">
        <v>16</v>
      </c>
      <c r="H1018" s="209">
        <v>1</v>
      </c>
      <c r="I1018" s="209">
        <v>6</v>
      </c>
      <c r="J1018" s="209">
        <v>6</v>
      </c>
      <c r="K1018" s="209">
        <v>1155</v>
      </c>
    </row>
    <row r="1019" spans="1:11">
      <c r="A1019" s="208">
        <v>42654</v>
      </c>
      <c r="B1019" s="209" t="s">
        <v>529</v>
      </c>
      <c r="C1019" s="209">
        <v>3</v>
      </c>
      <c r="D1019" s="272" t="s">
        <v>489</v>
      </c>
      <c r="E1019" s="209">
        <v>2</v>
      </c>
      <c r="F1019" s="209">
        <v>38</v>
      </c>
      <c r="G1019" s="209">
        <v>38</v>
      </c>
      <c r="H1019" s="209">
        <v>1</v>
      </c>
      <c r="I1019" s="209">
        <v>14</v>
      </c>
      <c r="J1019" s="209">
        <v>14</v>
      </c>
      <c r="K1019" s="209">
        <v>5242</v>
      </c>
    </row>
    <row r="1020" spans="1:11">
      <c r="A1020" s="208">
        <v>42654</v>
      </c>
      <c r="B1020" s="209" t="s">
        <v>529</v>
      </c>
      <c r="C1020" s="209">
        <v>4</v>
      </c>
      <c r="D1020" s="272" t="s">
        <v>484</v>
      </c>
      <c r="E1020" s="209">
        <v>0</v>
      </c>
      <c r="F1020" s="209">
        <v>3</v>
      </c>
      <c r="G1020" s="209">
        <v>3</v>
      </c>
      <c r="H1020" s="209">
        <v>0</v>
      </c>
      <c r="I1020" s="209">
        <v>1</v>
      </c>
      <c r="J1020" s="209">
        <v>1</v>
      </c>
      <c r="K1020" s="209">
        <v>646</v>
      </c>
    </row>
    <row r="1021" spans="1:11">
      <c r="A1021" s="208">
        <v>42654</v>
      </c>
      <c r="B1021" s="209" t="s">
        <v>529</v>
      </c>
      <c r="C1021" s="209">
        <v>5</v>
      </c>
      <c r="D1021" s="272" t="s">
        <v>462</v>
      </c>
      <c r="E1021" s="209">
        <v>0</v>
      </c>
      <c r="F1021" s="209">
        <v>0</v>
      </c>
      <c r="G1021" s="209">
        <v>0</v>
      </c>
      <c r="H1021" s="209">
        <v>0</v>
      </c>
      <c r="I1021" s="209">
        <v>0</v>
      </c>
      <c r="J1021" s="209">
        <v>0</v>
      </c>
      <c r="K1021" s="209">
        <v>1692</v>
      </c>
    </row>
    <row r="1022" spans="1:11">
      <c r="A1022" s="208">
        <v>42654</v>
      </c>
      <c r="B1022" s="209" t="s">
        <v>529</v>
      </c>
      <c r="C1022" s="209">
        <v>6</v>
      </c>
      <c r="D1022" s="272" t="s">
        <v>463</v>
      </c>
      <c r="E1022" s="209">
        <v>0</v>
      </c>
      <c r="F1022" s="209">
        <v>2</v>
      </c>
      <c r="G1022" s="209">
        <v>2</v>
      </c>
      <c r="H1022" s="209">
        <v>0</v>
      </c>
      <c r="I1022" s="209">
        <v>1</v>
      </c>
      <c r="J1022" s="209">
        <v>1</v>
      </c>
      <c r="K1022" s="209">
        <v>3478</v>
      </c>
    </row>
    <row r="1023" spans="1:11">
      <c r="A1023" s="208">
        <v>42654</v>
      </c>
      <c r="B1023" s="209" t="s">
        <v>529</v>
      </c>
      <c r="C1023" s="209">
        <v>7</v>
      </c>
      <c r="D1023" s="272" t="s">
        <v>464</v>
      </c>
      <c r="E1023" s="209">
        <v>0</v>
      </c>
      <c r="F1023" s="209">
        <v>1</v>
      </c>
      <c r="G1023" s="209">
        <v>1</v>
      </c>
      <c r="H1023" s="209">
        <v>0</v>
      </c>
      <c r="I1023" s="209">
        <v>1</v>
      </c>
      <c r="J1023" s="209">
        <v>1</v>
      </c>
      <c r="K1023" s="209">
        <v>723</v>
      </c>
    </row>
    <row r="1024" spans="1:11">
      <c r="A1024" s="208">
        <v>42654</v>
      </c>
      <c r="B1024" s="209" t="s">
        <v>529</v>
      </c>
      <c r="C1024" s="209">
        <v>8</v>
      </c>
      <c r="D1024" s="272" t="s">
        <v>504</v>
      </c>
      <c r="E1024" s="209">
        <v>1</v>
      </c>
      <c r="F1024" s="209">
        <v>18</v>
      </c>
      <c r="G1024" s="209">
        <v>18</v>
      </c>
      <c r="H1024" s="209">
        <v>0</v>
      </c>
      <c r="I1024" s="209">
        <v>3</v>
      </c>
      <c r="J1024" s="209">
        <v>3</v>
      </c>
      <c r="K1024" s="209">
        <v>1854</v>
      </c>
    </row>
    <row r="1025" spans="1:11">
      <c r="A1025" s="208">
        <v>42654</v>
      </c>
      <c r="B1025" s="209" t="s">
        <v>529</v>
      </c>
      <c r="C1025" s="209">
        <v>9</v>
      </c>
      <c r="D1025" s="272" t="s">
        <v>490</v>
      </c>
      <c r="E1025" s="209">
        <v>1</v>
      </c>
      <c r="F1025" s="209">
        <v>23</v>
      </c>
      <c r="G1025" s="209">
        <v>23</v>
      </c>
      <c r="H1025" s="209">
        <v>0</v>
      </c>
      <c r="I1025" s="209">
        <v>7</v>
      </c>
      <c r="J1025" s="209">
        <v>7</v>
      </c>
      <c r="K1025" s="209">
        <v>593</v>
      </c>
    </row>
    <row r="1026" spans="1:11">
      <c r="A1026" s="208">
        <v>42654</v>
      </c>
      <c r="B1026" s="209" t="s">
        <v>529</v>
      </c>
      <c r="C1026" s="209">
        <v>10</v>
      </c>
      <c r="D1026" s="272" t="s">
        <v>460</v>
      </c>
      <c r="E1026" s="209">
        <v>0</v>
      </c>
      <c r="F1026" s="209">
        <v>0</v>
      </c>
      <c r="G1026" s="209">
        <v>0</v>
      </c>
      <c r="H1026" s="209">
        <v>0</v>
      </c>
      <c r="I1026" s="209">
        <v>0</v>
      </c>
      <c r="J1026" s="209">
        <v>0</v>
      </c>
      <c r="K1026" s="209">
        <v>206</v>
      </c>
    </row>
    <row r="1027" spans="1:11">
      <c r="A1027" s="208">
        <v>42654</v>
      </c>
      <c r="B1027" s="209" t="s">
        <v>529</v>
      </c>
      <c r="C1027" s="209">
        <v>11</v>
      </c>
      <c r="D1027" s="272" t="s">
        <v>460</v>
      </c>
      <c r="E1027" s="209">
        <v>0</v>
      </c>
      <c r="F1027" s="209">
        <v>0</v>
      </c>
      <c r="G1027" s="209">
        <v>0</v>
      </c>
      <c r="H1027" s="209">
        <v>0</v>
      </c>
      <c r="I1027" s="209">
        <v>0</v>
      </c>
      <c r="J1027" s="209">
        <v>0</v>
      </c>
      <c r="K1027" s="209">
        <v>206</v>
      </c>
    </row>
    <row r="1028" spans="1:11">
      <c r="A1028" s="208">
        <v>42654</v>
      </c>
      <c r="B1028" s="209" t="s">
        <v>529</v>
      </c>
      <c r="C1028" s="209">
        <v>12</v>
      </c>
      <c r="D1028" s="272" t="s">
        <v>465</v>
      </c>
      <c r="E1028" s="209">
        <v>0</v>
      </c>
      <c r="F1028" s="209">
        <v>8</v>
      </c>
      <c r="G1028" s="209">
        <v>8</v>
      </c>
      <c r="H1028" s="209">
        <v>0</v>
      </c>
      <c r="I1028" s="209">
        <v>5</v>
      </c>
      <c r="J1028" s="209">
        <v>5</v>
      </c>
      <c r="K1028" s="209">
        <v>540</v>
      </c>
    </row>
    <row r="1029" spans="1:11">
      <c r="A1029" s="208">
        <v>42654</v>
      </c>
      <c r="B1029" s="209" t="s">
        <v>529</v>
      </c>
      <c r="C1029" s="209">
        <v>13</v>
      </c>
      <c r="D1029" s="272" t="s">
        <v>505</v>
      </c>
      <c r="E1029" s="209">
        <v>0</v>
      </c>
      <c r="F1029" s="209">
        <v>2</v>
      </c>
      <c r="G1029" s="209">
        <v>2</v>
      </c>
      <c r="H1029" s="209">
        <v>0</v>
      </c>
      <c r="I1029" s="209">
        <v>0</v>
      </c>
      <c r="J1029" s="209">
        <v>0</v>
      </c>
      <c r="K1029" s="209">
        <v>1253</v>
      </c>
    </row>
    <row r="1030" spans="1:11">
      <c r="A1030" s="208">
        <v>42654</v>
      </c>
      <c r="B1030" s="209" t="s">
        <v>529</v>
      </c>
      <c r="C1030" s="209">
        <v>14</v>
      </c>
      <c r="D1030" s="272" t="s">
        <v>467</v>
      </c>
      <c r="E1030" s="209">
        <v>0</v>
      </c>
      <c r="F1030" s="209">
        <v>0</v>
      </c>
      <c r="G1030" s="209">
        <v>0</v>
      </c>
      <c r="H1030" s="209">
        <v>0</v>
      </c>
      <c r="I1030" s="209">
        <v>0</v>
      </c>
      <c r="J1030" s="209">
        <v>0</v>
      </c>
      <c r="K1030" s="209">
        <v>36</v>
      </c>
    </row>
    <row r="1031" spans="1:11">
      <c r="A1031" s="208">
        <v>42654</v>
      </c>
      <c r="B1031" s="209" t="s">
        <v>529</v>
      </c>
      <c r="C1031" s="209">
        <v>15</v>
      </c>
      <c r="D1031" s="272" t="s">
        <v>472</v>
      </c>
      <c r="E1031" s="209">
        <v>0</v>
      </c>
      <c r="F1031" s="209">
        <v>0</v>
      </c>
      <c r="G1031" s="209">
        <v>0</v>
      </c>
      <c r="H1031" s="209">
        <v>0</v>
      </c>
      <c r="I1031" s="209">
        <v>0</v>
      </c>
      <c r="J1031" s="209">
        <v>0</v>
      </c>
      <c r="K1031" s="209">
        <v>1</v>
      </c>
    </row>
    <row r="1032" spans="1:11">
      <c r="A1032" s="208">
        <v>42654</v>
      </c>
      <c r="B1032" s="209" t="s">
        <v>529</v>
      </c>
      <c r="C1032" s="209">
        <v>16</v>
      </c>
      <c r="D1032" s="272" t="s">
        <v>507</v>
      </c>
      <c r="E1032" s="209">
        <v>0</v>
      </c>
      <c r="F1032" s="209">
        <v>3</v>
      </c>
      <c r="G1032" s="209">
        <v>3</v>
      </c>
      <c r="H1032" s="209">
        <v>0</v>
      </c>
      <c r="I1032" s="209">
        <v>1</v>
      </c>
      <c r="J1032" s="209">
        <v>1</v>
      </c>
      <c r="K1032" s="209">
        <v>705</v>
      </c>
    </row>
    <row r="1033" spans="1:11">
      <c r="A1033" s="208">
        <v>42654</v>
      </c>
      <c r="B1033" s="209" t="s">
        <v>529</v>
      </c>
      <c r="C1033" s="209">
        <v>17</v>
      </c>
      <c r="D1033" s="272" t="s">
        <v>479</v>
      </c>
      <c r="E1033" s="209">
        <v>0</v>
      </c>
      <c r="F1033" s="209">
        <v>1</v>
      </c>
      <c r="G1033" s="209">
        <v>1</v>
      </c>
      <c r="H1033" s="209">
        <v>0</v>
      </c>
      <c r="I1033" s="209">
        <v>0</v>
      </c>
      <c r="J1033" s="209">
        <v>0</v>
      </c>
      <c r="K1033" s="209">
        <v>604</v>
      </c>
    </row>
    <row r="1034" spans="1:11">
      <c r="A1034" s="208">
        <v>42654</v>
      </c>
      <c r="B1034" s="209" t="s">
        <v>529</v>
      </c>
      <c r="C1034" s="209">
        <v>18</v>
      </c>
      <c r="D1034" s="272" t="s">
        <v>480</v>
      </c>
      <c r="E1034" s="209">
        <v>0</v>
      </c>
      <c r="F1034" s="209">
        <v>0</v>
      </c>
      <c r="G1034" s="209">
        <v>0</v>
      </c>
      <c r="H1034" s="209">
        <v>0</v>
      </c>
      <c r="I1034" s="209">
        <v>0</v>
      </c>
      <c r="J1034" s="209">
        <v>0</v>
      </c>
      <c r="K1034" s="209">
        <v>41</v>
      </c>
    </row>
    <row r="1035" spans="1:11">
      <c r="A1035" s="208">
        <v>42654</v>
      </c>
      <c r="B1035" s="209" t="s">
        <v>529</v>
      </c>
      <c r="C1035" s="209">
        <v>19</v>
      </c>
      <c r="D1035" s="272" t="s">
        <v>508</v>
      </c>
      <c r="E1035" s="209">
        <v>2</v>
      </c>
      <c r="F1035" s="209">
        <v>10</v>
      </c>
      <c r="G1035" s="209">
        <v>10</v>
      </c>
      <c r="H1035" s="209">
        <v>0</v>
      </c>
      <c r="I1035" s="209">
        <v>4</v>
      </c>
      <c r="J1035" s="209">
        <v>4</v>
      </c>
      <c r="K1035" s="209">
        <v>389</v>
      </c>
    </row>
    <row r="1036" spans="1:11">
      <c r="A1036" s="208">
        <v>42654</v>
      </c>
      <c r="B1036" s="209" t="s">
        <v>529</v>
      </c>
      <c r="C1036" s="209">
        <v>20</v>
      </c>
      <c r="D1036" s="272" t="s">
        <v>468</v>
      </c>
      <c r="E1036" s="209">
        <v>0</v>
      </c>
      <c r="F1036" s="209">
        <v>1</v>
      </c>
      <c r="G1036" s="209">
        <v>1</v>
      </c>
      <c r="H1036" s="209">
        <v>0</v>
      </c>
      <c r="I1036" s="209">
        <v>0</v>
      </c>
      <c r="J1036" s="209">
        <v>0</v>
      </c>
      <c r="K1036" s="209">
        <v>922</v>
      </c>
    </row>
    <row r="1037" spans="1:11">
      <c r="A1037" s="208">
        <v>42654</v>
      </c>
      <c r="B1037" s="209" t="s">
        <v>529</v>
      </c>
      <c r="C1037" s="209">
        <v>21</v>
      </c>
      <c r="D1037" s="272" t="s">
        <v>468</v>
      </c>
      <c r="E1037" s="209">
        <v>0</v>
      </c>
      <c r="F1037" s="209">
        <v>1</v>
      </c>
      <c r="G1037" s="209">
        <v>1</v>
      </c>
      <c r="H1037" s="209">
        <v>0</v>
      </c>
      <c r="I1037" s="209">
        <v>0</v>
      </c>
      <c r="J1037" s="209">
        <v>0</v>
      </c>
      <c r="K1037" s="209">
        <v>922</v>
      </c>
    </row>
    <row r="1038" spans="1:11">
      <c r="A1038" s="208">
        <v>42654</v>
      </c>
      <c r="B1038" s="209" t="s">
        <v>529</v>
      </c>
      <c r="C1038" s="209">
        <v>22</v>
      </c>
      <c r="D1038" s="272" t="s">
        <v>469</v>
      </c>
      <c r="E1038" s="209">
        <v>0</v>
      </c>
      <c r="F1038" s="209">
        <v>0</v>
      </c>
      <c r="G1038" s="209">
        <v>0</v>
      </c>
      <c r="H1038" s="209">
        <v>0</v>
      </c>
      <c r="I1038" s="209">
        <v>0</v>
      </c>
      <c r="J1038" s="209">
        <v>0</v>
      </c>
      <c r="K1038" s="209">
        <v>1856</v>
      </c>
    </row>
    <row r="1039" spans="1:11">
      <c r="A1039" s="208">
        <v>42654</v>
      </c>
      <c r="B1039" s="209" t="s">
        <v>529</v>
      </c>
      <c r="C1039" s="209">
        <v>23</v>
      </c>
      <c r="D1039" s="272" t="s">
        <v>470</v>
      </c>
      <c r="E1039" s="209">
        <v>0</v>
      </c>
      <c r="F1039" s="209">
        <v>4</v>
      </c>
      <c r="G1039" s="209">
        <v>4</v>
      </c>
      <c r="H1039" s="209">
        <v>0</v>
      </c>
      <c r="I1039" s="209">
        <v>1</v>
      </c>
      <c r="J1039" s="209">
        <v>1</v>
      </c>
      <c r="K1039" s="209">
        <v>1562</v>
      </c>
    </row>
    <row r="1040" spans="1:11">
      <c r="A1040" s="208">
        <v>42654</v>
      </c>
      <c r="B1040" s="209" t="s">
        <v>529</v>
      </c>
      <c r="C1040" s="209">
        <v>24</v>
      </c>
      <c r="D1040" s="272" t="s">
        <v>471</v>
      </c>
      <c r="E1040" s="209">
        <v>0</v>
      </c>
      <c r="F1040" s="209">
        <v>3</v>
      </c>
      <c r="G1040" s="209">
        <v>3</v>
      </c>
      <c r="H1040" s="209">
        <v>0</v>
      </c>
      <c r="I1040" s="209">
        <v>0</v>
      </c>
      <c r="J1040" s="209">
        <v>0</v>
      </c>
      <c r="K1040" s="209">
        <v>971</v>
      </c>
    </row>
    <row r="1041" spans="1:11">
      <c r="A1041" s="208">
        <v>42654</v>
      </c>
      <c r="B1041" s="209" t="s">
        <v>529</v>
      </c>
      <c r="C1041" s="209">
        <v>25</v>
      </c>
      <c r="D1041" s="272" t="s">
        <v>510</v>
      </c>
      <c r="E1041" s="209">
        <v>0</v>
      </c>
      <c r="F1041" s="209">
        <v>0</v>
      </c>
      <c r="G1041" s="209">
        <v>0</v>
      </c>
      <c r="H1041" s="209">
        <v>0</v>
      </c>
      <c r="I1041" s="209">
        <v>0</v>
      </c>
      <c r="J1041" s="209">
        <v>0</v>
      </c>
      <c r="K1041" s="209">
        <v>114</v>
      </c>
    </row>
    <row r="1042" spans="1:11">
      <c r="A1042" s="208">
        <v>42655</v>
      </c>
      <c r="B1042" s="209" t="s">
        <v>491</v>
      </c>
      <c r="C1042" s="209">
        <v>1</v>
      </c>
      <c r="D1042" s="272" t="s">
        <v>484</v>
      </c>
      <c r="E1042" s="209">
        <v>0</v>
      </c>
      <c r="F1042" s="209">
        <v>0</v>
      </c>
      <c r="G1042" s="209">
        <v>0</v>
      </c>
      <c r="H1042" s="209">
        <v>0</v>
      </c>
      <c r="I1042" s="209">
        <v>0</v>
      </c>
      <c r="J1042" s="209">
        <v>0</v>
      </c>
      <c r="K1042" s="209">
        <v>109</v>
      </c>
    </row>
    <row r="1043" spans="1:11">
      <c r="A1043" s="208">
        <v>42655</v>
      </c>
      <c r="B1043" s="209" t="s">
        <v>491</v>
      </c>
      <c r="C1043" s="209">
        <v>2</v>
      </c>
      <c r="D1043" s="272" t="s">
        <v>461</v>
      </c>
      <c r="E1043" s="209">
        <v>0</v>
      </c>
      <c r="F1043" s="209">
        <v>0</v>
      </c>
      <c r="G1043" s="209">
        <v>0</v>
      </c>
      <c r="H1043" s="209">
        <v>0</v>
      </c>
      <c r="I1043" s="209">
        <v>0</v>
      </c>
      <c r="J1043" s="209">
        <v>0</v>
      </c>
      <c r="K1043" s="209">
        <v>1541</v>
      </c>
    </row>
    <row r="1044" spans="1:11">
      <c r="A1044" s="208">
        <v>42655</v>
      </c>
      <c r="B1044" s="209" t="s">
        <v>491</v>
      </c>
      <c r="C1044" s="209">
        <v>3</v>
      </c>
      <c r="D1044" s="272" t="s">
        <v>487</v>
      </c>
      <c r="E1044" s="209">
        <v>0</v>
      </c>
      <c r="F1044" s="209">
        <v>1</v>
      </c>
      <c r="G1044" s="209">
        <v>1</v>
      </c>
      <c r="H1044" s="209">
        <v>0</v>
      </c>
      <c r="I1044" s="209">
        <v>1</v>
      </c>
      <c r="J1044" s="209">
        <v>1</v>
      </c>
      <c r="K1044" s="209">
        <v>471</v>
      </c>
    </row>
    <row r="1045" spans="1:11">
      <c r="A1045" s="208">
        <v>42655</v>
      </c>
      <c r="B1045" s="209" t="s">
        <v>491</v>
      </c>
      <c r="C1045" s="209">
        <v>4</v>
      </c>
      <c r="D1045" s="272" t="s">
        <v>462</v>
      </c>
      <c r="E1045" s="209">
        <v>0</v>
      </c>
      <c r="F1045" s="209">
        <v>0</v>
      </c>
      <c r="G1045" s="209">
        <v>0</v>
      </c>
      <c r="H1045" s="209">
        <v>0</v>
      </c>
      <c r="I1045" s="209">
        <v>0</v>
      </c>
      <c r="J1045" s="209">
        <v>0</v>
      </c>
      <c r="K1045" s="209">
        <v>119</v>
      </c>
    </row>
    <row r="1046" spans="1:11">
      <c r="A1046" s="208">
        <v>42655</v>
      </c>
      <c r="B1046" s="209" t="s">
        <v>491</v>
      </c>
      <c r="C1046" s="209">
        <v>5</v>
      </c>
      <c r="D1046" s="272" t="s">
        <v>463</v>
      </c>
      <c r="E1046" s="209">
        <v>0</v>
      </c>
      <c r="F1046" s="209">
        <v>3</v>
      </c>
      <c r="G1046" s="209">
        <v>3</v>
      </c>
      <c r="H1046" s="209">
        <v>0</v>
      </c>
      <c r="I1046" s="209">
        <v>1</v>
      </c>
      <c r="J1046" s="209">
        <v>1</v>
      </c>
      <c r="K1046" s="209">
        <v>2975</v>
      </c>
    </row>
    <row r="1047" spans="1:11">
      <c r="A1047" s="208">
        <v>42655</v>
      </c>
      <c r="B1047" s="209" t="s">
        <v>491</v>
      </c>
      <c r="C1047" s="209">
        <v>6</v>
      </c>
      <c r="D1047" s="272" t="s">
        <v>464</v>
      </c>
      <c r="E1047" s="209">
        <v>0</v>
      </c>
      <c r="F1047" s="209">
        <v>0</v>
      </c>
      <c r="G1047" s="209">
        <v>0</v>
      </c>
      <c r="H1047" s="209">
        <v>0</v>
      </c>
      <c r="I1047" s="209">
        <v>0</v>
      </c>
      <c r="J1047" s="209">
        <v>0</v>
      </c>
      <c r="K1047" s="209">
        <v>130</v>
      </c>
    </row>
    <row r="1048" spans="1:11">
      <c r="A1048" s="208">
        <v>42655</v>
      </c>
      <c r="B1048" s="209" t="s">
        <v>491</v>
      </c>
      <c r="C1048" s="209">
        <v>7</v>
      </c>
      <c r="D1048" s="272" t="s">
        <v>504</v>
      </c>
      <c r="E1048" s="209">
        <v>0</v>
      </c>
      <c r="F1048" s="209">
        <v>7</v>
      </c>
      <c r="G1048" s="209">
        <v>7</v>
      </c>
      <c r="H1048" s="209">
        <v>0</v>
      </c>
      <c r="I1048" s="209">
        <v>3</v>
      </c>
      <c r="J1048" s="209">
        <v>3</v>
      </c>
      <c r="K1048" s="209">
        <v>1599</v>
      </c>
    </row>
    <row r="1049" spans="1:11">
      <c r="A1049" s="208">
        <v>42655</v>
      </c>
      <c r="B1049" s="209" t="s">
        <v>491</v>
      </c>
      <c r="C1049" s="209">
        <v>8</v>
      </c>
      <c r="D1049" s="272" t="s">
        <v>490</v>
      </c>
      <c r="E1049" s="209">
        <v>0</v>
      </c>
      <c r="F1049" s="209">
        <v>0</v>
      </c>
      <c r="G1049" s="209">
        <v>0</v>
      </c>
      <c r="H1049" s="209">
        <v>0</v>
      </c>
      <c r="I1049" s="209">
        <v>0</v>
      </c>
      <c r="J1049" s="209">
        <v>0</v>
      </c>
      <c r="K1049" s="209">
        <v>2</v>
      </c>
    </row>
    <row r="1050" spans="1:11">
      <c r="A1050" s="208">
        <v>42655</v>
      </c>
      <c r="B1050" s="209" t="s">
        <v>491</v>
      </c>
      <c r="C1050" s="209">
        <v>9</v>
      </c>
      <c r="D1050" s="272" t="s">
        <v>460</v>
      </c>
      <c r="E1050" s="209">
        <v>1</v>
      </c>
      <c r="F1050" s="209">
        <v>14</v>
      </c>
      <c r="G1050" s="209">
        <v>14</v>
      </c>
      <c r="H1050" s="209">
        <v>0</v>
      </c>
      <c r="I1050" s="209">
        <v>2</v>
      </c>
      <c r="J1050" s="209">
        <v>2</v>
      </c>
      <c r="K1050" s="209">
        <v>789</v>
      </c>
    </row>
    <row r="1051" spans="1:11">
      <c r="A1051" s="208">
        <v>42655</v>
      </c>
      <c r="B1051" s="209" t="s">
        <v>491</v>
      </c>
      <c r="C1051" s="209">
        <v>10</v>
      </c>
      <c r="D1051" s="272" t="s">
        <v>465</v>
      </c>
      <c r="E1051" s="209">
        <v>0</v>
      </c>
      <c r="F1051" s="209">
        <v>5</v>
      </c>
      <c r="G1051" s="209">
        <v>5</v>
      </c>
      <c r="H1051" s="209">
        <v>0</v>
      </c>
      <c r="I1051" s="209">
        <v>3</v>
      </c>
      <c r="J1051" s="209">
        <v>3</v>
      </c>
      <c r="K1051" s="209">
        <v>421</v>
      </c>
    </row>
    <row r="1052" spans="1:11">
      <c r="A1052" s="208">
        <v>42655</v>
      </c>
      <c r="B1052" s="209" t="s">
        <v>491</v>
      </c>
      <c r="C1052" s="209">
        <v>11</v>
      </c>
      <c r="D1052" s="272" t="s">
        <v>505</v>
      </c>
      <c r="E1052" s="209">
        <v>0</v>
      </c>
      <c r="F1052" s="209">
        <v>5</v>
      </c>
      <c r="G1052" s="209">
        <v>5</v>
      </c>
      <c r="H1052" s="209">
        <v>0</v>
      </c>
      <c r="I1052" s="209">
        <v>2</v>
      </c>
      <c r="J1052" s="209">
        <v>2</v>
      </c>
      <c r="K1052" s="209">
        <v>1091</v>
      </c>
    </row>
    <row r="1053" spans="1:11">
      <c r="A1053" s="208">
        <v>42655</v>
      </c>
      <c r="B1053" s="209" t="s">
        <v>491</v>
      </c>
      <c r="C1053" s="209">
        <v>12</v>
      </c>
      <c r="D1053" s="272" t="s">
        <v>506</v>
      </c>
      <c r="E1053" s="209">
        <v>0</v>
      </c>
      <c r="F1053" s="209">
        <v>0</v>
      </c>
      <c r="G1053" s="209">
        <v>0</v>
      </c>
      <c r="H1053" s="209">
        <v>0</v>
      </c>
      <c r="I1053" s="209">
        <v>0</v>
      </c>
      <c r="J1053" s="209">
        <v>0</v>
      </c>
      <c r="K1053" s="209">
        <v>2</v>
      </c>
    </row>
    <row r="1054" spans="1:11">
      <c r="A1054" s="208">
        <v>42655</v>
      </c>
      <c r="B1054" s="209" t="s">
        <v>491</v>
      </c>
      <c r="C1054" s="209">
        <v>13</v>
      </c>
      <c r="D1054" s="272" t="s">
        <v>466</v>
      </c>
      <c r="E1054" s="209">
        <v>0</v>
      </c>
      <c r="F1054" s="209">
        <v>7</v>
      </c>
      <c r="G1054" s="209">
        <v>7</v>
      </c>
      <c r="H1054" s="209">
        <v>0</v>
      </c>
      <c r="I1054" s="209">
        <v>2</v>
      </c>
      <c r="J1054" s="209">
        <v>2</v>
      </c>
      <c r="K1054" s="209">
        <v>560</v>
      </c>
    </row>
    <row r="1055" spans="1:11">
      <c r="A1055" s="208">
        <v>42655</v>
      </c>
      <c r="B1055" s="209" t="s">
        <v>491</v>
      </c>
      <c r="C1055" s="209">
        <v>14</v>
      </c>
      <c r="D1055" s="272" t="s">
        <v>467</v>
      </c>
      <c r="E1055" s="209">
        <v>1</v>
      </c>
      <c r="F1055" s="209">
        <v>7</v>
      </c>
      <c r="G1055" s="209">
        <v>7</v>
      </c>
      <c r="H1055" s="209">
        <v>0</v>
      </c>
      <c r="I1055" s="209">
        <v>1</v>
      </c>
      <c r="J1055" s="209">
        <v>1</v>
      </c>
      <c r="K1055" s="209">
        <v>580</v>
      </c>
    </row>
    <row r="1056" spans="1:11">
      <c r="A1056" s="208">
        <v>42655</v>
      </c>
      <c r="B1056" s="209" t="s">
        <v>491</v>
      </c>
      <c r="C1056" s="209">
        <v>15</v>
      </c>
      <c r="D1056" s="272" t="s">
        <v>472</v>
      </c>
      <c r="E1056" s="209">
        <v>0</v>
      </c>
      <c r="F1056" s="209">
        <v>0</v>
      </c>
      <c r="G1056" s="209">
        <v>0</v>
      </c>
      <c r="H1056" s="209">
        <v>0</v>
      </c>
      <c r="I1056" s="209">
        <v>0</v>
      </c>
      <c r="J1056" s="209">
        <v>0</v>
      </c>
      <c r="K1056" s="209">
        <v>8</v>
      </c>
    </row>
    <row r="1057" spans="1:11">
      <c r="A1057" s="208">
        <v>42655</v>
      </c>
      <c r="B1057" s="209" t="s">
        <v>491</v>
      </c>
      <c r="C1057" s="209">
        <v>16</v>
      </c>
      <c r="D1057" s="272" t="s">
        <v>507</v>
      </c>
      <c r="E1057" s="209">
        <v>0</v>
      </c>
      <c r="F1057" s="209">
        <v>0</v>
      </c>
      <c r="G1057" s="209">
        <v>0</v>
      </c>
      <c r="H1057" s="209">
        <v>0</v>
      </c>
      <c r="I1057" s="209">
        <v>0</v>
      </c>
      <c r="J1057" s="209">
        <v>0</v>
      </c>
      <c r="K1057" s="209">
        <v>26</v>
      </c>
    </row>
    <row r="1058" spans="1:11">
      <c r="A1058" s="208">
        <v>42655</v>
      </c>
      <c r="B1058" s="209" t="s">
        <v>491</v>
      </c>
      <c r="C1058" s="209">
        <v>17</v>
      </c>
      <c r="D1058" s="272" t="s">
        <v>479</v>
      </c>
      <c r="E1058" s="209">
        <v>0</v>
      </c>
      <c r="F1058" s="209">
        <v>0</v>
      </c>
      <c r="G1058" s="209">
        <v>0</v>
      </c>
      <c r="H1058" s="209">
        <v>0</v>
      </c>
      <c r="I1058" s="209">
        <v>0</v>
      </c>
      <c r="J1058" s="209">
        <v>0</v>
      </c>
      <c r="K1058" s="209">
        <v>181</v>
      </c>
    </row>
    <row r="1059" spans="1:11">
      <c r="A1059" s="208">
        <v>42655</v>
      </c>
      <c r="B1059" s="209" t="s">
        <v>491</v>
      </c>
      <c r="C1059" s="209">
        <v>18</v>
      </c>
      <c r="D1059" s="272" t="s">
        <v>480</v>
      </c>
      <c r="E1059" s="209">
        <v>0</v>
      </c>
      <c r="F1059" s="209">
        <v>0</v>
      </c>
      <c r="G1059" s="209">
        <v>0</v>
      </c>
      <c r="H1059" s="209">
        <v>0</v>
      </c>
      <c r="I1059" s="209">
        <v>0</v>
      </c>
      <c r="J1059" s="209">
        <v>0</v>
      </c>
      <c r="K1059" s="209">
        <v>26</v>
      </c>
    </row>
    <row r="1060" spans="1:11">
      <c r="A1060" s="208">
        <v>42655</v>
      </c>
      <c r="B1060" s="209" t="s">
        <v>491</v>
      </c>
      <c r="C1060" s="209">
        <v>19</v>
      </c>
      <c r="D1060" s="272" t="s">
        <v>508</v>
      </c>
      <c r="E1060" s="209">
        <v>0</v>
      </c>
      <c r="F1060" s="209">
        <v>5</v>
      </c>
      <c r="G1060" s="209">
        <v>5</v>
      </c>
      <c r="H1060" s="209">
        <v>0</v>
      </c>
      <c r="I1060" s="209">
        <v>2</v>
      </c>
      <c r="J1060" s="209">
        <v>2</v>
      </c>
      <c r="K1060" s="209">
        <v>302</v>
      </c>
    </row>
    <row r="1061" spans="1:11">
      <c r="A1061" s="208">
        <v>42655</v>
      </c>
      <c r="B1061" s="209" t="s">
        <v>491</v>
      </c>
      <c r="C1061" s="209">
        <v>20</v>
      </c>
      <c r="D1061" s="272" t="s">
        <v>468</v>
      </c>
      <c r="E1061" s="209">
        <v>0</v>
      </c>
      <c r="F1061" s="209">
        <v>0</v>
      </c>
      <c r="G1061" s="209">
        <v>0</v>
      </c>
      <c r="H1061" s="209">
        <v>0</v>
      </c>
      <c r="I1061" s="209">
        <v>0</v>
      </c>
      <c r="J1061" s="209">
        <v>0</v>
      </c>
      <c r="K1061" s="209">
        <v>11</v>
      </c>
    </row>
    <row r="1062" spans="1:11">
      <c r="A1062" s="208">
        <v>42655</v>
      </c>
      <c r="B1062" s="209" t="s">
        <v>491</v>
      </c>
      <c r="C1062" s="209">
        <v>21</v>
      </c>
      <c r="D1062" s="272" t="s">
        <v>489</v>
      </c>
      <c r="E1062" s="209">
        <v>0</v>
      </c>
      <c r="F1062" s="209">
        <v>2</v>
      </c>
      <c r="G1062" s="209">
        <v>2</v>
      </c>
      <c r="H1062" s="209">
        <v>0</v>
      </c>
      <c r="I1062" s="209">
        <v>0</v>
      </c>
      <c r="J1062" s="209">
        <v>0</v>
      </c>
      <c r="K1062" s="209">
        <v>343</v>
      </c>
    </row>
    <row r="1063" spans="1:11">
      <c r="A1063" s="208">
        <v>42655</v>
      </c>
      <c r="B1063" s="209" t="s">
        <v>491</v>
      </c>
      <c r="C1063" s="209">
        <v>22</v>
      </c>
      <c r="D1063" s="272" t="s">
        <v>469</v>
      </c>
      <c r="E1063" s="209">
        <v>0</v>
      </c>
      <c r="F1063" s="209">
        <v>0</v>
      </c>
      <c r="G1063" s="209">
        <v>0</v>
      </c>
      <c r="H1063" s="209">
        <v>0</v>
      </c>
      <c r="I1063" s="209">
        <v>0</v>
      </c>
      <c r="J1063" s="209">
        <v>0</v>
      </c>
      <c r="K1063" s="209">
        <v>268</v>
      </c>
    </row>
    <row r="1064" spans="1:11">
      <c r="A1064" s="208">
        <v>42655</v>
      </c>
      <c r="B1064" s="209" t="s">
        <v>491</v>
      </c>
      <c r="C1064" s="209">
        <v>23</v>
      </c>
      <c r="D1064" s="272" t="s">
        <v>470</v>
      </c>
      <c r="E1064" s="209">
        <v>0</v>
      </c>
      <c r="F1064" s="209">
        <v>0</v>
      </c>
      <c r="G1064" s="209">
        <v>0</v>
      </c>
      <c r="H1064" s="209">
        <v>0</v>
      </c>
      <c r="I1064" s="209">
        <v>0</v>
      </c>
      <c r="J1064" s="209">
        <v>0</v>
      </c>
      <c r="K1064" s="209">
        <v>284</v>
      </c>
    </row>
    <row r="1065" spans="1:11">
      <c r="A1065" s="208">
        <v>42655</v>
      </c>
      <c r="B1065" s="209" t="s">
        <v>491</v>
      </c>
      <c r="C1065" s="209">
        <v>24</v>
      </c>
      <c r="D1065" s="272" t="s">
        <v>509</v>
      </c>
      <c r="E1065" s="209">
        <v>0</v>
      </c>
      <c r="F1065" s="209">
        <v>0</v>
      </c>
      <c r="G1065" s="209">
        <v>0</v>
      </c>
      <c r="H1065" s="209">
        <v>0</v>
      </c>
      <c r="I1065" s="209">
        <v>0</v>
      </c>
      <c r="J1065" s="209">
        <v>0</v>
      </c>
      <c r="K1065" s="209">
        <v>2</v>
      </c>
    </row>
    <row r="1066" spans="1:11">
      <c r="A1066" s="208">
        <v>42655</v>
      </c>
      <c r="B1066" s="209" t="s">
        <v>491</v>
      </c>
      <c r="C1066" s="209">
        <v>25</v>
      </c>
      <c r="D1066" s="272" t="s">
        <v>471</v>
      </c>
      <c r="E1066" s="209">
        <v>0</v>
      </c>
      <c r="F1066" s="209">
        <v>0</v>
      </c>
      <c r="G1066" s="209">
        <v>0</v>
      </c>
      <c r="H1066" s="209">
        <v>0</v>
      </c>
      <c r="I1066" s="209">
        <v>0</v>
      </c>
      <c r="J1066" s="209">
        <v>0</v>
      </c>
      <c r="K1066" s="209">
        <v>20</v>
      </c>
    </row>
    <row r="1067" spans="1:11">
      <c r="A1067" s="208">
        <v>42655</v>
      </c>
      <c r="B1067" s="209" t="s">
        <v>491</v>
      </c>
      <c r="C1067" s="209">
        <v>26</v>
      </c>
      <c r="D1067" s="272" t="s">
        <v>510</v>
      </c>
      <c r="E1067" s="209">
        <v>0</v>
      </c>
      <c r="F1067" s="209">
        <v>1</v>
      </c>
      <c r="G1067" s="209">
        <v>1</v>
      </c>
      <c r="H1067" s="209">
        <v>0</v>
      </c>
      <c r="I1067" s="209">
        <v>1</v>
      </c>
      <c r="J1067" s="209">
        <v>1</v>
      </c>
      <c r="K1067" s="209">
        <v>204</v>
      </c>
    </row>
    <row r="1068" spans="1:11">
      <c r="A1068" s="208">
        <v>42655</v>
      </c>
      <c r="B1068" s="209" t="s">
        <v>511</v>
      </c>
      <c r="C1068" s="209">
        <v>1</v>
      </c>
      <c r="D1068" s="272" t="s">
        <v>467</v>
      </c>
      <c r="E1068" s="209">
        <v>1</v>
      </c>
      <c r="F1068" s="209">
        <v>7</v>
      </c>
      <c r="G1068" s="209">
        <v>7</v>
      </c>
      <c r="H1068" s="209">
        <v>1</v>
      </c>
      <c r="I1068" s="209">
        <v>2</v>
      </c>
      <c r="J1068" s="209">
        <v>2</v>
      </c>
      <c r="K1068" s="209">
        <v>696</v>
      </c>
    </row>
    <row r="1069" spans="1:11">
      <c r="A1069" s="208">
        <v>42655</v>
      </c>
      <c r="B1069" s="209" t="s">
        <v>511</v>
      </c>
      <c r="C1069" s="209">
        <v>2</v>
      </c>
      <c r="D1069" s="272" t="s">
        <v>508</v>
      </c>
      <c r="E1069" s="209">
        <v>2</v>
      </c>
      <c r="F1069" s="209">
        <v>8</v>
      </c>
      <c r="G1069" s="209">
        <v>8</v>
      </c>
      <c r="H1069" s="209">
        <v>1</v>
      </c>
      <c r="I1069" s="209">
        <v>4</v>
      </c>
      <c r="J1069" s="209">
        <v>4</v>
      </c>
      <c r="K1069" s="209">
        <v>321</v>
      </c>
    </row>
    <row r="1070" spans="1:11">
      <c r="A1070" s="208">
        <v>42655</v>
      </c>
      <c r="B1070" s="209" t="s">
        <v>511</v>
      </c>
      <c r="C1070" s="209">
        <v>3</v>
      </c>
      <c r="D1070" s="272" t="s">
        <v>484</v>
      </c>
      <c r="E1070" s="209">
        <v>0</v>
      </c>
      <c r="F1070" s="209">
        <v>2</v>
      </c>
      <c r="G1070" s="209">
        <v>2</v>
      </c>
      <c r="H1070" s="209">
        <v>0</v>
      </c>
      <c r="I1070" s="209">
        <v>1</v>
      </c>
      <c r="J1070" s="209">
        <v>1</v>
      </c>
      <c r="K1070" s="209">
        <v>170</v>
      </c>
    </row>
    <row r="1071" spans="1:11">
      <c r="A1071" s="208">
        <v>42655</v>
      </c>
      <c r="B1071" s="209" t="s">
        <v>511</v>
      </c>
      <c r="C1071" s="209">
        <v>4</v>
      </c>
      <c r="D1071" s="272" t="s">
        <v>462</v>
      </c>
      <c r="E1071" s="209">
        <v>0</v>
      </c>
      <c r="F1071" s="209">
        <v>0</v>
      </c>
      <c r="G1071" s="209">
        <v>0</v>
      </c>
      <c r="H1071" s="209">
        <v>0</v>
      </c>
      <c r="I1071" s="209">
        <v>0</v>
      </c>
      <c r="J1071" s="209">
        <v>0</v>
      </c>
      <c r="K1071" s="209">
        <v>602</v>
      </c>
    </row>
    <row r="1072" spans="1:11">
      <c r="A1072" s="208">
        <v>42655</v>
      </c>
      <c r="B1072" s="209" t="s">
        <v>511</v>
      </c>
      <c r="C1072" s="209">
        <v>5</v>
      </c>
      <c r="D1072" s="272" t="s">
        <v>463</v>
      </c>
      <c r="E1072" s="209">
        <v>0</v>
      </c>
      <c r="F1072" s="209">
        <v>3</v>
      </c>
      <c r="G1072" s="209">
        <v>3</v>
      </c>
      <c r="H1072" s="209">
        <v>0</v>
      </c>
      <c r="I1072" s="209">
        <v>2</v>
      </c>
      <c r="J1072" s="209">
        <v>2</v>
      </c>
      <c r="K1072" s="209">
        <v>3163</v>
      </c>
    </row>
    <row r="1073" spans="1:11">
      <c r="A1073" s="208">
        <v>42655</v>
      </c>
      <c r="B1073" s="209" t="s">
        <v>511</v>
      </c>
      <c r="C1073" s="209">
        <v>6</v>
      </c>
      <c r="D1073" s="272" t="s">
        <v>464</v>
      </c>
      <c r="E1073" s="209">
        <v>0</v>
      </c>
      <c r="F1073" s="209">
        <v>0</v>
      </c>
      <c r="G1073" s="209">
        <v>0</v>
      </c>
      <c r="H1073" s="209">
        <v>0</v>
      </c>
      <c r="I1073" s="209">
        <v>0</v>
      </c>
      <c r="J1073" s="209">
        <v>0</v>
      </c>
      <c r="K1073" s="209">
        <v>271</v>
      </c>
    </row>
    <row r="1074" spans="1:11">
      <c r="A1074" s="208">
        <v>42655</v>
      </c>
      <c r="B1074" s="209" t="s">
        <v>511</v>
      </c>
      <c r="C1074" s="209">
        <v>7</v>
      </c>
      <c r="D1074" s="272" t="s">
        <v>504</v>
      </c>
      <c r="E1074" s="209">
        <v>0</v>
      </c>
      <c r="F1074" s="209">
        <v>9</v>
      </c>
      <c r="G1074" s="209">
        <v>9</v>
      </c>
      <c r="H1074" s="209">
        <v>0</v>
      </c>
      <c r="I1074" s="209">
        <v>5</v>
      </c>
      <c r="J1074" s="209">
        <v>5</v>
      </c>
      <c r="K1074" s="209">
        <v>1397</v>
      </c>
    </row>
    <row r="1075" spans="1:11">
      <c r="A1075" s="208">
        <v>42655</v>
      </c>
      <c r="B1075" s="209" t="s">
        <v>511</v>
      </c>
      <c r="C1075" s="209">
        <v>8</v>
      </c>
      <c r="D1075" s="272" t="s">
        <v>490</v>
      </c>
      <c r="E1075" s="209">
        <v>0</v>
      </c>
      <c r="F1075" s="209">
        <v>2</v>
      </c>
      <c r="G1075" s="209">
        <v>2</v>
      </c>
      <c r="H1075" s="209">
        <v>0</v>
      </c>
      <c r="I1075" s="209">
        <v>0</v>
      </c>
      <c r="J1075" s="209">
        <v>0</v>
      </c>
      <c r="K1075" s="209">
        <v>106</v>
      </c>
    </row>
    <row r="1076" spans="1:11">
      <c r="A1076" s="208">
        <v>42655</v>
      </c>
      <c r="B1076" s="209" t="s">
        <v>511</v>
      </c>
      <c r="C1076" s="209">
        <v>9</v>
      </c>
      <c r="D1076" s="272" t="s">
        <v>460</v>
      </c>
      <c r="E1076" s="209">
        <v>0</v>
      </c>
      <c r="F1076" s="209">
        <v>13</v>
      </c>
      <c r="G1076" s="209">
        <v>13</v>
      </c>
      <c r="H1076" s="209">
        <v>0</v>
      </c>
      <c r="I1076" s="209">
        <v>2</v>
      </c>
      <c r="J1076" s="209">
        <v>2</v>
      </c>
      <c r="K1076" s="209">
        <v>1007</v>
      </c>
    </row>
    <row r="1077" spans="1:11">
      <c r="A1077" s="208">
        <v>42655</v>
      </c>
      <c r="B1077" s="209" t="s">
        <v>511</v>
      </c>
      <c r="C1077" s="209">
        <v>10</v>
      </c>
      <c r="D1077" s="272" t="s">
        <v>465</v>
      </c>
      <c r="E1077" s="209">
        <v>1</v>
      </c>
      <c r="F1077" s="209">
        <v>16</v>
      </c>
      <c r="G1077" s="209">
        <v>16</v>
      </c>
      <c r="H1077" s="209">
        <v>0</v>
      </c>
      <c r="I1077" s="209">
        <v>3</v>
      </c>
      <c r="J1077" s="209">
        <v>3</v>
      </c>
      <c r="K1077" s="209">
        <v>1403</v>
      </c>
    </row>
    <row r="1078" spans="1:11">
      <c r="A1078" s="208">
        <v>42655</v>
      </c>
      <c r="B1078" s="209" t="s">
        <v>511</v>
      </c>
      <c r="C1078" s="209">
        <v>11</v>
      </c>
      <c r="D1078" s="272" t="s">
        <v>460</v>
      </c>
      <c r="E1078" s="209">
        <v>0</v>
      </c>
      <c r="F1078" s="209">
        <v>13</v>
      </c>
      <c r="G1078" s="209">
        <v>13</v>
      </c>
      <c r="H1078" s="209">
        <v>0</v>
      </c>
      <c r="I1078" s="209">
        <v>2</v>
      </c>
      <c r="J1078" s="209">
        <v>2</v>
      </c>
      <c r="K1078" s="209">
        <v>1007</v>
      </c>
    </row>
    <row r="1079" spans="1:11">
      <c r="A1079" s="208">
        <v>42655</v>
      </c>
      <c r="B1079" s="209" t="s">
        <v>511</v>
      </c>
      <c r="C1079" s="209">
        <v>12</v>
      </c>
      <c r="D1079" s="272" t="s">
        <v>465</v>
      </c>
      <c r="E1079" s="209">
        <v>1</v>
      </c>
      <c r="F1079" s="209">
        <v>16</v>
      </c>
      <c r="G1079" s="209">
        <v>16</v>
      </c>
      <c r="H1079" s="209">
        <v>0</v>
      </c>
      <c r="I1079" s="209">
        <v>3</v>
      </c>
      <c r="J1079" s="209">
        <v>3</v>
      </c>
      <c r="K1079" s="209">
        <v>1403</v>
      </c>
    </row>
    <row r="1080" spans="1:11">
      <c r="A1080" s="208">
        <v>42655</v>
      </c>
      <c r="B1080" s="209" t="s">
        <v>511</v>
      </c>
      <c r="C1080" s="209">
        <v>13</v>
      </c>
      <c r="D1080" s="272" t="s">
        <v>505</v>
      </c>
      <c r="E1080" s="209">
        <v>0</v>
      </c>
      <c r="F1080" s="209">
        <v>5</v>
      </c>
      <c r="G1080" s="209">
        <v>5</v>
      </c>
      <c r="H1080" s="209">
        <v>0</v>
      </c>
      <c r="I1080" s="209">
        <v>3</v>
      </c>
      <c r="J1080" s="209">
        <v>3</v>
      </c>
      <c r="K1080" s="209">
        <v>1069</v>
      </c>
    </row>
    <row r="1081" spans="1:11">
      <c r="A1081" s="208">
        <v>42655</v>
      </c>
      <c r="B1081" s="209" t="s">
        <v>511</v>
      </c>
      <c r="C1081" s="209">
        <v>14</v>
      </c>
      <c r="D1081" s="272" t="s">
        <v>466</v>
      </c>
      <c r="E1081" s="209">
        <v>2</v>
      </c>
      <c r="F1081" s="209">
        <v>23</v>
      </c>
      <c r="G1081" s="209">
        <v>23</v>
      </c>
      <c r="H1081" s="209">
        <v>0</v>
      </c>
      <c r="I1081" s="209">
        <v>6</v>
      </c>
      <c r="J1081" s="209">
        <v>6</v>
      </c>
      <c r="K1081" s="209">
        <v>1132</v>
      </c>
    </row>
    <row r="1082" spans="1:11">
      <c r="A1082" s="208">
        <v>42655</v>
      </c>
      <c r="B1082" s="209" t="s">
        <v>511</v>
      </c>
      <c r="C1082" s="209">
        <v>15</v>
      </c>
      <c r="D1082" s="272" t="s">
        <v>472</v>
      </c>
      <c r="E1082" s="209">
        <v>0</v>
      </c>
      <c r="F1082" s="209">
        <v>0</v>
      </c>
      <c r="G1082" s="209">
        <v>0</v>
      </c>
      <c r="H1082" s="209">
        <v>0</v>
      </c>
      <c r="I1082" s="209">
        <v>0</v>
      </c>
      <c r="J1082" s="209">
        <v>0</v>
      </c>
      <c r="K1082" s="209">
        <v>2</v>
      </c>
    </row>
    <row r="1083" spans="1:11">
      <c r="A1083" s="208">
        <v>42655</v>
      </c>
      <c r="B1083" s="209" t="s">
        <v>511</v>
      </c>
      <c r="C1083" s="209">
        <v>16</v>
      </c>
      <c r="D1083" s="272" t="s">
        <v>507</v>
      </c>
      <c r="E1083" s="209">
        <v>0</v>
      </c>
      <c r="F1083" s="209">
        <v>0</v>
      </c>
      <c r="G1083" s="209">
        <v>0</v>
      </c>
      <c r="H1083" s="209">
        <v>0</v>
      </c>
      <c r="I1083" s="209">
        <v>0</v>
      </c>
      <c r="J1083" s="209">
        <v>0</v>
      </c>
      <c r="K1083" s="209">
        <v>56</v>
      </c>
    </row>
    <row r="1084" spans="1:11">
      <c r="A1084" s="208">
        <v>42655</v>
      </c>
      <c r="B1084" s="209" t="s">
        <v>511</v>
      </c>
      <c r="C1084" s="209">
        <v>17</v>
      </c>
      <c r="D1084" s="272" t="s">
        <v>479</v>
      </c>
      <c r="E1084" s="209">
        <v>0</v>
      </c>
      <c r="F1084" s="209">
        <v>1</v>
      </c>
      <c r="G1084" s="209">
        <v>1</v>
      </c>
      <c r="H1084" s="209">
        <v>0</v>
      </c>
      <c r="I1084" s="209">
        <v>1</v>
      </c>
      <c r="J1084" s="209">
        <v>1</v>
      </c>
      <c r="K1084" s="209">
        <v>397</v>
      </c>
    </row>
    <row r="1085" spans="1:11">
      <c r="A1085" s="208">
        <v>42655</v>
      </c>
      <c r="B1085" s="209" t="s">
        <v>511</v>
      </c>
      <c r="C1085" s="209">
        <v>18</v>
      </c>
      <c r="D1085" s="272" t="s">
        <v>480</v>
      </c>
      <c r="E1085" s="209">
        <v>0</v>
      </c>
      <c r="F1085" s="209">
        <v>1</v>
      </c>
      <c r="G1085" s="209">
        <v>1</v>
      </c>
      <c r="H1085" s="209">
        <v>0</v>
      </c>
      <c r="I1085" s="209">
        <v>0</v>
      </c>
      <c r="J1085" s="209">
        <v>0</v>
      </c>
      <c r="K1085" s="209">
        <v>55</v>
      </c>
    </row>
    <row r="1086" spans="1:11">
      <c r="A1086" s="208">
        <v>42655</v>
      </c>
      <c r="B1086" s="209" t="s">
        <v>511</v>
      </c>
      <c r="C1086" s="209">
        <v>19</v>
      </c>
      <c r="D1086" s="272" t="s">
        <v>468</v>
      </c>
      <c r="E1086" s="209">
        <v>0</v>
      </c>
      <c r="F1086" s="209">
        <v>0</v>
      </c>
      <c r="G1086" s="209">
        <v>0</v>
      </c>
      <c r="H1086" s="209">
        <v>0</v>
      </c>
      <c r="I1086" s="209">
        <v>0</v>
      </c>
      <c r="J1086" s="209">
        <v>0</v>
      </c>
      <c r="K1086" s="209">
        <v>89</v>
      </c>
    </row>
    <row r="1087" spans="1:11">
      <c r="A1087" s="208">
        <v>42655</v>
      </c>
      <c r="B1087" s="209" t="s">
        <v>511</v>
      </c>
      <c r="C1087" s="209">
        <v>20</v>
      </c>
      <c r="D1087" s="272" t="s">
        <v>489</v>
      </c>
      <c r="E1087" s="209">
        <v>0</v>
      </c>
      <c r="F1087" s="209">
        <v>1</v>
      </c>
      <c r="G1087" s="209">
        <v>1</v>
      </c>
      <c r="H1087" s="209">
        <v>0</v>
      </c>
      <c r="I1087" s="209">
        <v>1</v>
      </c>
      <c r="J1087" s="209">
        <v>1</v>
      </c>
      <c r="K1087" s="209">
        <v>395</v>
      </c>
    </row>
    <row r="1088" spans="1:11">
      <c r="A1088" s="208">
        <v>42655</v>
      </c>
      <c r="B1088" s="209" t="s">
        <v>511</v>
      </c>
      <c r="C1088" s="209">
        <v>21</v>
      </c>
      <c r="D1088" s="272" t="s">
        <v>469</v>
      </c>
      <c r="E1088" s="209">
        <v>0</v>
      </c>
      <c r="F1088" s="209">
        <v>0</v>
      </c>
      <c r="G1088" s="209">
        <v>0</v>
      </c>
      <c r="H1088" s="209">
        <v>0</v>
      </c>
      <c r="I1088" s="209">
        <v>0</v>
      </c>
      <c r="J1088" s="209">
        <v>0</v>
      </c>
      <c r="K1088" s="209">
        <v>1265</v>
      </c>
    </row>
    <row r="1089" spans="1:11">
      <c r="A1089" s="208">
        <v>42655</v>
      </c>
      <c r="B1089" s="209" t="s">
        <v>511</v>
      </c>
      <c r="C1089" s="209">
        <v>22</v>
      </c>
      <c r="D1089" s="272" t="s">
        <v>470</v>
      </c>
      <c r="E1089" s="209">
        <v>0</v>
      </c>
      <c r="F1089" s="209">
        <v>1</v>
      </c>
      <c r="G1089" s="209">
        <v>1</v>
      </c>
      <c r="H1089" s="209">
        <v>0</v>
      </c>
      <c r="I1089" s="209">
        <v>0</v>
      </c>
      <c r="J1089" s="209">
        <v>0</v>
      </c>
      <c r="K1089" s="209">
        <v>561</v>
      </c>
    </row>
    <row r="1090" spans="1:11">
      <c r="A1090" s="208">
        <v>42655</v>
      </c>
      <c r="B1090" s="209" t="s">
        <v>511</v>
      </c>
      <c r="C1090" s="209">
        <v>23</v>
      </c>
      <c r="D1090" s="272" t="s">
        <v>471</v>
      </c>
      <c r="E1090" s="209">
        <v>0</v>
      </c>
      <c r="F1090" s="209">
        <v>1</v>
      </c>
      <c r="G1090" s="209">
        <v>1</v>
      </c>
      <c r="H1090" s="209">
        <v>0</v>
      </c>
      <c r="I1090" s="209">
        <v>0</v>
      </c>
      <c r="J1090" s="209">
        <v>0</v>
      </c>
      <c r="K1090" s="209">
        <v>102</v>
      </c>
    </row>
    <row r="1091" spans="1:11">
      <c r="A1091" s="208">
        <v>42655</v>
      </c>
      <c r="B1091" s="209" t="s">
        <v>511</v>
      </c>
      <c r="C1091" s="209">
        <v>24</v>
      </c>
      <c r="D1091" s="272" t="s">
        <v>510</v>
      </c>
      <c r="E1091" s="209">
        <v>0</v>
      </c>
      <c r="F1091" s="209">
        <v>0</v>
      </c>
      <c r="G1091" s="209">
        <v>0</v>
      </c>
      <c r="H1091" s="209">
        <v>0</v>
      </c>
      <c r="I1091" s="209">
        <v>0</v>
      </c>
      <c r="J1091" s="209">
        <v>0</v>
      </c>
      <c r="K1091" s="209">
        <v>210</v>
      </c>
    </row>
    <row r="1092" spans="1:11">
      <c r="A1092" s="208">
        <v>42655</v>
      </c>
      <c r="B1092" s="209" t="s">
        <v>519</v>
      </c>
      <c r="C1092" s="209">
        <v>1</v>
      </c>
      <c r="D1092" s="272" t="s">
        <v>484</v>
      </c>
      <c r="E1092" s="209">
        <v>0</v>
      </c>
      <c r="F1092" s="209">
        <v>3</v>
      </c>
      <c r="G1092" s="209">
        <v>3</v>
      </c>
      <c r="H1092" s="209">
        <v>0</v>
      </c>
      <c r="I1092" s="209">
        <v>2</v>
      </c>
      <c r="J1092" s="209">
        <v>2</v>
      </c>
      <c r="K1092" s="209">
        <v>306</v>
      </c>
    </row>
    <row r="1093" spans="1:11">
      <c r="A1093" s="208">
        <v>42655</v>
      </c>
      <c r="B1093" s="209" t="s">
        <v>519</v>
      </c>
      <c r="C1093" s="209">
        <v>2</v>
      </c>
      <c r="D1093" s="272" t="s">
        <v>461</v>
      </c>
      <c r="E1093" s="209">
        <v>0</v>
      </c>
      <c r="F1093" s="209">
        <v>0</v>
      </c>
      <c r="G1093" s="209">
        <v>0</v>
      </c>
      <c r="H1093" s="209">
        <v>0</v>
      </c>
      <c r="I1093" s="209">
        <v>0</v>
      </c>
      <c r="J1093" s="209">
        <v>0</v>
      </c>
      <c r="K1093" s="209">
        <v>1728</v>
      </c>
    </row>
    <row r="1094" spans="1:11">
      <c r="A1094" s="208">
        <v>42655</v>
      </c>
      <c r="B1094" s="209" t="s">
        <v>519</v>
      </c>
      <c r="C1094" s="209">
        <v>3</v>
      </c>
      <c r="D1094" s="272" t="s">
        <v>487</v>
      </c>
      <c r="E1094" s="209">
        <v>0</v>
      </c>
      <c r="F1094" s="209">
        <v>4</v>
      </c>
      <c r="G1094" s="209">
        <v>4</v>
      </c>
      <c r="H1094" s="209">
        <v>0</v>
      </c>
      <c r="I1094" s="209">
        <v>4</v>
      </c>
      <c r="J1094" s="209">
        <v>4</v>
      </c>
      <c r="K1094" s="209">
        <v>430</v>
      </c>
    </row>
    <row r="1095" spans="1:11">
      <c r="A1095" s="208">
        <v>42655</v>
      </c>
      <c r="B1095" s="209" t="s">
        <v>519</v>
      </c>
      <c r="C1095" s="209">
        <v>4</v>
      </c>
      <c r="D1095" s="272" t="s">
        <v>462</v>
      </c>
      <c r="E1095" s="209">
        <v>0</v>
      </c>
      <c r="F1095" s="209">
        <v>0</v>
      </c>
      <c r="G1095" s="209">
        <v>0</v>
      </c>
      <c r="H1095" s="209">
        <v>0</v>
      </c>
      <c r="I1095" s="209">
        <v>0</v>
      </c>
      <c r="J1095" s="209">
        <v>0</v>
      </c>
      <c r="K1095" s="209">
        <v>602</v>
      </c>
    </row>
    <row r="1096" spans="1:11">
      <c r="A1096" s="208">
        <v>42655</v>
      </c>
      <c r="B1096" s="209" t="s">
        <v>519</v>
      </c>
      <c r="C1096" s="209">
        <v>5</v>
      </c>
      <c r="D1096" s="272" t="s">
        <v>463</v>
      </c>
      <c r="E1096" s="209">
        <v>0</v>
      </c>
      <c r="F1096" s="209">
        <v>1</v>
      </c>
      <c r="G1096" s="209">
        <v>1</v>
      </c>
      <c r="H1096" s="209">
        <v>0</v>
      </c>
      <c r="I1096" s="209">
        <v>1</v>
      </c>
      <c r="J1096" s="209">
        <v>1</v>
      </c>
      <c r="K1096" s="209">
        <v>4361</v>
      </c>
    </row>
    <row r="1097" spans="1:11">
      <c r="A1097" s="208">
        <v>42655</v>
      </c>
      <c r="B1097" s="209" t="s">
        <v>519</v>
      </c>
      <c r="C1097" s="209">
        <v>6</v>
      </c>
      <c r="D1097" s="272" t="s">
        <v>464</v>
      </c>
      <c r="E1097" s="209">
        <v>0</v>
      </c>
      <c r="F1097" s="209">
        <v>0</v>
      </c>
      <c r="G1097" s="209">
        <v>0</v>
      </c>
      <c r="H1097" s="209">
        <v>0</v>
      </c>
      <c r="I1097" s="209">
        <v>0</v>
      </c>
      <c r="J1097" s="209">
        <v>0</v>
      </c>
      <c r="K1097" s="209">
        <v>200</v>
      </c>
    </row>
    <row r="1098" spans="1:11">
      <c r="A1098" s="208">
        <v>42655</v>
      </c>
      <c r="B1098" s="209" t="s">
        <v>519</v>
      </c>
      <c r="C1098" s="209">
        <v>7</v>
      </c>
      <c r="D1098" s="272" t="s">
        <v>504</v>
      </c>
      <c r="E1098" s="209">
        <v>0</v>
      </c>
      <c r="F1098" s="209">
        <v>4</v>
      </c>
      <c r="G1098" s="209">
        <v>4</v>
      </c>
      <c r="H1098" s="209">
        <v>0</v>
      </c>
      <c r="I1098" s="209">
        <v>3</v>
      </c>
      <c r="J1098" s="209">
        <v>3</v>
      </c>
      <c r="K1098" s="209">
        <v>1474</v>
      </c>
    </row>
    <row r="1099" spans="1:11">
      <c r="A1099" s="208">
        <v>42655</v>
      </c>
      <c r="B1099" s="209" t="s">
        <v>519</v>
      </c>
      <c r="C1099" s="209">
        <v>8</v>
      </c>
      <c r="D1099" s="272" t="s">
        <v>490</v>
      </c>
      <c r="E1099" s="209">
        <v>0</v>
      </c>
      <c r="F1099" s="209">
        <v>13</v>
      </c>
      <c r="G1099" s="209">
        <v>13</v>
      </c>
      <c r="H1099" s="209">
        <v>0</v>
      </c>
      <c r="I1099" s="209">
        <v>11</v>
      </c>
      <c r="J1099" s="209">
        <v>11</v>
      </c>
      <c r="K1099" s="209">
        <v>350</v>
      </c>
    </row>
    <row r="1100" spans="1:11">
      <c r="A1100" s="208">
        <v>42655</v>
      </c>
      <c r="B1100" s="209" t="s">
        <v>519</v>
      </c>
      <c r="C1100" s="209">
        <v>9</v>
      </c>
      <c r="D1100" s="272" t="s">
        <v>460</v>
      </c>
      <c r="E1100" s="209">
        <v>0</v>
      </c>
      <c r="F1100" s="209">
        <v>10</v>
      </c>
      <c r="G1100" s="209">
        <v>10</v>
      </c>
      <c r="H1100" s="209">
        <v>0</v>
      </c>
      <c r="I1100" s="209">
        <v>3</v>
      </c>
      <c r="J1100" s="209">
        <v>3</v>
      </c>
      <c r="K1100" s="209">
        <v>403</v>
      </c>
    </row>
    <row r="1101" spans="1:11">
      <c r="A1101" s="208">
        <v>42655</v>
      </c>
      <c r="B1101" s="209" t="s">
        <v>519</v>
      </c>
      <c r="C1101" s="209">
        <v>10</v>
      </c>
      <c r="D1101" s="272" t="s">
        <v>465</v>
      </c>
      <c r="E1101" s="209">
        <v>0</v>
      </c>
      <c r="F1101" s="209">
        <v>26</v>
      </c>
      <c r="G1101" s="209">
        <v>26</v>
      </c>
      <c r="H1101" s="209">
        <v>0</v>
      </c>
      <c r="I1101" s="209">
        <v>9</v>
      </c>
      <c r="J1101" s="209">
        <v>9</v>
      </c>
      <c r="K1101" s="209">
        <v>1420</v>
      </c>
    </row>
    <row r="1102" spans="1:11">
      <c r="A1102" s="208">
        <v>42655</v>
      </c>
      <c r="B1102" s="209" t="s">
        <v>519</v>
      </c>
      <c r="C1102" s="209">
        <v>11</v>
      </c>
      <c r="D1102" s="272" t="s">
        <v>505</v>
      </c>
      <c r="E1102" s="209">
        <v>0</v>
      </c>
      <c r="F1102" s="209">
        <v>4</v>
      </c>
      <c r="G1102" s="209">
        <v>4</v>
      </c>
      <c r="H1102" s="209">
        <v>0</v>
      </c>
      <c r="I1102" s="209">
        <v>1</v>
      </c>
      <c r="J1102" s="209">
        <v>1</v>
      </c>
      <c r="K1102" s="209">
        <v>1108</v>
      </c>
    </row>
    <row r="1103" spans="1:11">
      <c r="A1103" s="208">
        <v>42655</v>
      </c>
      <c r="B1103" s="209" t="s">
        <v>519</v>
      </c>
      <c r="C1103" s="209">
        <v>12</v>
      </c>
      <c r="D1103" s="272" t="s">
        <v>466</v>
      </c>
      <c r="E1103" s="209">
        <v>1</v>
      </c>
      <c r="F1103" s="209">
        <v>21</v>
      </c>
      <c r="G1103" s="209">
        <v>21</v>
      </c>
      <c r="H1103" s="209">
        <v>0</v>
      </c>
      <c r="I1103" s="209">
        <v>4</v>
      </c>
      <c r="J1103" s="209">
        <v>4</v>
      </c>
      <c r="K1103" s="209">
        <v>903</v>
      </c>
    </row>
    <row r="1104" spans="1:11">
      <c r="A1104" s="208">
        <v>42655</v>
      </c>
      <c r="B1104" s="209" t="s">
        <v>519</v>
      </c>
      <c r="C1104" s="209">
        <v>13</v>
      </c>
      <c r="D1104" s="272" t="s">
        <v>467</v>
      </c>
      <c r="E1104" s="209">
        <v>1</v>
      </c>
      <c r="F1104" s="209">
        <v>1</v>
      </c>
      <c r="G1104" s="209">
        <v>1</v>
      </c>
      <c r="H1104" s="209">
        <v>0</v>
      </c>
      <c r="I1104" s="209">
        <v>0</v>
      </c>
      <c r="J1104" s="209">
        <v>0</v>
      </c>
      <c r="K1104" s="209">
        <v>340</v>
      </c>
    </row>
    <row r="1105" spans="1:11">
      <c r="A1105" s="208">
        <v>42655</v>
      </c>
      <c r="B1105" s="209" t="s">
        <v>519</v>
      </c>
      <c r="C1105" s="209">
        <v>14</v>
      </c>
      <c r="D1105" s="272" t="s">
        <v>472</v>
      </c>
      <c r="E1105" s="209">
        <v>0</v>
      </c>
      <c r="F1105" s="209">
        <v>0</v>
      </c>
      <c r="G1105" s="209">
        <v>0</v>
      </c>
      <c r="H1105" s="209">
        <v>0</v>
      </c>
      <c r="I1105" s="209">
        <v>0</v>
      </c>
      <c r="J1105" s="209">
        <v>0</v>
      </c>
      <c r="K1105" s="209">
        <v>6</v>
      </c>
    </row>
    <row r="1106" spans="1:11">
      <c r="A1106" s="208">
        <v>42655</v>
      </c>
      <c r="B1106" s="209" t="s">
        <v>519</v>
      </c>
      <c r="C1106" s="209">
        <v>15</v>
      </c>
      <c r="D1106" s="272" t="s">
        <v>479</v>
      </c>
      <c r="E1106" s="209">
        <v>0</v>
      </c>
      <c r="F1106" s="209">
        <v>1</v>
      </c>
      <c r="G1106" s="209">
        <v>1</v>
      </c>
      <c r="H1106" s="209">
        <v>0</v>
      </c>
      <c r="I1106" s="209">
        <v>1</v>
      </c>
      <c r="J1106" s="209">
        <v>1</v>
      </c>
      <c r="K1106" s="209">
        <v>869</v>
      </c>
    </row>
    <row r="1107" spans="1:11">
      <c r="A1107" s="208">
        <v>42655</v>
      </c>
      <c r="B1107" s="209" t="s">
        <v>519</v>
      </c>
      <c r="C1107" s="209">
        <v>16</v>
      </c>
      <c r="D1107" s="272" t="s">
        <v>480</v>
      </c>
      <c r="E1107" s="209">
        <v>0</v>
      </c>
      <c r="F1107" s="209">
        <v>8</v>
      </c>
      <c r="G1107" s="209">
        <v>8</v>
      </c>
      <c r="H1107" s="209">
        <v>0</v>
      </c>
      <c r="I1107" s="209">
        <v>7</v>
      </c>
      <c r="J1107" s="209">
        <v>7</v>
      </c>
      <c r="K1107" s="209">
        <v>549</v>
      </c>
    </row>
    <row r="1108" spans="1:11">
      <c r="A1108" s="208">
        <v>42655</v>
      </c>
      <c r="B1108" s="209" t="s">
        <v>519</v>
      </c>
      <c r="C1108" s="209">
        <v>17</v>
      </c>
      <c r="D1108" s="272" t="s">
        <v>508</v>
      </c>
      <c r="E1108" s="209">
        <v>3</v>
      </c>
      <c r="F1108" s="209">
        <v>9</v>
      </c>
      <c r="G1108" s="209">
        <v>9</v>
      </c>
      <c r="H1108" s="209">
        <v>0</v>
      </c>
      <c r="I1108" s="209">
        <v>1</v>
      </c>
      <c r="J1108" s="209">
        <v>1</v>
      </c>
      <c r="K1108" s="209">
        <v>353</v>
      </c>
    </row>
    <row r="1109" spans="1:11">
      <c r="A1109" s="208">
        <v>42655</v>
      </c>
      <c r="B1109" s="209" t="s">
        <v>519</v>
      </c>
      <c r="C1109" s="209">
        <v>18</v>
      </c>
      <c r="D1109" s="272" t="s">
        <v>468</v>
      </c>
      <c r="E1109" s="209">
        <v>0</v>
      </c>
      <c r="F1109" s="209">
        <v>0</v>
      </c>
      <c r="G1109" s="209">
        <v>0</v>
      </c>
      <c r="H1109" s="209">
        <v>0</v>
      </c>
      <c r="I1109" s="209">
        <v>0</v>
      </c>
      <c r="J1109" s="209">
        <v>0</v>
      </c>
      <c r="K1109" s="209">
        <v>368</v>
      </c>
    </row>
    <row r="1110" spans="1:11">
      <c r="A1110" s="208">
        <v>42655</v>
      </c>
      <c r="B1110" s="209" t="s">
        <v>519</v>
      </c>
      <c r="C1110" s="209">
        <v>19</v>
      </c>
      <c r="D1110" s="272" t="s">
        <v>489</v>
      </c>
      <c r="E1110" s="209">
        <v>0</v>
      </c>
      <c r="F1110" s="209">
        <v>3</v>
      </c>
      <c r="G1110" s="209">
        <v>3</v>
      </c>
      <c r="H1110" s="209">
        <v>0</v>
      </c>
      <c r="I1110" s="209">
        <v>1</v>
      </c>
      <c r="J1110" s="209">
        <v>1</v>
      </c>
      <c r="K1110" s="209">
        <v>1151</v>
      </c>
    </row>
    <row r="1111" spans="1:11">
      <c r="A1111" s="208">
        <v>42655</v>
      </c>
      <c r="B1111" s="209" t="s">
        <v>519</v>
      </c>
      <c r="C1111" s="209">
        <v>20</v>
      </c>
      <c r="D1111" s="272" t="s">
        <v>469</v>
      </c>
      <c r="E1111" s="209">
        <v>0</v>
      </c>
      <c r="F1111" s="209">
        <v>0</v>
      </c>
      <c r="G1111" s="209">
        <v>0</v>
      </c>
      <c r="H1111" s="209">
        <v>0</v>
      </c>
      <c r="I1111" s="209">
        <v>0</v>
      </c>
      <c r="J1111" s="209">
        <v>0</v>
      </c>
      <c r="K1111" s="209">
        <v>1112</v>
      </c>
    </row>
    <row r="1112" spans="1:11">
      <c r="A1112" s="208">
        <v>42655</v>
      </c>
      <c r="B1112" s="209" t="s">
        <v>519</v>
      </c>
      <c r="C1112" s="209">
        <v>21</v>
      </c>
      <c r="D1112" s="272" t="s">
        <v>470</v>
      </c>
      <c r="E1112" s="209">
        <v>1</v>
      </c>
      <c r="F1112" s="209">
        <v>5</v>
      </c>
      <c r="G1112" s="209">
        <v>5</v>
      </c>
      <c r="H1112" s="209">
        <v>0</v>
      </c>
      <c r="I1112" s="209">
        <v>2</v>
      </c>
      <c r="J1112" s="209">
        <v>2</v>
      </c>
      <c r="K1112" s="209">
        <v>892</v>
      </c>
    </row>
    <row r="1113" spans="1:11">
      <c r="A1113" s="208">
        <v>42655</v>
      </c>
      <c r="B1113" s="209" t="s">
        <v>519</v>
      </c>
      <c r="C1113" s="209">
        <v>22</v>
      </c>
      <c r="D1113" s="272" t="s">
        <v>471</v>
      </c>
      <c r="E1113" s="209">
        <v>0</v>
      </c>
      <c r="F1113" s="209">
        <v>0</v>
      </c>
      <c r="G1113" s="209">
        <v>0</v>
      </c>
      <c r="H1113" s="209">
        <v>0</v>
      </c>
      <c r="I1113" s="209">
        <v>0</v>
      </c>
      <c r="J1113" s="209">
        <v>0</v>
      </c>
      <c r="K1113" s="209">
        <v>229</v>
      </c>
    </row>
    <row r="1114" spans="1:11">
      <c r="A1114" s="208">
        <v>42655</v>
      </c>
      <c r="B1114" s="209" t="s">
        <v>519</v>
      </c>
      <c r="C1114" s="209">
        <v>23</v>
      </c>
      <c r="D1114" s="272" t="s">
        <v>510</v>
      </c>
      <c r="E1114" s="209">
        <v>0</v>
      </c>
      <c r="F1114" s="209">
        <v>3</v>
      </c>
      <c r="G1114" s="209">
        <v>3</v>
      </c>
      <c r="H1114" s="209">
        <v>0</v>
      </c>
      <c r="I1114" s="209">
        <v>3</v>
      </c>
      <c r="J1114" s="209">
        <v>3</v>
      </c>
      <c r="K1114" s="209">
        <v>304</v>
      </c>
    </row>
    <row r="1115" spans="1:11">
      <c r="A1115" s="208">
        <v>42655</v>
      </c>
      <c r="B1115" s="209" t="s">
        <v>529</v>
      </c>
      <c r="C1115" s="209">
        <v>1</v>
      </c>
      <c r="D1115" s="272" t="s">
        <v>549</v>
      </c>
      <c r="E1115" s="209">
        <v>0</v>
      </c>
      <c r="F1115" s="209">
        <v>0</v>
      </c>
      <c r="G1115" s="209">
        <v>0</v>
      </c>
      <c r="H1115" s="209" t="s">
        <v>242</v>
      </c>
      <c r="I1115" s="209" t="s">
        <v>242</v>
      </c>
      <c r="J1115" s="209" t="s">
        <v>242</v>
      </c>
      <c r="K1115" s="209">
        <v>0</v>
      </c>
    </row>
    <row r="1116" spans="1:11">
      <c r="A1116" s="208">
        <v>42655</v>
      </c>
      <c r="B1116" s="209" t="s">
        <v>529</v>
      </c>
      <c r="C1116" s="209">
        <v>2</v>
      </c>
      <c r="D1116" s="272" t="s">
        <v>504</v>
      </c>
      <c r="E1116" s="209">
        <v>1</v>
      </c>
      <c r="F1116" s="209">
        <v>19</v>
      </c>
      <c r="G1116" s="209">
        <v>19</v>
      </c>
      <c r="H1116" s="209">
        <v>1</v>
      </c>
      <c r="I1116" s="209">
        <v>4</v>
      </c>
      <c r="J1116" s="209">
        <v>4</v>
      </c>
      <c r="K1116" s="209">
        <v>2030</v>
      </c>
    </row>
    <row r="1117" spans="1:11">
      <c r="A1117" s="208">
        <v>42655</v>
      </c>
      <c r="B1117" s="209" t="s">
        <v>529</v>
      </c>
      <c r="C1117" s="209">
        <v>3</v>
      </c>
      <c r="D1117" s="272" t="s">
        <v>484</v>
      </c>
      <c r="E1117" s="209">
        <v>0</v>
      </c>
      <c r="F1117" s="209">
        <v>4</v>
      </c>
      <c r="G1117" s="209">
        <v>4</v>
      </c>
      <c r="H1117" s="209">
        <v>0</v>
      </c>
      <c r="I1117" s="209">
        <v>1</v>
      </c>
      <c r="J1117" s="209">
        <v>1</v>
      </c>
      <c r="K1117" s="209">
        <v>698</v>
      </c>
    </row>
    <row r="1118" spans="1:11">
      <c r="A1118" s="208">
        <v>42655</v>
      </c>
      <c r="B1118" s="209" t="s">
        <v>529</v>
      </c>
      <c r="C1118" s="209">
        <v>4</v>
      </c>
      <c r="D1118" s="272" t="s">
        <v>461</v>
      </c>
      <c r="E1118" s="209">
        <v>0</v>
      </c>
      <c r="F1118" s="209">
        <v>0</v>
      </c>
      <c r="G1118" s="209">
        <v>0</v>
      </c>
      <c r="H1118" s="209">
        <v>0</v>
      </c>
      <c r="I1118" s="209">
        <v>0</v>
      </c>
      <c r="J1118" s="209">
        <v>0</v>
      </c>
      <c r="K1118" s="209">
        <v>3681</v>
      </c>
    </row>
    <row r="1119" spans="1:11">
      <c r="A1119" s="208">
        <v>42655</v>
      </c>
      <c r="B1119" s="209" t="s">
        <v>529</v>
      </c>
      <c r="C1119" s="209">
        <v>5</v>
      </c>
      <c r="D1119" s="272" t="s">
        <v>487</v>
      </c>
      <c r="E1119" s="209">
        <v>0</v>
      </c>
      <c r="F1119" s="209">
        <v>8</v>
      </c>
      <c r="G1119" s="209">
        <v>8</v>
      </c>
      <c r="H1119" s="209">
        <v>0</v>
      </c>
      <c r="I1119" s="209">
        <v>2</v>
      </c>
      <c r="J1119" s="209">
        <v>2</v>
      </c>
      <c r="K1119" s="209">
        <v>278</v>
      </c>
    </row>
    <row r="1120" spans="1:11">
      <c r="A1120" s="208">
        <v>42655</v>
      </c>
      <c r="B1120" s="209" t="s">
        <v>529</v>
      </c>
      <c r="C1120" s="209">
        <v>6</v>
      </c>
      <c r="D1120" s="272" t="s">
        <v>462</v>
      </c>
      <c r="E1120" s="209">
        <v>0</v>
      </c>
      <c r="F1120" s="209">
        <v>0</v>
      </c>
      <c r="G1120" s="209">
        <v>0</v>
      </c>
      <c r="H1120" s="209">
        <v>0</v>
      </c>
      <c r="I1120" s="209">
        <v>0</v>
      </c>
      <c r="J1120" s="209">
        <v>0</v>
      </c>
      <c r="K1120" s="209">
        <v>1801</v>
      </c>
    </row>
    <row r="1121" spans="1:11">
      <c r="A1121" s="208">
        <v>42655</v>
      </c>
      <c r="B1121" s="209" t="s">
        <v>529</v>
      </c>
      <c r="C1121" s="209">
        <v>7</v>
      </c>
      <c r="D1121" s="272" t="s">
        <v>463</v>
      </c>
      <c r="E1121" s="209">
        <v>0</v>
      </c>
      <c r="F1121" s="209">
        <v>3</v>
      </c>
      <c r="G1121" s="209">
        <v>3</v>
      </c>
      <c r="H1121" s="209">
        <v>0</v>
      </c>
      <c r="I1121" s="209">
        <v>1</v>
      </c>
      <c r="J1121" s="209">
        <v>1</v>
      </c>
      <c r="K1121" s="209">
        <v>3678</v>
      </c>
    </row>
    <row r="1122" spans="1:11">
      <c r="A1122" s="208">
        <v>42655</v>
      </c>
      <c r="B1122" s="209" t="s">
        <v>529</v>
      </c>
      <c r="C1122" s="209">
        <v>8</v>
      </c>
      <c r="D1122" s="272" t="s">
        <v>464</v>
      </c>
      <c r="E1122" s="209">
        <v>0</v>
      </c>
      <c r="F1122" s="209">
        <v>1</v>
      </c>
      <c r="G1122" s="209">
        <v>1</v>
      </c>
      <c r="H1122" s="209">
        <v>0</v>
      </c>
      <c r="I1122" s="209">
        <v>1</v>
      </c>
      <c r="J1122" s="209">
        <v>1</v>
      </c>
      <c r="K1122" s="209">
        <v>774</v>
      </c>
    </row>
    <row r="1123" spans="1:11">
      <c r="A1123" s="208">
        <v>42655</v>
      </c>
      <c r="B1123" s="209" t="s">
        <v>529</v>
      </c>
      <c r="C1123" s="209">
        <v>9</v>
      </c>
      <c r="D1123" s="272" t="s">
        <v>490</v>
      </c>
      <c r="E1123" s="209">
        <v>1</v>
      </c>
      <c r="F1123" s="209">
        <v>24</v>
      </c>
      <c r="G1123" s="209">
        <v>24</v>
      </c>
      <c r="H1123" s="209">
        <v>0</v>
      </c>
      <c r="I1123" s="209">
        <v>7</v>
      </c>
      <c r="J1123" s="209">
        <v>7</v>
      </c>
      <c r="K1123" s="209">
        <v>616</v>
      </c>
    </row>
    <row r="1124" spans="1:11">
      <c r="A1124" s="208">
        <v>42655</v>
      </c>
      <c r="B1124" s="209" t="s">
        <v>529</v>
      </c>
      <c r="C1124" s="209">
        <v>10</v>
      </c>
      <c r="D1124" s="272" t="s">
        <v>460</v>
      </c>
      <c r="E1124" s="209">
        <v>0</v>
      </c>
      <c r="F1124" s="209">
        <v>0</v>
      </c>
      <c r="G1124" s="209">
        <v>0</v>
      </c>
      <c r="H1124" s="209">
        <v>0</v>
      </c>
      <c r="I1124" s="209">
        <v>0</v>
      </c>
      <c r="J1124" s="209">
        <v>0</v>
      </c>
      <c r="K1124" s="209">
        <v>207</v>
      </c>
    </row>
    <row r="1125" spans="1:11">
      <c r="A1125" s="208">
        <v>42655</v>
      </c>
      <c r="B1125" s="209" t="s">
        <v>529</v>
      </c>
      <c r="C1125" s="209">
        <v>11</v>
      </c>
      <c r="D1125" s="272" t="s">
        <v>465</v>
      </c>
      <c r="E1125" s="209">
        <v>0</v>
      </c>
      <c r="F1125" s="209">
        <v>8</v>
      </c>
      <c r="G1125" s="209">
        <v>8</v>
      </c>
      <c r="H1125" s="209">
        <v>0</v>
      </c>
      <c r="I1125" s="209">
        <v>5</v>
      </c>
      <c r="J1125" s="209">
        <v>5</v>
      </c>
      <c r="K1125" s="209">
        <v>629</v>
      </c>
    </row>
    <row r="1126" spans="1:11">
      <c r="A1126" s="208">
        <v>42655</v>
      </c>
      <c r="B1126" s="209" t="s">
        <v>529</v>
      </c>
      <c r="C1126" s="209">
        <v>12</v>
      </c>
      <c r="D1126" s="272" t="s">
        <v>505</v>
      </c>
      <c r="E1126" s="209">
        <v>0</v>
      </c>
      <c r="F1126" s="209">
        <v>2</v>
      </c>
      <c r="G1126" s="209">
        <v>2</v>
      </c>
      <c r="H1126" s="209">
        <v>0</v>
      </c>
      <c r="I1126" s="209">
        <v>0</v>
      </c>
      <c r="J1126" s="209">
        <v>0</v>
      </c>
      <c r="K1126" s="209">
        <v>1287</v>
      </c>
    </row>
    <row r="1127" spans="1:11">
      <c r="A1127" s="208">
        <v>42655</v>
      </c>
      <c r="B1127" s="209" t="s">
        <v>529</v>
      </c>
      <c r="C1127" s="209">
        <v>13</v>
      </c>
      <c r="D1127" s="272" t="s">
        <v>466</v>
      </c>
      <c r="E1127" s="209">
        <v>0</v>
      </c>
      <c r="F1127" s="209">
        <v>16</v>
      </c>
      <c r="G1127" s="209">
        <v>16</v>
      </c>
      <c r="H1127" s="209">
        <v>0</v>
      </c>
      <c r="I1127" s="209">
        <v>6</v>
      </c>
      <c r="J1127" s="209">
        <v>6</v>
      </c>
      <c r="K1127" s="209">
        <v>1155</v>
      </c>
    </row>
    <row r="1128" spans="1:11">
      <c r="A1128" s="208">
        <v>42655</v>
      </c>
      <c r="B1128" s="209" t="s">
        <v>529</v>
      </c>
      <c r="C1128" s="209">
        <v>14</v>
      </c>
      <c r="D1128" s="272" t="s">
        <v>467</v>
      </c>
      <c r="E1128" s="209">
        <v>0</v>
      </c>
      <c r="F1128" s="209">
        <v>0</v>
      </c>
      <c r="G1128" s="209">
        <v>0</v>
      </c>
      <c r="H1128" s="209">
        <v>0</v>
      </c>
      <c r="I1128" s="209">
        <v>0</v>
      </c>
      <c r="J1128" s="209">
        <v>0</v>
      </c>
      <c r="K1128" s="209">
        <v>38</v>
      </c>
    </row>
    <row r="1129" spans="1:11">
      <c r="A1129" s="208">
        <v>42655</v>
      </c>
      <c r="B1129" s="209" t="s">
        <v>529</v>
      </c>
      <c r="C1129" s="209">
        <v>15</v>
      </c>
      <c r="D1129" s="272" t="s">
        <v>472</v>
      </c>
      <c r="E1129" s="209">
        <v>0</v>
      </c>
      <c r="F1129" s="209">
        <v>0</v>
      </c>
      <c r="G1129" s="209">
        <v>0</v>
      </c>
      <c r="H1129" s="209">
        <v>0</v>
      </c>
      <c r="I1129" s="209">
        <v>0</v>
      </c>
      <c r="J1129" s="209">
        <v>0</v>
      </c>
      <c r="K1129" s="209">
        <v>1</v>
      </c>
    </row>
    <row r="1130" spans="1:11">
      <c r="A1130" s="208">
        <v>42655</v>
      </c>
      <c r="B1130" s="209" t="s">
        <v>529</v>
      </c>
      <c r="C1130" s="209">
        <v>16</v>
      </c>
      <c r="D1130" s="272" t="s">
        <v>507</v>
      </c>
      <c r="E1130" s="209">
        <v>0</v>
      </c>
      <c r="F1130" s="209">
        <v>3</v>
      </c>
      <c r="G1130" s="209">
        <v>3</v>
      </c>
      <c r="H1130" s="209">
        <v>0</v>
      </c>
      <c r="I1130" s="209">
        <v>1</v>
      </c>
      <c r="J1130" s="209">
        <v>1</v>
      </c>
      <c r="K1130" s="209">
        <v>705</v>
      </c>
    </row>
    <row r="1131" spans="1:11">
      <c r="A1131" s="208">
        <v>42655</v>
      </c>
      <c r="B1131" s="209" t="s">
        <v>529</v>
      </c>
      <c r="C1131" s="209">
        <v>17</v>
      </c>
      <c r="D1131" s="272" t="s">
        <v>479</v>
      </c>
      <c r="E1131" s="209">
        <v>0</v>
      </c>
      <c r="F1131" s="209">
        <v>1</v>
      </c>
      <c r="G1131" s="209">
        <v>1</v>
      </c>
      <c r="H1131" s="209">
        <v>0</v>
      </c>
      <c r="I1131" s="209">
        <v>0</v>
      </c>
      <c r="J1131" s="209">
        <v>0</v>
      </c>
      <c r="K1131" s="209">
        <v>629</v>
      </c>
    </row>
    <row r="1132" spans="1:11">
      <c r="A1132" s="208">
        <v>42655</v>
      </c>
      <c r="B1132" s="209" t="s">
        <v>529</v>
      </c>
      <c r="C1132" s="209">
        <v>18</v>
      </c>
      <c r="D1132" s="272" t="s">
        <v>480</v>
      </c>
      <c r="E1132" s="209">
        <v>0</v>
      </c>
      <c r="F1132" s="209">
        <v>0</v>
      </c>
      <c r="G1132" s="209">
        <v>0</v>
      </c>
      <c r="H1132" s="209">
        <v>0</v>
      </c>
      <c r="I1132" s="209">
        <v>0</v>
      </c>
      <c r="J1132" s="209">
        <v>0</v>
      </c>
      <c r="K1132" s="209">
        <v>42</v>
      </c>
    </row>
    <row r="1133" spans="1:11">
      <c r="A1133" s="208">
        <v>42655</v>
      </c>
      <c r="B1133" s="209" t="s">
        <v>529</v>
      </c>
      <c r="C1133" s="209">
        <v>19</v>
      </c>
      <c r="D1133" s="272" t="s">
        <v>508</v>
      </c>
      <c r="E1133" s="209">
        <v>1</v>
      </c>
      <c r="F1133" s="209">
        <v>11</v>
      </c>
      <c r="G1133" s="209">
        <v>11</v>
      </c>
      <c r="H1133" s="209">
        <v>0</v>
      </c>
      <c r="I1133" s="209">
        <v>4</v>
      </c>
      <c r="J1133" s="209">
        <v>4</v>
      </c>
      <c r="K1133" s="209">
        <v>403</v>
      </c>
    </row>
    <row r="1134" spans="1:11">
      <c r="A1134" s="208">
        <v>42655</v>
      </c>
      <c r="B1134" s="209" t="s">
        <v>529</v>
      </c>
      <c r="C1134" s="209">
        <v>20</v>
      </c>
      <c r="D1134" s="272" t="s">
        <v>468</v>
      </c>
      <c r="E1134" s="209">
        <v>0</v>
      </c>
      <c r="F1134" s="209">
        <v>1</v>
      </c>
      <c r="G1134" s="209">
        <v>1</v>
      </c>
      <c r="H1134" s="209">
        <v>0</v>
      </c>
      <c r="I1134" s="209">
        <v>0</v>
      </c>
      <c r="J1134" s="209">
        <v>0</v>
      </c>
      <c r="K1134" s="209">
        <v>979</v>
      </c>
    </row>
    <row r="1135" spans="1:11">
      <c r="A1135" s="208">
        <v>42655</v>
      </c>
      <c r="B1135" s="209" t="s">
        <v>529</v>
      </c>
      <c r="C1135" s="209">
        <v>21</v>
      </c>
      <c r="D1135" s="272" t="s">
        <v>489</v>
      </c>
      <c r="E1135" s="209">
        <v>1</v>
      </c>
      <c r="F1135" s="209">
        <v>40</v>
      </c>
      <c r="G1135" s="209">
        <v>40</v>
      </c>
      <c r="H1135" s="209">
        <v>0</v>
      </c>
      <c r="I1135" s="209">
        <v>15</v>
      </c>
      <c r="J1135" s="209">
        <v>15</v>
      </c>
      <c r="K1135" s="209">
        <v>5282</v>
      </c>
    </row>
    <row r="1136" spans="1:11">
      <c r="A1136" s="208">
        <v>42655</v>
      </c>
      <c r="B1136" s="209" t="s">
        <v>529</v>
      </c>
      <c r="C1136" s="209">
        <v>22</v>
      </c>
      <c r="D1136" s="272" t="s">
        <v>469</v>
      </c>
      <c r="E1136" s="209">
        <v>0</v>
      </c>
      <c r="F1136" s="209">
        <v>0</v>
      </c>
      <c r="G1136" s="209">
        <v>0</v>
      </c>
      <c r="H1136" s="209">
        <v>0</v>
      </c>
      <c r="I1136" s="209">
        <v>0</v>
      </c>
      <c r="J1136" s="209">
        <v>0</v>
      </c>
      <c r="K1136" s="209">
        <v>2033</v>
      </c>
    </row>
    <row r="1137" spans="1:11">
      <c r="A1137" s="208">
        <v>42655</v>
      </c>
      <c r="B1137" s="209" t="s">
        <v>529</v>
      </c>
      <c r="C1137" s="209">
        <v>23</v>
      </c>
      <c r="D1137" s="272" t="s">
        <v>470</v>
      </c>
      <c r="E1137" s="209">
        <v>0</v>
      </c>
      <c r="F1137" s="209">
        <v>4</v>
      </c>
      <c r="G1137" s="209">
        <v>4</v>
      </c>
      <c r="H1137" s="209">
        <v>0</v>
      </c>
      <c r="I1137" s="209">
        <v>1</v>
      </c>
      <c r="J1137" s="209">
        <v>1</v>
      </c>
      <c r="K1137" s="209">
        <v>1651</v>
      </c>
    </row>
    <row r="1138" spans="1:11">
      <c r="A1138" s="208">
        <v>42655</v>
      </c>
      <c r="B1138" s="209" t="s">
        <v>529</v>
      </c>
      <c r="C1138" s="209">
        <v>24</v>
      </c>
      <c r="D1138" s="272" t="s">
        <v>471</v>
      </c>
      <c r="E1138" s="209">
        <v>0</v>
      </c>
      <c r="F1138" s="209">
        <v>3</v>
      </c>
      <c r="G1138" s="209">
        <v>3</v>
      </c>
      <c r="H1138" s="209">
        <v>0</v>
      </c>
      <c r="I1138" s="209">
        <v>0</v>
      </c>
      <c r="J1138" s="209">
        <v>0</v>
      </c>
      <c r="K1138" s="209">
        <v>1058</v>
      </c>
    </row>
    <row r="1139" spans="1:11">
      <c r="A1139" s="208">
        <v>42655</v>
      </c>
      <c r="B1139" s="209" t="s">
        <v>529</v>
      </c>
      <c r="C1139" s="209">
        <v>25</v>
      </c>
      <c r="D1139" s="272" t="s">
        <v>510</v>
      </c>
      <c r="E1139" s="209">
        <v>0</v>
      </c>
      <c r="F1139" s="209">
        <v>0</v>
      </c>
      <c r="G1139" s="209">
        <v>0</v>
      </c>
      <c r="H1139" s="209">
        <v>0</v>
      </c>
      <c r="I1139" s="209">
        <v>0</v>
      </c>
      <c r="J1139" s="209">
        <v>0</v>
      </c>
      <c r="K1139" s="209">
        <v>114</v>
      </c>
    </row>
    <row r="1140" spans="1:11">
      <c r="A1140" s="208">
        <v>42656</v>
      </c>
      <c r="B1140" s="209" t="s">
        <v>511</v>
      </c>
      <c r="C1140" s="209">
        <v>1</v>
      </c>
      <c r="D1140" s="272" t="s">
        <v>465</v>
      </c>
      <c r="E1140" s="209">
        <v>3</v>
      </c>
      <c r="F1140" s="209">
        <v>19</v>
      </c>
      <c r="G1140" s="209">
        <v>19</v>
      </c>
      <c r="H1140" s="209">
        <v>2</v>
      </c>
      <c r="I1140" s="209">
        <v>5</v>
      </c>
      <c r="J1140" s="209">
        <v>5</v>
      </c>
      <c r="K1140" s="209">
        <v>1492</v>
      </c>
    </row>
    <row r="1141" spans="1:11">
      <c r="A1141" s="208">
        <v>42656</v>
      </c>
      <c r="B1141" s="209" t="s">
        <v>511</v>
      </c>
      <c r="C1141" s="209">
        <v>2</v>
      </c>
      <c r="D1141" s="272" t="s">
        <v>484</v>
      </c>
      <c r="E1141" s="209">
        <v>0</v>
      </c>
      <c r="F1141" s="209">
        <v>2</v>
      </c>
      <c r="G1141" s="209">
        <v>2</v>
      </c>
      <c r="H1141" s="209">
        <v>0</v>
      </c>
      <c r="I1141" s="209">
        <v>1</v>
      </c>
      <c r="J1141" s="209">
        <v>1</v>
      </c>
      <c r="K1141" s="209">
        <v>184</v>
      </c>
    </row>
    <row r="1142" spans="1:11">
      <c r="A1142" s="208">
        <v>42656</v>
      </c>
      <c r="B1142" s="209" t="s">
        <v>511</v>
      </c>
      <c r="C1142" s="209">
        <v>3</v>
      </c>
      <c r="D1142" s="272" t="s">
        <v>461</v>
      </c>
      <c r="E1142" s="209">
        <v>0</v>
      </c>
      <c r="F1142" s="209">
        <v>0</v>
      </c>
      <c r="G1142" s="209">
        <v>0</v>
      </c>
      <c r="H1142" s="209">
        <v>0</v>
      </c>
      <c r="I1142" s="209">
        <v>0</v>
      </c>
      <c r="J1142" s="209">
        <v>0</v>
      </c>
      <c r="K1142" s="209">
        <v>2654</v>
      </c>
    </row>
    <row r="1143" spans="1:11">
      <c r="A1143" s="208">
        <v>42656</v>
      </c>
      <c r="B1143" s="209" t="s">
        <v>511</v>
      </c>
      <c r="C1143" s="209">
        <v>4</v>
      </c>
      <c r="D1143" s="272" t="s">
        <v>487</v>
      </c>
      <c r="E1143" s="209">
        <v>0</v>
      </c>
      <c r="F1143" s="209">
        <v>4</v>
      </c>
      <c r="G1143" s="209">
        <v>4</v>
      </c>
      <c r="H1143" s="209">
        <v>0</v>
      </c>
      <c r="I1143" s="209">
        <v>4</v>
      </c>
      <c r="J1143" s="209">
        <v>4</v>
      </c>
      <c r="K1143" s="209">
        <v>629</v>
      </c>
    </row>
    <row r="1144" spans="1:11">
      <c r="A1144" s="208">
        <v>42656</v>
      </c>
      <c r="B1144" s="209" t="s">
        <v>511</v>
      </c>
      <c r="C1144" s="209">
        <v>5</v>
      </c>
      <c r="D1144" s="272" t="s">
        <v>462</v>
      </c>
      <c r="E1144" s="209">
        <v>0</v>
      </c>
      <c r="F1144" s="209">
        <v>0</v>
      </c>
      <c r="G1144" s="209">
        <v>0</v>
      </c>
      <c r="H1144" s="209">
        <v>0</v>
      </c>
      <c r="I1144" s="209">
        <v>0</v>
      </c>
      <c r="J1144" s="209">
        <v>0</v>
      </c>
      <c r="K1144" s="209">
        <v>637</v>
      </c>
    </row>
    <row r="1145" spans="1:11">
      <c r="A1145" s="208">
        <v>42656</v>
      </c>
      <c r="B1145" s="209" t="s">
        <v>511</v>
      </c>
      <c r="C1145" s="209">
        <v>6</v>
      </c>
      <c r="D1145" s="272" t="s">
        <v>463</v>
      </c>
      <c r="E1145" s="209">
        <v>0</v>
      </c>
      <c r="F1145" s="209">
        <v>3</v>
      </c>
      <c r="G1145" s="209">
        <v>3</v>
      </c>
      <c r="H1145" s="209">
        <v>0</v>
      </c>
      <c r="I1145" s="209">
        <v>2</v>
      </c>
      <c r="J1145" s="209">
        <v>2</v>
      </c>
      <c r="K1145" s="209">
        <v>3280</v>
      </c>
    </row>
    <row r="1146" spans="1:11">
      <c r="A1146" s="208">
        <v>42656</v>
      </c>
      <c r="B1146" s="209" t="s">
        <v>511</v>
      </c>
      <c r="C1146" s="209">
        <v>7</v>
      </c>
      <c r="D1146" s="272" t="s">
        <v>464</v>
      </c>
      <c r="E1146" s="209">
        <v>0</v>
      </c>
      <c r="F1146" s="209">
        <v>0</v>
      </c>
      <c r="G1146" s="209">
        <v>0</v>
      </c>
      <c r="H1146" s="209">
        <v>0</v>
      </c>
      <c r="I1146" s="209">
        <v>0</v>
      </c>
      <c r="J1146" s="209">
        <v>0</v>
      </c>
      <c r="K1146" s="209">
        <v>280</v>
      </c>
    </row>
    <row r="1147" spans="1:11">
      <c r="A1147" s="208">
        <v>42656</v>
      </c>
      <c r="B1147" s="209" t="s">
        <v>511</v>
      </c>
      <c r="C1147" s="209">
        <v>8</v>
      </c>
      <c r="D1147" s="272" t="s">
        <v>504</v>
      </c>
      <c r="E1147" s="209">
        <v>0</v>
      </c>
      <c r="F1147" s="209">
        <v>9</v>
      </c>
      <c r="G1147" s="209">
        <v>9</v>
      </c>
      <c r="H1147" s="209">
        <v>0</v>
      </c>
      <c r="I1147" s="209">
        <v>6</v>
      </c>
      <c r="J1147" s="209">
        <v>6</v>
      </c>
      <c r="K1147" s="209">
        <v>1448</v>
      </c>
    </row>
    <row r="1148" spans="1:11">
      <c r="A1148" s="208">
        <v>42656</v>
      </c>
      <c r="B1148" s="209" t="s">
        <v>511</v>
      </c>
      <c r="C1148" s="209">
        <v>9</v>
      </c>
      <c r="D1148" s="272" t="s">
        <v>490</v>
      </c>
      <c r="E1148" s="209">
        <v>0</v>
      </c>
      <c r="F1148" s="209">
        <v>3</v>
      </c>
      <c r="G1148" s="209">
        <v>3</v>
      </c>
      <c r="H1148" s="209">
        <v>0</v>
      </c>
      <c r="I1148" s="209">
        <v>0</v>
      </c>
      <c r="J1148" s="209">
        <v>0</v>
      </c>
      <c r="K1148" s="209">
        <v>131</v>
      </c>
    </row>
    <row r="1149" spans="1:11">
      <c r="A1149" s="208">
        <v>42656</v>
      </c>
      <c r="B1149" s="209" t="s">
        <v>511</v>
      </c>
      <c r="C1149" s="209">
        <v>10</v>
      </c>
      <c r="D1149" s="272" t="s">
        <v>460</v>
      </c>
      <c r="E1149" s="209">
        <v>0</v>
      </c>
      <c r="F1149" s="209">
        <v>14</v>
      </c>
      <c r="G1149" s="209">
        <v>14</v>
      </c>
      <c r="H1149" s="209">
        <v>0</v>
      </c>
      <c r="I1149" s="209">
        <v>2</v>
      </c>
      <c r="J1149" s="209">
        <v>2</v>
      </c>
      <c r="K1149" s="209">
        <v>1042</v>
      </c>
    </row>
    <row r="1150" spans="1:11">
      <c r="A1150" s="208">
        <v>42656</v>
      </c>
      <c r="B1150" s="209" t="s">
        <v>511</v>
      </c>
      <c r="C1150" s="209">
        <v>11</v>
      </c>
      <c r="D1150" s="272" t="s">
        <v>505</v>
      </c>
      <c r="E1150" s="209">
        <v>0</v>
      </c>
      <c r="F1150" s="209">
        <v>6</v>
      </c>
      <c r="G1150" s="209">
        <v>6</v>
      </c>
      <c r="H1150" s="209">
        <v>0</v>
      </c>
      <c r="I1150" s="209">
        <v>3</v>
      </c>
      <c r="J1150" s="209">
        <v>3</v>
      </c>
      <c r="K1150" s="209">
        <v>1101</v>
      </c>
    </row>
    <row r="1151" spans="1:11">
      <c r="A1151" s="208">
        <v>42656</v>
      </c>
      <c r="B1151" s="209" t="s">
        <v>511</v>
      </c>
      <c r="C1151" s="209">
        <v>12</v>
      </c>
      <c r="D1151" s="272" t="s">
        <v>466</v>
      </c>
      <c r="E1151" s="209">
        <v>0</v>
      </c>
      <c r="F1151" s="209">
        <v>23</v>
      </c>
      <c r="G1151" s="209">
        <v>23</v>
      </c>
      <c r="H1151" s="209">
        <v>0</v>
      </c>
      <c r="I1151" s="209">
        <v>6</v>
      </c>
      <c r="J1151" s="209">
        <v>6</v>
      </c>
      <c r="K1151" s="209">
        <v>1132</v>
      </c>
    </row>
    <row r="1152" spans="1:11">
      <c r="A1152" s="208">
        <v>42656</v>
      </c>
      <c r="B1152" s="209" t="s">
        <v>511</v>
      </c>
      <c r="C1152" s="209">
        <v>13</v>
      </c>
      <c r="D1152" s="272" t="s">
        <v>467</v>
      </c>
      <c r="E1152" s="209">
        <v>1</v>
      </c>
      <c r="F1152" s="209">
        <v>8</v>
      </c>
      <c r="G1152" s="209">
        <v>8</v>
      </c>
      <c r="H1152" s="209">
        <v>0</v>
      </c>
      <c r="I1152" s="209">
        <v>2</v>
      </c>
      <c r="J1152" s="209">
        <v>2</v>
      </c>
      <c r="K1152" s="209">
        <v>728</v>
      </c>
    </row>
    <row r="1153" spans="1:11">
      <c r="A1153" s="208">
        <v>42656</v>
      </c>
      <c r="B1153" s="209" t="s">
        <v>511</v>
      </c>
      <c r="C1153" s="209">
        <v>14</v>
      </c>
      <c r="D1153" s="272" t="s">
        <v>472</v>
      </c>
      <c r="E1153" s="209">
        <v>0</v>
      </c>
      <c r="F1153" s="209">
        <v>0</v>
      </c>
      <c r="G1153" s="209">
        <v>0</v>
      </c>
      <c r="H1153" s="209">
        <v>0</v>
      </c>
      <c r="I1153" s="209">
        <v>0</v>
      </c>
      <c r="J1153" s="209">
        <v>0</v>
      </c>
      <c r="K1153" s="209">
        <v>2</v>
      </c>
    </row>
    <row r="1154" spans="1:11">
      <c r="A1154" s="208">
        <v>42656</v>
      </c>
      <c r="B1154" s="209" t="s">
        <v>511</v>
      </c>
      <c r="C1154" s="209">
        <v>15</v>
      </c>
      <c r="D1154" s="272" t="s">
        <v>507</v>
      </c>
      <c r="E1154" s="209">
        <v>0</v>
      </c>
      <c r="F1154" s="209">
        <v>0</v>
      </c>
      <c r="G1154" s="209">
        <v>0</v>
      </c>
      <c r="H1154" s="209">
        <v>0</v>
      </c>
      <c r="I1154" s="209">
        <v>0</v>
      </c>
      <c r="J1154" s="209">
        <v>0</v>
      </c>
      <c r="K1154" s="209">
        <v>56</v>
      </c>
    </row>
    <row r="1155" spans="1:11">
      <c r="A1155" s="208">
        <v>42656</v>
      </c>
      <c r="B1155" s="209" t="s">
        <v>511</v>
      </c>
      <c r="C1155" s="209">
        <v>16</v>
      </c>
      <c r="D1155" s="272" t="s">
        <v>479</v>
      </c>
      <c r="E1155" s="209">
        <v>0</v>
      </c>
      <c r="F1155" s="209">
        <v>1</v>
      </c>
      <c r="G1155" s="209">
        <v>1</v>
      </c>
      <c r="H1155" s="209">
        <v>0</v>
      </c>
      <c r="I1155" s="209">
        <v>1</v>
      </c>
      <c r="J1155" s="209">
        <v>1</v>
      </c>
      <c r="K1155" s="209">
        <v>443</v>
      </c>
    </row>
    <row r="1156" spans="1:11">
      <c r="A1156" s="208">
        <v>42656</v>
      </c>
      <c r="B1156" s="209" t="s">
        <v>511</v>
      </c>
      <c r="C1156" s="209">
        <v>17</v>
      </c>
      <c r="D1156" s="272" t="s">
        <v>480</v>
      </c>
      <c r="E1156" s="209">
        <v>0</v>
      </c>
      <c r="F1156" s="209">
        <v>1</v>
      </c>
      <c r="G1156" s="209">
        <v>1</v>
      </c>
      <c r="H1156" s="209">
        <v>0</v>
      </c>
      <c r="I1156" s="209">
        <v>0</v>
      </c>
      <c r="J1156" s="209">
        <v>0</v>
      </c>
      <c r="K1156" s="209">
        <v>55</v>
      </c>
    </row>
    <row r="1157" spans="1:11">
      <c r="A1157" s="208">
        <v>42656</v>
      </c>
      <c r="B1157" s="209" t="s">
        <v>511</v>
      </c>
      <c r="C1157" s="209">
        <v>18</v>
      </c>
      <c r="D1157" s="272" t="s">
        <v>508</v>
      </c>
      <c r="E1157" s="209">
        <v>0</v>
      </c>
      <c r="F1157" s="209">
        <v>8</v>
      </c>
      <c r="G1157" s="209">
        <v>8</v>
      </c>
      <c r="H1157" s="209">
        <v>0</v>
      </c>
      <c r="I1157" s="209">
        <v>4</v>
      </c>
      <c r="J1157" s="209">
        <v>4</v>
      </c>
      <c r="K1157" s="209">
        <v>326</v>
      </c>
    </row>
    <row r="1158" spans="1:11">
      <c r="A1158" s="208">
        <v>42656</v>
      </c>
      <c r="B1158" s="209" t="s">
        <v>511</v>
      </c>
      <c r="C1158" s="209">
        <v>19</v>
      </c>
      <c r="D1158" s="272" t="s">
        <v>468</v>
      </c>
      <c r="E1158" s="209">
        <v>0</v>
      </c>
      <c r="F1158" s="209">
        <v>0</v>
      </c>
      <c r="G1158" s="209">
        <v>0</v>
      </c>
      <c r="H1158" s="209">
        <v>0</v>
      </c>
      <c r="I1158" s="209">
        <v>0</v>
      </c>
      <c r="J1158" s="209">
        <v>0</v>
      </c>
      <c r="K1158" s="209">
        <v>96</v>
      </c>
    </row>
    <row r="1159" spans="1:11">
      <c r="A1159" s="208">
        <v>42656</v>
      </c>
      <c r="B1159" s="209" t="s">
        <v>511</v>
      </c>
      <c r="C1159" s="209">
        <v>20</v>
      </c>
      <c r="D1159" s="272" t="s">
        <v>489</v>
      </c>
      <c r="E1159" s="209">
        <v>0</v>
      </c>
      <c r="F1159" s="209">
        <v>2</v>
      </c>
      <c r="G1159" s="209">
        <v>2</v>
      </c>
      <c r="H1159" s="209">
        <v>0</v>
      </c>
      <c r="I1159" s="209">
        <v>2</v>
      </c>
      <c r="J1159" s="209">
        <v>2</v>
      </c>
      <c r="K1159" s="209">
        <v>419</v>
      </c>
    </row>
    <row r="1160" spans="1:11">
      <c r="A1160" s="208">
        <v>42656</v>
      </c>
      <c r="B1160" s="209" t="s">
        <v>511</v>
      </c>
      <c r="C1160" s="209">
        <v>21</v>
      </c>
      <c r="D1160" s="272" t="s">
        <v>469</v>
      </c>
      <c r="E1160" s="209">
        <v>0</v>
      </c>
      <c r="F1160" s="209">
        <v>0</v>
      </c>
      <c r="G1160" s="209">
        <v>0</v>
      </c>
      <c r="H1160" s="209">
        <v>0</v>
      </c>
      <c r="I1160" s="209">
        <v>0</v>
      </c>
      <c r="J1160" s="209">
        <v>0</v>
      </c>
      <c r="K1160" s="209">
        <v>1305</v>
      </c>
    </row>
    <row r="1161" spans="1:11">
      <c r="A1161" s="208">
        <v>42656</v>
      </c>
      <c r="B1161" s="209" t="s">
        <v>511</v>
      </c>
      <c r="C1161" s="209">
        <v>22</v>
      </c>
      <c r="D1161" s="272" t="s">
        <v>470</v>
      </c>
      <c r="E1161" s="209">
        <v>0</v>
      </c>
      <c r="F1161" s="209">
        <v>1</v>
      </c>
      <c r="G1161" s="209">
        <v>1</v>
      </c>
      <c r="H1161" s="209">
        <v>0</v>
      </c>
      <c r="I1161" s="209">
        <v>0</v>
      </c>
      <c r="J1161" s="209">
        <v>0</v>
      </c>
      <c r="K1161" s="209">
        <v>574</v>
      </c>
    </row>
    <row r="1162" spans="1:11">
      <c r="A1162" s="208">
        <v>42656</v>
      </c>
      <c r="B1162" s="209" t="s">
        <v>511</v>
      </c>
      <c r="C1162" s="209">
        <v>23</v>
      </c>
      <c r="D1162" s="272" t="s">
        <v>471</v>
      </c>
      <c r="E1162" s="209">
        <v>0</v>
      </c>
      <c r="F1162" s="209">
        <v>1</v>
      </c>
      <c r="G1162" s="209">
        <v>1</v>
      </c>
      <c r="H1162" s="209">
        <v>0</v>
      </c>
      <c r="I1162" s="209">
        <v>0</v>
      </c>
      <c r="J1162" s="209">
        <v>0</v>
      </c>
      <c r="K1162" s="209">
        <v>110</v>
      </c>
    </row>
    <row r="1163" spans="1:11">
      <c r="A1163" s="208">
        <v>42656</v>
      </c>
      <c r="B1163" s="209" t="s">
        <v>511</v>
      </c>
      <c r="C1163" s="209">
        <v>24</v>
      </c>
      <c r="D1163" s="272" t="s">
        <v>510</v>
      </c>
      <c r="E1163" s="209">
        <v>0</v>
      </c>
      <c r="F1163" s="209">
        <v>0</v>
      </c>
      <c r="G1163" s="209">
        <v>0</v>
      </c>
      <c r="H1163" s="209">
        <v>0</v>
      </c>
      <c r="I1163" s="209">
        <v>0</v>
      </c>
      <c r="J1163" s="209">
        <v>0</v>
      </c>
      <c r="K1163" s="209">
        <v>220</v>
      </c>
    </row>
    <row r="1164" spans="1:11">
      <c r="A1164" s="208">
        <v>42656</v>
      </c>
      <c r="B1164" s="209" t="s">
        <v>519</v>
      </c>
      <c r="C1164" s="209">
        <v>1</v>
      </c>
      <c r="D1164" s="272" t="s">
        <v>484</v>
      </c>
      <c r="E1164" s="209">
        <v>0</v>
      </c>
      <c r="F1164" s="209">
        <v>3</v>
      </c>
      <c r="G1164" s="209">
        <v>3</v>
      </c>
      <c r="H1164" s="209">
        <v>0</v>
      </c>
      <c r="I1164" s="209">
        <v>2</v>
      </c>
      <c r="J1164" s="209">
        <v>2</v>
      </c>
      <c r="K1164" s="209">
        <v>309</v>
      </c>
    </row>
    <row r="1165" spans="1:11">
      <c r="A1165" s="208">
        <v>42656</v>
      </c>
      <c r="B1165" s="209" t="s">
        <v>519</v>
      </c>
      <c r="C1165" s="209">
        <v>2</v>
      </c>
      <c r="D1165" s="272" t="s">
        <v>461</v>
      </c>
      <c r="E1165" s="209">
        <v>0</v>
      </c>
      <c r="F1165" s="209">
        <v>0</v>
      </c>
      <c r="G1165" s="209">
        <v>0</v>
      </c>
      <c r="H1165" s="209">
        <v>0</v>
      </c>
      <c r="I1165" s="209">
        <v>0</v>
      </c>
      <c r="J1165" s="209">
        <v>0</v>
      </c>
      <c r="K1165" s="209">
        <v>1905</v>
      </c>
    </row>
    <row r="1166" spans="1:11">
      <c r="A1166" s="208">
        <v>42656</v>
      </c>
      <c r="B1166" s="209" t="s">
        <v>519</v>
      </c>
      <c r="C1166" s="209">
        <v>3</v>
      </c>
      <c r="D1166" s="272" t="s">
        <v>487</v>
      </c>
      <c r="E1166" s="209">
        <v>0</v>
      </c>
      <c r="F1166" s="209">
        <v>4</v>
      </c>
      <c r="G1166" s="209">
        <v>4</v>
      </c>
      <c r="H1166" s="209">
        <v>0</v>
      </c>
      <c r="I1166" s="209">
        <v>4</v>
      </c>
      <c r="J1166" s="209">
        <v>4</v>
      </c>
      <c r="K1166" s="209">
        <v>430</v>
      </c>
    </row>
    <row r="1167" spans="1:11">
      <c r="A1167" s="208">
        <v>42656</v>
      </c>
      <c r="B1167" s="209" t="s">
        <v>519</v>
      </c>
      <c r="C1167" s="209">
        <v>4</v>
      </c>
      <c r="D1167" s="272" t="s">
        <v>462</v>
      </c>
      <c r="E1167" s="209">
        <v>0</v>
      </c>
      <c r="F1167" s="209">
        <v>0</v>
      </c>
      <c r="G1167" s="209">
        <v>0</v>
      </c>
      <c r="H1167" s="209">
        <v>0</v>
      </c>
      <c r="I1167" s="209">
        <v>0</v>
      </c>
      <c r="J1167" s="209">
        <v>0</v>
      </c>
      <c r="K1167" s="209">
        <v>618</v>
      </c>
    </row>
    <row r="1168" spans="1:11">
      <c r="A1168" s="208">
        <v>42656</v>
      </c>
      <c r="B1168" s="209" t="s">
        <v>519</v>
      </c>
      <c r="C1168" s="209">
        <v>5</v>
      </c>
      <c r="D1168" s="272" t="s">
        <v>463</v>
      </c>
      <c r="E1168" s="209">
        <v>0</v>
      </c>
      <c r="F1168" s="209">
        <v>2</v>
      </c>
      <c r="G1168" s="209">
        <v>2</v>
      </c>
      <c r="H1168" s="209">
        <v>0</v>
      </c>
      <c r="I1168" s="209">
        <v>1</v>
      </c>
      <c r="J1168" s="209">
        <v>1</v>
      </c>
      <c r="K1168" s="209">
        <v>4527</v>
      </c>
    </row>
    <row r="1169" spans="1:11">
      <c r="A1169" s="208">
        <v>42656</v>
      </c>
      <c r="B1169" s="209" t="s">
        <v>519</v>
      </c>
      <c r="C1169" s="209">
        <v>6</v>
      </c>
      <c r="D1169" s="272" t="s">
        <v>464</v>
      </c>
      <c r="E1169" s="209">
        <v>0</v>
      </c>
      <c r="F1169" s="209">
        <v>0</v>
      </c>
      <c r="G1169" s="209">
        <v>0</v>
      </c>
      <c r="H1169" s="209">
        <v>0</v>
      </c>
      <c r="I1169" s="209">
        <v>0</v>
      </c>
      <c r="J1169" s="209">
        <v>0</v>
      </c>
      <c r="K1169" s="209">
        <v>212</v>
      </c>
    </row>
    <row r="1170" spans="1:11">
      <c r="A1170" s="208">
        <v>42656</v>
      </c>
      <c r="B1170" s="209" t="s">
        <v>519</v>
      </c>
      <c r="C1170" s="209">
        <v>7</v>
      </c>
      <c r="D1170" s="272" t="s">
        <v>504</v>
      </c>
      <c r="E1170" s="209">
        <v>1</v>
      </c>
      <c r="F1170" s="209">
        <v>5</v>
      </c>
      <c r="G1170" s="209">
        <v>5</v>
      </c>
      <c r="H1170" s="209">
        <v>0</v>
      </c>
      <c r="I1170" s="209">
        <v>4</v>
      </c>
      <c r="J1170" s="209">
        <v>4</v>
      </c>
      <c r="K1170" s="209">
        <v>1665</v>
      </c>
    </row>
    <row r="1171" spans="1:11">
      <c r="A1171" s="208">
        <v>42656</v>
      </c>
      <c r="B1171" s="209" t="s">
        <v>519</v>
      </c>
      <c r="C1171" s="209">
        <v>8</v>
      </c>
      <c r="D1171" s="272" t="s">
        <v>490</v>
      </c>
      <c r="E1171" s="209">
        <v>0</v>
      </c>
      <c r="F1171" s="209">
        <v>13</v>
      </c>
      <c r="G1171" s="209">
        <v>13</v>
      </c>
      <c r="H1171" s="209">
        <v>0</v>
      </c>
      <c r="I1171" s="209">
        <v>11</v>
      </c>
      <c r="J1171" s="209">
        <v>11</v>
      </c>
      <c r="K1171" s="209">
        <v>350</v>
      </c>
    </row>
    <row r="1172" spans="1:11">
      <c r="A1172" s="208">
        <v>42656</v>
      </c>
      <c r="B1172" s="209" t="s">
        <v>519</v>
      </c>
      <c r="C1172" s="209">
        <v>9</v>
      </c>
      <c r="D1172" s="272" t="s">
        <v>460</v>
      </c>
      <c r="E1172" s="209">
        <v>0</v>
      </c>
      <c r="F1172" s="209">
        <v>10</v>
      </c>
      <c r="G1172" s="209">
        <v>10</v>
      </c>
      <c r="H1172" s="209">
        <v>0</v>
      </c>
      <c r="I1172" s="209">
        <v>3</v>
      </c>
      <c r="J1172" s="209">
        <v>3</v>
      </c>
      <c r="K1172" s="209">
        <v>447</v>
      </c>
    </row>
    <row r="1173" spans="1:11">
      <c r="A1173" s="208">
        <v>42656</v>
      </c>
      <c r="B1173" s="209" t="s">
        <v>519</v>
      </c>
      <c r="C1173" s="209">
        <v>10</v>
      </c>
      <c r="D1173" s="272" t="s">
        <v>465</v>
      </c>
      <c r="E1173" s="209">
        <v>1</v>
      </c>
      <c r="F1173" s="209">
        <v>27</v>
      </c>
      <c r="G1173" s="209">
        <v>27</v>
      </c>
      <c r="H1173" s="209">
        <v>0</v>
      </c>
      <c r="I1173" s="209">
        <v>9</v>
      </c>
      <c r="J1173" s="209">
        <v>9</v>
      </c>
      <c r="K1173" s="209">
        <v>1573</v>
      </c>
    </row>
    <row r="1174" spans="1:11">
      <c r="A1174" s="208">
        <v>42656</v>
      </c>
      <c r="B1174" s="209" t="s">
        <v>519</v>
      </c>
      <c r="C1174" s="209">
        <v>11</v>
      </c>
      <c r="D1174" s="272" t="s">
        <v>505</v>
      </c>
      <c r="E1174" s="209">
        <v>1</v>
      </c>
      <c r="F1174" s="209">
        <v>6</v>
      </c>
      <c r="G1174" s="209">
        <v>6</v>
      </c>
      <c r="H1174" s="209">
        <v>0</v>
      </c>
      <c r="I1174" s="209">
        <v>2</v>
      </c>
      <c r="J1174" s="209">
        <v>2</v>
      </c>
      <c r="K1174" s="209">
        <v>1147</v>
      </c>
    </row>
    <row r="1175" spans="1:11">
      <c r="A1175" s="208">
        <v>42656</v>
      </c>
      <c r="B1175" s="209" t="s">
        <v>519</v>
      </c>
      <c r="C1175" s="209">
        <v>12</v>
      </c>
      <c r="D1175" s="272" t="s">
        <v>466</v>
      </c>
      <c r="E1175" s="209">
        <v>0</v>
      </c>
      <c r="F1175" s="209">
        <v>22</v>
      </c>
      <c r="G1175" s="209">
        <v>22</v>
      </c>
      <c r="H1175" s="209">
        <v>0</v>
      </c>
      <c r="I1175" s="209">
        <v>5</v>
      </c>
      <c r="J1175" s="209">
        <v>5</v>
      </c>
      <c r="K1175" s="209">
        <v>903</v>
      </c>
    </row>
    <row r="1176" spans="1:11">
      <c r="A1176" s="208">
        <v>42656</v>
      </c>
      <c r="B1176" s="209" t="s">
        <v>519</v>
      </c>
      <c r="C1176" s="209">
        <v>13</v>
      </c>
      <c r="D1176" s="272" t="s">
        <v>467</v>
      </c>
      <c r="E1176" s="209">
        <v>0</v>
      </c>
      <c r="F1176" s="209">
        <v>2</v>
      </c>
      <c r="G1176" s="209">
        <v>2</v>
      </c>
      <c r="H1176" s="209">
        <v>0</v>
      </c>
      <c r="I1176" s="209">
        <v>0</v>
      </c>
      <c r="J1176" s="209">
        <v>0</v>
      </c>
      <c r="K1176" s="209">
        <v>367</v>
      </c>
    </row>
    <row r="1177" spans="1:11">
      <c r="A1177" s="208">
        <v>42656</v>
      </c>
      <c r="B1177" s="209" t="s">
        <v>519</v>
      </c>
      <c r="C1177" s="209">
        <v>14</v>
      </c>
      <c r="D1177" s="272" t="s">
        <v>472</v>
      </c>
      <c r="E1177" s="209">
        <v>0</v>
      </c>
      <c r="F1177" s="209">
        <v>0</v>
      </c>
      <c r="G1177" s="209">
        <v>0</v>
      </c>
      <c r="H1177" s="209">
        <v>0</v>
      </c>
      <c r="I1177" s="209">
        <v>0</v>
      </c>
      <c r="J1177" s="209">
        <v>0</v>
      </c>
      <c r="K1177" s="209">
        <v>6</v>
      </c>
    </row>
    <row r="1178" spans="1:11">
      <c r="A1178" s="208">
        <v>42656</v>
      </c>
      <c r="B1178" s="209" t="s">
        <v>519</v>
      </c>
      <c r="C1178" s="209">
        <v>15</v>
      </c>
      <c r="D1178" s="272" t="s">
        <v>479</v>
      </c>
      <c r="E1178" s="209">
        <v>0</v>
      </c>
      <c r="F1178" s="209">
        <v>1</v>
      </c>
      <c r="G1178" s="209">
        <v>1</v>
      </c>
      <c r="H1178" s="209">
        <v>0</v>
      </c>
      <c r="I1178" s="209">
        <v>1</v>
      </c>
      <c r="J1178" s="209">
        <v>1</v>
      </c>
      <c r="K1178" s="209">
        <v>896</v>
      </c>
    </row>
    <row r="1179" spans="1:11">
      <c r="A1179" s="208">
        <v>42656</v>
      </c>
      <c r="B1179" s="209" t="s">
        <v>519</v>
      </c>
      <c r="C1179" s="209">
        <v>16</v>
      </c>
      <c r="D1179" s="272" t="s">
        <v>480</v>
      </c>
      <c r="E1179" s="209">
        <v>0</v>
      </c>
      <c r="F1179" s="209">
        <v>8</v>
      </c>
      <c r="G1179" s="209">
        <v>8</v>
      </c>
      <c r="H1179" s="209">
        <v>0</v>
      </c>
      <c r="I1179" s="209">
        <v>7</v>
      </c>
      <c r="J1179" s="209">
        <v>7</v>
      </c>
      <c r="K1179" s="209">
        <v>549</v>
      </c>
    </row>
    <row r="1180" spans="1:11">
      <c r="A1180" s="208">
        <v>42656</v>
      </c>
      <c r="B1180" s="209" t="s">
        <v>519</v>
      </c>
      <c r="C1180" s="209">
        <v>17</v>
      </c>
      <c r="D1180" s="272" t="s">
        <v>508</v>
      </c>
      <c r="E1180" s="209">
        <v>1</v>
      </c>
      <c r="F1180" s="209">
        <v>10</v>
      </c>
      <c r="G1180" s="209">
        <v>10</v>
      </c>
      <c r="H1180" s="209">
        <v>0</v>
      </c>
      <c r="I1180" s="209">
        <v>1</v>
      </c>
      <c r="J1180" s="209">
        <v>1</v>
      </c>
      <c r="K1180" s="209">
        <v>360</v>
      </c>
    </row>
    <row r="1181" spans="1:11">
      <c r="A1181" s="208">
        <v>42656</v>
      </c>
      <c r="B1181" s="209" t="s">
        <v>519</v>
      </c>
      <c r="C1181" s="209">
        <v>18</v>
      </c>
      <c r="D1181" s="272" t="s">
        <v>468</v>
      </c>
      <c r="E1181" s="209">
        <v>0</v>
      </c>
      <c r="F1181" s="209">
        <v>0</v>
      </c>
      <c r="G1181" s="209">
        <v>0</v>
      </c>
      <c r="H1181" s="209">
        <v>0</v>
      </c>
      <c r="I1181" s="209">
        <v>0</v>
      </c>
      <c r="J1181" s="209">
        <v>0</v>
      </c>
      <c r="K1181" s="209">
        <v>377</v>
      </c>
    </row>
    <row r="1182" spans="1:11">
      <c r="A1182" s="208">
        <v>42656</v>
      </c>
      <c r="B1182" s="209" t="s">
        <v>519</v>
      </c>
      <c r="C1182" s="209">
        <v>19</v>
      </c>
      <c r="D1182" s="272" t="s">
        <v>489</v>
      </c>
      <c r="E1182" s="209">
        <v>0</v>
      </c>
      <c r="F1182" s="209">
        <v>3</v>
      </c>
      <c r="G1182" s="209">
        <v>3</v>
      </c>
      <c r="H1182" s="209">
        <v>0</v>
      </c>
      <c r="I1182" s="209">
        <v>1</v>
      </c>
      <c r="J1182" s="209">
        <v>1</v>
      </c>
      <c r="K1182" s="209">
        <v>1217</v>
      </c>
    </row>
    <row r="1183" spans="1:11">
      <c r="A1183" s="208">
        <v>42656</v>
      </c>
      <c r="B1183" s="209" t="s">
        <v>519</v>
      </c>
      <c r="C1183" s="209">
        <v>20</v>
      </c>
      <c r="D1183" s="272" t="s">
        <v>469</v>
      </c>
      <c r="E1183" s="209">
        <v>0</v>
      </c>
      <c r="F1183" s="209">
        <v>0</v>
      </c>
      <c r="G1183" s="209">
        <v>0</v>
      </c>
      <c r="H1183" s="209">
        <v>0</v>
      </c>
      <c r="I1183" s="209">
        <v>0</v>
      </c>
      <c r="J1183" s="209">
        <v>0</v>
      </c>
      <c r="K1183" s="209">
        <v>1138</v>
      </c>
    </row>
    <row r="1184" spans="1:11">
      <c r="A1184" s="208">
        <v>42656</v>
      </c>
      <c r="B1184" s="209" t="s">
        <v>519</v>
      </c>
      <c r="C1184" s="209">
        <v>21</v>
      </c>
      <c r="D1184" s="272" t="s">
        <v>470</v>
      </c>
      <c r="E1184" s="209">
        <v>0</v>
      </c>
      <c r="F1184" s="209">
        <v>6</v>
      </c>
      <c r="G1184" s="209">
        <v>6</v>
      </c>
      <c r="H1184" s="209">
        <v>0</v>
      </c>
      <c r="I1184" s="209">
        <v>3</v>
      </c>
      <c r="J1184" s="209">
        <v>3</v>
      </c>
      <c r="K1184" s="209">
        <v>952</v>
      </c>
    </row>
    <row r="1185" spans="1:11">
      <c r="A1185" s="208">
        <v>42656</v>
      </c>
      <c r="B1185" s="209" t="s">
        <v>519</v>
      </c>
      <c r="C1185" s="209">
        <v>22</v>
      </c>
      <c r="D1185" s="272" t="s">
        <v>471</v>
      </c>
      <c r="E1185" s="209">
        <v>0</v>
      </c>
      <c r="F1185" s="209">
        <v>0</v>
      </c>
      <c r="G1185" s="209">
        <v>0</v>
      </c>
      <c r="H1185" s="209">
        <v>0</v>
      </c>
      <c r="I1185" s="209">
        <v>0</v>
      </c>
      <c r="J1185" s="209">
        <v>0</v>
      </c>
      <c r="K1185" s="209">
        <v>246</v>
      </c>
    </row>
    <row r="1186" spans="1:11">
      <c r="A1186" s="208">
        <v>42656</v>
      </c>
      <c r="B1186" s="209" t="s">
        <v>519</v>
      </c>
      <c r="C1186" s="209">
        <v>23</v>
      </c>
      <c r="D1186" s="272" t="s">
        <v>510</v>
      </c>
      <c r="E1186" s="209">
        <v>0</v>
      </c>
      <c r="F1186" s="209">
        <v>3</v>
      </c>
      <c r="G1186" s="209">
        <v>3</v>
      </c>
      <c r="H1186" s="209">
        <v>0</v>
      </c>
      <c r="I1186" s="209">
        <v>3</v>
      </c>
      <c r="J1186" s="209">
        <v>3</v>
      </c>
      <c r="K1186" s="209">
        <v>312</v>
      </c>
    </row>
    <row r="1187" spans="1:11">
      <c r="A1187" s="208">
        <v>42656</v>
      </c>
      <c r="B1187" s="209" t="s">
        <v>529</v>
      </c>
      <c r="C1187" s="209">
        <v>1</v>
      </c>
      <c r="D1187" s="272" t="s">
        <v>549</v>
      </c>
      <c r="E1187" s="209">
        <v>0</v>
      </c>
      <c r="F1187" s="209">
        <v>0</v>
      </c>
      <c r="G1187" s="209">
        <v>0</v>
      </c>
      <c r="H1187" s="209" t="s">
        <v>242</v>
      </c>
      <c r="I1187" s="209" t="s">
        <v>242</v>
      </c>
      <c r="J1187" s="209" t="s">
        <v>242</v>
      </c>
      <c r="K1187" s="209">
        <v>0</v>
      </c>
    </row>
    <row r="1188" spans="1:11">
      <c r="A1188" s="208">
        <v>42656</v>
      </c>
      <c r="B1188" s="209" t="s">
        <v>529</v>
      </c>
      <c r="C1188" s="209">
        <v>2</v>
      </c>
      <c r="D1188" s="272" t="s">
        <v>465</v>
      </c>
      <c r="E1188" s="209">
        <v>1</v>
      </c>
      <c r="F1188" s="209">
        <v>10</v>
      </c>
      <c r="G1188" s="209">
        <v>10</v>
      </c>
      <c r="H1188" s="209">
        <v>1</v>
      </c>
      <c r="I1188" s="209">
        <v>7</v>
      </c>
      <c r="J1188" s="209">
        <v>7</v>
      </c>
      <c r="K1188" s="209">
        <v>647</v>
      </c>
    </row>
    <row r="1189" spans="1:11">
      <c r="A1189" s="208">
        <v>42656</v>
      </c>
      <c r="B1189" s="209" t="s">
        <v>529</v>
      </c>
      <c r="C1189" s="209">
        <v>3</v>
      </c>
      <c r="D1189" s="272" t="s">
        <v>484</v>
      </c>
      <c r="E1189" s="209">
        <v>0</v>
      </c>
      <c r="F1189" s="209">
        <v>4</v>
      </c>
      <c r="G1189" s="209">
        <v>4</v>
      </c>
      <c r="H1189" s="209">
        <v>0</v>
      </c>
      <c r="I1189" s="209">
        <v>1</v>
      </c>
      <c r="J1189" s="209">
        <v>1</v>
      </c>
      <c r="K1189" s="209">
        <v>768</v>
      </c>
    </row>
    <row r="1190" spans="1:11">
      <c r="A1190" s="208">
        <v>42656</v>
      </c>
      <c r="B1190" s="209" t="s">
        <v>529</v>
      </c>
      <c r="C1190" s="209">
        <v>4</v>
      </c>
      <c r="D1190" s="272" t="s">
        <v>487</v>
      </c>
      <c r="E1190" s="209">
        <v>0</v>
      </c>
      <c r="F1190" s="209">
        <v>8</v>
      </c>
      <c r="G1190" s="209">
        <v>8</v>
      </c>
      <c r="H1190" s="209">
        <v>0</v>
      </c>
      <c r="I1190" s="209">
        <v>2</v>
      </c>
      <c r="J1190" s="209">
        <v>2</v>
      </c>
      <c r="K1190" s="209">
        <v>400</v>
      </c>
    </row>
    <row r="1191" spans="1:11">
      <c r="A1191" s="208">
        <v>42656</v>
      </c>
      <c r="B1191" s="209" t="s">
        <v>529</v>
      </c>
      <c r="C1191" s="209">
        <v>5</v>
      </c>
      <c r="D1191" s="272" t="s">
        <v>462</v>
      </c>
      <c r="E1191" s="209">
        <v>0</v>
      </c>
      <c r="F1191" s="209">
        <v>0</v>
      </c>
      <c r="G1191" s="209">
        <v>0</v>
      </c>
      <c r="H1191" s="209">
        <v>0</v>
      </c>
      <c r="I1191" s="209">
        <v>0</v>
      </c>
      <c r="J1191" s="209">
        <v>0</v>
      </c>
      <c r="K1191" s="209">
        <v>1889</v>
      </c>
    </row>
    <row r="1192" spans="1:11">
      <c r="A1192" s="208">
        <v>42656</v>
      </c>
      <c r="B1192" s="209" t="s">
        <v>529</v>
      </c>
      <c r="C1192" s="209">
        <v>6</v>
      </c>
      <c r="D1192" s="272" t="s">
        <v>463</v>
      </c>
      <c r="E1192" s="209">
        <v>0</v>
      </c>
      <c r="F1192" s="209">
        <v>3</v>
      </c>
      <c r="G1192" s="209">
        <v>3</v>
      </c>
      <c r="H1192" s="209">
        <v>0</v>
      </c>
      <c r="I1192" s="209">
        <v>2</v>
      </c>
      <c r="J1192" s="209">
        <v>2</v>
      </c>
      <c r="K1192" s="209">
        <v>3909</v>
      </c>
    </row>
    <row r="1193" spans="1:11">
      <c r="A1193" s="208">
        <v>42656</v>
      </c>
      <c r="B1193" s="209" t="s">
        <v>529</v>
      </c>
      <c r="C1193" s="209">
        <v>7</v>
      </c>
      <c r="D1193" s="272" t="s">
        <v>464</v>
      </c>
      <c r="E1193" s="209">
        <v>0</v>
      </c>
      <c r="F1193" s="209">
        <v>1</v>
      </c>
      <c r="G1193" s="209">
        <v>1</v>
      </c>
      <c r="H1193" s="209">
        <v>0</v>
      </c>
      <c r="I1193" s="209">
        <v>1</v>
      </c>
      <c r="J1193" s="209">
        <v>1</v>
      </c>
      <c r="K1193" s="209">
        <v>841</v>
      </c>
    </row>
    <row r="1194" spans="1:11">
      <c r="A1194" s="208">
        <v>42656</v>
      </c>
      <c r="B1194" s="209" t="s">
        <v>529</v>
      </c>
      <c r="C1194" s="209">
        <v>8</v>
      </c>
      <c r="D1194" s="272" t="s">
        <v>504</v>
      </c>
      <c r="E1194" s="209">
        <v>2</v>
      </c>
      <c r="F1194" s="209">
        <v>21</v>
      </c>
      <c r="G1194" s="209">
        <v>21</v>
      </c>
      <c r="H1194" s="209">
        <v>0</v>
      </c>
      <c r="I1194" s="209">
        <v>4</v>
      </c>
      <c r="J1194" s="209">
        <v>4</v>
      </c>
      <c r="K1194" s="209">
        <v>2256</v>
      </c>
    </row>
    <row r="1195" spans="1:11">
      <c r="A1195" s="208">
        <v>42656</v>
      </c>
      <c r="B1195" s="209" t="s">
        <v>529</v>
      </c>
      <c r="C1195" s="209">
        <v>9</v>
      </c>
      <c r="D1195" s="272" t="s">
        <v>490</v>
      </c>
      <c r="E1195" s="209">
        <v>0</v>
      </c>
      <c r="F1195" s="209">
        <v>25</v>
      </c>
      <c r="G1195" s="209">
        <v>25</v>
      </c>
      <c r="H1195" s="209">
        <v>0</v>
      </c>
      <c r="I1195" s="209">
        <v>7</v>
      </c>
      <c r="J1195" s="209">
        <v>7</v>
      </c>
      <c r="K1195" s="209">
        <v>628</v>
      </c>
    </row>
    <row r="1196" spans="1:11">
      <c r="A1196" s="208">
        <v>42656</v>
      </c>
      <c r="B1196" s="209" t="s">
        <v>529</v>
      </c>
      <c r="C1196" s="209">
        <v>10</v>
      </c>
      <c r="D1196" s="272" t="s">
        <v>460</v>
      </c>
      <c r="E1196" s="209">
        <v>0</v>
      </c>
      <c r="F1196" s="209">
        <v>0</v>
      </c>
      <c r="G1196" s="209">
        <v>0</v>
      </c>
      <c r="H1196" s="209">
        <v>0</v>
      </c>
      <c r="I1196" s="209">
        <v>0</v>
      </c>
      <c r="J1196" s="209">
        <v>0</v>
      </c>
      <c r="K1196" s="209">
        <v>207</v>
      </c>
    </row>
    <row r="1197" spans="1:11">
      <c r="A1197" s="208">
        <v>42656</v>
      </c>
      <c r="B1197" s="209" t="s">
        <v>529</v>
      </c>
      <c r="C1197" s="209">
        <v>11</v>
      </c>
      <c r="D1197" s="272" t="s">
        <v>460</v>
      </c>
      <c r="E1197" s="209">
        <v>0</v>
      </c>
      <c r="F1197" s="209">
        <v>0</v>
      </c>
      <c r="G1197" s="209">
        <v>0</v>
      </c>
      <c r="H1197" s="209">
        <v>0</v>
      </c>
      <c r="I1197" s="209">
        <v>0</v>
      </c>
      <c r="J1197" s="209">
        <v>0</v>
      </c>
      <c r="K1197" s="209">
        <v>207</v>
      </c>
    </row>
    <row r="1198" spans="1:11">
      <c r="A1198" s="208">
        <v>42656</v>
      </c>
      <c r="B1198" s="209" t="s">
        <v>529</v>
      </c>
      <c r="C1198" s="209">
        <v>12</v>
      </c>
      <c r="D1198" s="272" t="s">
        <v>505</v>
      </c>
      <c r="E1198" s="209">
        <v>0</v>
      </c>
      <c r="F1198" s="209">
        <v>2</v>
      </c>
      <c r="G1198" s="209">
        <v>2</v>
      </c>
      <c r="H1198" s="209">
        <v>0</v>
      </c>
      <c r="I1198" s="209">
        <v>0</v>
      </c>
      <c r="J1198" s="209">
        <v>0</v>
      </c>
      <c r="K1198" s="209">
        <v>1316</v>
      </c>
    </row>
    <row r="1199" spans="1:11">
      <c r="A1199" s="208">
        <v>42656</v>
      </c>
      <c r="B1199" s="209" t="s">
        <v>529</v>
      </c>
      <c r="C1199" s="209">
        <v>13</v>
      </c>
      <c r="D1199" s="272" t="s">
        <v>466</v>
      </c>
      <c r="E1199" s="209">
        <v>1</v>
      </c>
      <c r="F1199" s="209">
        <v>17</v>
      </c>
      <c r="G1199" s="209">
        <v>17</v>
      </c>
      <c r="H1199" s="209">
        <v>0</v>
      </c>
      <c r="I1199" s="209">
        <v>6</v>
      </c>
      <c r="J1199" s="209">
        <v>6</v>
      </c>
      <c r="K1199" s="209">
        <v>1155</v>
      </c>
    </row>
    <row r="1200" spans="1:11">
      <c r="A1200" s="208">
        <v>42656</v>
      </c>
      <c r="B1200" s="209" t="s">
        <v>529</v>
      </c>
      <c r="C1200" s="209">
        <v>14</v>
      </c>
      <c r="D1200" s="272" t="s">
        <v>467</v>
      </c>
      <c r="E1200" s="209">
        <v>0</v>
      </c>
      <c r="F1200" s="209">
        <v>0</v>
      </c>
      <c r="G1200" s="209">
        <v>0</v>
      </c>
      <c r="H1200" s="209">
        <v>0</v>
      </c>
      <c r="I1200" s="209">
        <v>0</v>
      </c>
      <c r="J1200" s="209">
        <v>0</v>
      </c>
      <c r="K1200" s="209">
        <v>40</v>
      </c>
    </row>
    <row r="1201" spans="1:11">
      <c r="A1201" s="208">
        <v>42656</v>
      </c>
      <c r="B1201" s="209" t="s">
        <v>529</v>
      </c>
      <c r="C1201" s="209">
        <v>15</v>
      </c>
      <c r="D1201" s="272" t="s">
        <v>472</v>
      </c>
      <c r="E1201" s="209">
        <v>0</v>
      </c>
      <c r="F1201" s="209">
        <v>0</v>
      </c>
      <c r="G1201" s="209">
        <v>0</v>
      </c>
      <c r="H1201" s="209">
        <v>0</v>
      </c>
      <c r="I1201" s="209">
        <v>0</v>
      </c>
      <c r="J1201" s="209">
        <v>0</v>
      </c>
      <c r="K1201" s="209">
        <v>1</v>
      </c>
    </row>
    <row r="1202" spans="1:11">
      <c r="A1202" s="208">
        <v>42656</v>
      </c>
      <c r="B1202" s="209" t="s">
        <v>529</v>
      </c>
      <c r="C1202" s="209">
        <v>16</v>
      </c>
      <c r="D1202" s="272" t="s">
        <v>507</v>
      </c>
      <c r="E1202" s="209">
        <v>0</v>
      </c>
      <c r="F1202" s="209">
        <v>3</v>
      </c>
      <c r="G1202" s="209">
        <v>3</v>
      </c>
      <c r="H1202" s="209">
        <v>0</v>
      </c>
      <c r="I1202" s="209">
        <v>1</v>
      </c>
      <c r="J1202" s="209">
        <v>1</v>
      </c>
      <c r="K1202" s="209">
        <v>720</v>
      </c>
    </row>
    <row r="1203" spans="1:11">
      <c r="A1203" s="208">
        <v>42656</v>
      </c>
      <c r="B1203" s="209" t="s">
        <v>529</v>
      </c>
      <c r="C1203" s="209">
        <v>17</v>
      </c>
      <c r="D1203" s="272" t="s">
        <v>479</v>
      </c>
      <c r="E1203" s="209">
        <v>0</v>
      </c>
      <c r="F1203" s="209">
        <v>1</v>
      </c>
      <c r="G1203" s="209">
        <v>1</v>
      </c>
      <c r="H1203" s="209">
        <v>0</v>
      </c>
      <c r="I1203" s="209">
        <v>0</v>
      </c>
      <c r="J1203" s="209">
        <v>0</v>
      </c>
      <c r="K1203" s="209">
        <v>674</v>
      </c>
    </row>
    <row r="1204" spans="1:11">
      <c r="A1204" s="208">
        <v>42656</v>
      </c>
      <c r="B1204" s="209" t="s">
        <v>529</v>
      </c>
      <c r="C1204" s="209">
        <v>18</v>
      </c>
      <c r="D1204" s="272" t="s">
        <v>480</v>
      </c>
      <c r="E1204" s="209">
        <v>0</v>
      </c>
      <c r="F1204" s="209">
        <v>0</v>
      </c>
      <c r="G1204" s="209">
        <v>0</v>
      </c>
      <c r="H1204" s="209">
        <v>0</v>
      </c>
      <c r="I1204" s="209">
        <v>0</v>
      </c>
      <c r="J1204" s="209">
        <v>0</v>
      </c>
      <c r="K1204" s="209">
        <v>42</v>
      </c>
    </row>
    <row r="1205" spans="1:11">
      <c r="A1205" s="208">
        <v>42656</v>
      </c>
      <c r="B1205" s="209" t="s">
        <v>529</v>
      </c>
      <c r="C1205" s="209">
        <v>19</v>
      </c>
      <c r="D1205" s="272" t="s">
        <v>508</v>
      </c>
      <c r="E1205" s="209">
        <v>1</v>
      </c>
      <c r="F1205" s="209">
        <v>13</v>
      </c>
      <c r="G1205" s="209">
        <v>13</v>
      </c>
      <c r="H1205" s="209">
        <v>0</v>
      </c>
      <c r="I1205" s="209">
        <v>4</v>
      </c>
      <c r="J1205" s="209">
        <v>4</v>
      </c>
      <c r="K1205" s="209">
        <v>403</v>
      </c>
    </row>
    <row r="1206" spans="1:11">
      <c r="A1206" s="208">
        <v>42656</v>
      </c>
      <c r="B1206" s="209" t="s">
        <v>529</v>
      </c>
      <c r="C1206" s="209">
        <v>20</v>
      </c>
      <c r="D1206" s="272" t="s">
        <v>468</v>
      </c>
      <c r="E1206" s="209">
        <v>0</v>
      </c>
      <c r="F1206" s="209">
        <v>1</v>
      </c>
      <c r="G1206" s="209">
        <v>1</v>
      </c>
      <c r="H1206" s="209">
        <v>0</v>
      </c>
      <c r="I1206" s="209">
        <v>0</v>
      </c>
      <c r="J1206" s="209">
        <v>0</v>
      </c>
      <c r="K1206" s="209">
        <v>1030</v>
      </c>
    </row>
    <row r="1207" spans="1:11">
      <c r="A1207" s="208">
        <v>42656</v>
      </c>
      <c r="B1207" s="209" t="s">
        <v>529</v>
      </c>
      <c r="C1207" s="209">
        <v>11</v>
      </c>
      <c r="D1207" s="272" t="s">
        <v>460</v>
      </c>
      <c r="E1207" s="209">
        <v>0</v>
      </c>
      <c r="F1207" s="209">
        <v>0</v>
      </c>
      <c r="G1207" s="209">
        <v>0</v>
      </c>
      <c r="H1207" s="209">
        <v>0</v>
      </c>
      <c r="I1207" s="209">
        <v>0</v>
      </c>
      <c r="J1207" s="209">
        <v>0</v>
      </c>
      <c r="K1207" s="209">
        <v>207</v>
      </c>
    </row>
    <row r="1208" spans="1:11">
      <c r="A1208" s="208">
        <v>42656</v>
      </c>
      <c r="B1208" s="209" t="s">
        <v>529</v>
      </c>
      <c r="C1208" s="209">
        <v>12</v>
      </c>
      <c r="D1208" s="272" t="s">
        <v>505</v>
      </c>
      <c r="E1208" s="209">
        <v>0</v>
      </c>
      <c r="F1208" s="209">
        <v>2</v>
      </c>
      <c r="G1208" s="209">
        <v>2</v>
      </c>
      <c r="H1208" s="209">
        <v>0</v>
      </c>
      <c r="I1208" s="209">
        <v>0</v>
      </c>
      <c r="J1208" s="209">
        <v>0</v>
      </c>
      <c r="K1208" s="209">
        <v>1316</v>
      </c>
    </row>
    <row r="1209" spans="1:11">
      <c r="A1209" s="208">
        <v>42656</v>
      </c>
      <c r="B1209" s="209" t="s">
        <v>529</v>
      </c>
      <c r="C1209" s="209">
        <v>13</v>
      </c>
      <c r="D1209" s="272" t="s">
        <v>466</v>
      </c>
      <c r="E1209" s="209">
        <v>1</v>
      </c>
      <c r="F1209" s="209">
        <v>17</v>
      </c>
      <c r="G1209" s="209">
        <v>17</v>
      </c>
      <c r="H1209" s="209">
        <v>0</v>
      </c>
      <c r="I1209" s="209">
        <v>6</v>
      </c>
      <c r="J1209" s="209">
        <v>6</v>
      </c>
      <c r="K1209" s="209">
        <v>1155</v>
      </c>
    </row>
    <row r="1210" spans="1:11">
      <c r="A1210" s="208">
        <v>42656</v>
      </c>
      <c r="B1210" s="209" t="s">
        <v>529</v>
      </c>
      <c r="C1210" s="209">
        <v>14</v>
      </c>
      <c r="D1210" s="272" t="s">
        <v>467</v>
      </c>
      <c r="E1210" s="209">
        <v>0</v>
      </c>
      <c r="F1210" s="209">
        <v>0</v>
      </c>
      <c r="G1210" s="209">
        <v>0</v>
      </c>
      <c r="H1210" s="209">
        <v>0</v>
      </c>
      <c r="I1210" s="209">
        <v>0</v>
      </c>
      <c r="J1210" s="209">
        <v>0</v>
      </c>
      <c r="K1210" s="209">
        <v>40</v>
      </c>
    </row>
    <row r="1211" spans="1:11">
      <c r="A1211" s="208">
        <v>42656</v>
      </c>
      <c r="B1211" s="209" t="s">
        <v>529</v>
      </c>
      <c r="C1211" s="209">
        <v>15</v>
      </c>
      <c r="D1211" s="272" t="s">
        <v>472</v>
      </c>
      <c r="E1211" s="209">
        <v>0</v>
      </c>
      <c r="F1211" s="209">
        <v>0</v>
      </c>
      <c r="G1211" s="209">
        <v>0</v>
      </c>
      <c r="H1211" s="209">
        <v>0</v>
      </c>
      <c r="I1211" s="209">
        <v>0</v>
      </c>
      <c r="J1211" s="209">
        <v>0</v>
      </c>
      <c r="K1211" s="209">
        <v>1</v>
      </c>
    </row>
    <row r="1212" spans="1:11">
      <c r="A1212" s="208">
        <v>42656</v>
      </c>
      <c r="B1212" s="209" t="s">
        <v>529</v>
      </c>
      <c r="C1212" s="209">
        <v>16</v>
      </c>
      <c r="D1212" s="272" t="s">
        <v>507</v>
      </c>
      <c r="E1212" s="209">
        <v>0</v>
      </c>
      <c r="F1212" s="209">
        <v>3</v>
      </c>
      <c r="G1212" s="209">
        <v>3</v>
      </c>
      <c r="H1212" s="209">
        <v>0</v>
      </c>
      <c r="I1212" s="209">
        <v>1</v>
      </c>
      <c r="J1212" s="209">
        <v>1</v>
      </c>
      <c r="K1212" s="209">
        <v>720</v>
      </c>
    </row>
    <row r="1213" spans="1:11">
      <c r="A1213" s="208">
        <v>42656</v>
      </c>
      <c r="B1213" s="209" t="s">
        <v>529</v>
      </c>
      <c r="C1213" s="209">
        <v>17</v>
      </c>
      <c r="D1213" s="272" t="s">
        <v>479</v>
      </c>
      <c r="E1213" s="209">
        <v>0</v>
      </c>
      <c r="F1213" s="209">
        <v>1</v>
      </c>
      <c r="G1213" s="209">
        <v>1</v>
      </c>
      <c r="H1213" s="209">
        <v>0</v>
      </c>
      <c r="I1213" s="209">
        <v>0</v>
      </c>
      <c r="J1213" s="209">
        <v>0</v>
      </c>
      <c r="K1213" s="209">
        <v>674</v>
      </c>
    </row>
    <row r="1214" spans="1:11">
      <c r="A1214" s="208">
        <v>42656</v>
      </c>
      <c r="B1214" s="209" t="s">
        <v>529</v>
      </c>
      <c r="C1214" s="209">
        <v>18</v>
      </c>
      <c r="D1214" s="272" t="s">
        <v>480</v>
      </c>
      <c r="E1214" s="209">
        <v>0</v>
      </c>
      <c r="F1214" s="209">
        <v>0</v>
      </c>
      <c r="G1214" s="209">
        <v>0</v>
      </c>
      <c r="H1214" s="209">
        <v>0</v>
      </c>
      <c r="I1214" s="209">
        <v>0</v>
      </c>
      <c r="J1214" s="209">
        <v>0</v>
      </c>
      <c r="K1214" s="209">
        <v>42</v>
      </c>
    </row>
    <row r="1215" spans="1:11">
      <c r="A1215" s="208">
        <v>42656</v>
      </c>
      <c r="B1215" s="209" t="s">
        <v>529</v>
      </c>
      <c r="C1215" s="209">
        <v>19</v>
      </c>
      <c r="D1215" s="272" t="s">
        <v>508</v>
      </c>
      <c r="E1215" s="209">
        <v>1</v>
      </c>
      <c r="F1215" s="209">
        <v>13</v>
      </c>
      <c r="G1215" s="209">
        <v>13</v>
      </c>
      <c r="H1215" s="209">
        <v>0</v>
      </c>
      <c r="I1215" s="209">
        <v>4</v>
      </c>
      <c r="J1215" s="209">
        <v>4</v>
      </c>
      <c r="K1215" s="209">
        <v>403</v>
      </c>
    </row>
    <row r="1216" spans="1:11">
      <c r="A1216" s="208">
        <v>42656</v>
      </c>
      <c r="B1216" s="209" t="s">
        <v>529</v>
      </c>
      <c r="C1216" s="209">
        <v>20</v>
      </c>
      <c r="D1216" s="272" t="s">
        <v>468</v>
      </c>
      <c r="E1216" s="209">
        <v>0</v>
      </c>
      <c r="F1216" s="209">
        <v>1</v>
      </c>
      <c r="G1216" s="209">
        <v>1</v>
      </c>
      <c r="H1216" s="209">
        <v>0</v>
      </c>
      <c r="I1216" s="209">
        <v>0</v>
      </c>
      <c r="J1216" s="209">
        <v>0</v>
      </c>
      <c r="K1216" s="209">
        <v>1030</v>
      </c>
    </row>
    <row r="1217" spans="1:11">
      <c r="A1217" s="208">
        <v>42657</v>
      </c>
      <c r="B1217" s="209" t="s">
        <v>511</v>
      </c>
      <c r="C1217" s="209">
        <v>1</v>
      </c>
      <c r="D1217" s="272" t="s">
        <v>484</v>
      </c>
      <c r="E1217" s="209">
        <v>0</v>
      </c>
      <c r="F1217" s="209">
        <v>2</v>
      </c>
      <c r="G1217" s="209">
        <v>2</v>
      </c>
      <c r="H1217" s="209">
        <v>0</v>
      </c>
      <c r="I1217" s="209">
        <v>1</v>
      </c>
      <c r="J1217" s="209">
        <v>1</v>
      </c>
      <c r="K1217" s="209">
        <v>192</v>
      </c>
    </row>
    <row r="1218" spans="1:11">
      <c r="A1218" s="208">
        <v>42657</v>
      </c>
      <c r="B1218" s="209" t="s">
        <v>511</v>
      </c>
      <c r="C1218" s="209">
        <v>2</v>
      </c>
      <c r="D1218" s="272" t="s">
        <v>461</v>
      </c>
      <c r="E1218" s="209">
        <v>0</v>
      </c>
      <c r="F1218" s="209">
        <v>0</v>
      </c>
      <c r="G1218" s="209">
        <v>0</v>
      </c>
      <c r="H1218" s="209">
        <v>0</v>
      </c>
      <c r="I1218" s="209">
        <v>0</v>
      </c>
      <c r="J1218" s="209">
        <v>0</v>
      </c>
      <c r="K1218" s="209">
        <v>2750</v>
      </c>
    </row>
    <row r="1219" spans="1:11">
      <c r="A1219" s="208">
        <v>42657</v>
      </c>
      <c r="B1219" s="209" t="s">
        <v>511</v>
      </c>
      <c r="C1219" s="209">
        <v>3</v>
      </c>
      <c r="D1219" s="272" t="s">
        <v>487</v>
      </c>
      <c r="E1219" s="209">
        <v>1</v>
      </c>
      <c r="F1219" s="209">
        <v>5</v>
      </c>
      <c r="G1219" s="209">
        <v>5</v>
      </c>
      <c r="H1219" s="209">
        <v>0</v>
      </c>
      <c r="I1219" s="209">
        <v>4</v>
      </c>
      <c r="J1219" s="209">
        <v>4</v>
      </c>
      <c r="K1219" s="209">
        <v>656</v>
      </c>
    </row>
    <row r="1220" spans="1:11">
      <c r="A1220" s="208">
        <v>42657</v>
      </c>
      <c r="B1220" s="209" t="s">
        <v>511</v>
      </c>
      <c r="C1220" s="209">
        <v>4</v>
      </c>
      <c r="D1220" s="272" t="s">
        <v>462</v>
      </c>
      <c r="E1220" s="209">
        <v>0</v>
      </c>
      <c r="F1220" s="209">
        <v>0</v>
      </c>
      <c r="G1220" s="209">
        <v>0</v>
      </c>
      <c r="H1220" s="209">
        <v>0</v>
      </c>
      <c r="I1220" s="209">
        <v>0</v>
      </c>
      <c r="J1220" s="209">
        <v>0</v>
      </c>
      <c r="K1220" s="209">
        <v>660</v>
      </c>
    </row>
    <row r="1221" spans="1:11">
      <c r="A1221" s="208">
        <v>42657</v>
      </c>
      <c r="B1221" s="209" t="s">
        <v>511</v>
      </c>
      <c r="C1221" s="209">
        <v>5</v>
      </c>
      <c r="D1221" s="272" t="s">
        <v>463</v>
      </c>
      <c r="E1221" s="209">
        <v>0</v>
      </c>
      <c r="F1221" s="209">
        <v>3</v>
      </c>
      <c r="G1221" s="209">
        <v>3</v>
      </c>
      <c r="H1221" s="209">
        <v>0</v>
      </c>
      <c r="I1221" s="209">
        <v>2</v>
      </c>
      <c r="J1221" s="209">
        <v>2</v>
      </c>
      <c r="K1221" s="209">
        <v>3387</v>
      </c>
    </row>
    <row r="1222" spans="1:11">
      <c r="A1222" s="208">
        <v>42657</v>
      </c>
      <c r="B1222" s="209" t="s">
        <v>511</v>
      </c>
      <c r="C1222" s="209">
        <v>6</v>
      </c>
      <c r="D1222" s="272" t="s">
        <v>464</v>
      </c>
      <c r="E1222" s="209">
        <v>0</v>
      </c>
      <c r="F1222" s="209">
        <v>0</v>
      </c>
      <c r="G1222" s="209">
        <v>0</v>
      </c>
      <c r="H1222" s="209">
        <v>0</v>
      </c>
      <c r="I1222" s="209">
        <v>0</v>
      </c>
      <c r="J1222" s="209">
        <v>0</v>
      </c>
      <c r="K1222" s="209">
        <v>288</v>
      </c>
    </row>
    <row r="1223" spans="1:11">
      <c r="A1223" s="208">
        <v>42657</v>
      </c>
      <c r="B1223" s="209" t="s">
        <v>511</v>
      </c>
      <c r="C1223" s="209">
        <v>7</v>
      </c>
      <c r="D1223" s="272" t="s">
        <v>504</v>
      </c>
      <c r="E1223" s="209">
        <v>0</v>
      </c>
      <c r="F1223" s="209">
        <v>9</v>
      </c>
      <c r="G1223" s="209">
        <v>9</v>
      </c>
      <c r="H1223" s="209">
        <v>0</v>
      </c>
      <c r="I1223" s="209">
        <v>6</v>
      </c>
      <c r="J1223" s="209">
        <v>6</v>
      </c>
      <c r="K1223" s="209">
        <v>1534</v>
      </c>
    </row>
    <row r="1224" spans="1:11">
      <c r="A1224" s="208">
        <v>42657</v>
      </c>
      <c r="B1224" s="209" t="s">
        <v>511</v>
      </c>
      <c r="C1224" s="209">
        <v>8</v>
      </c>
      <c r="D1224" s="272" t="s">
        <v>490</v>
      </c>
      <c r="E1224" s="209">
        <v>0</v>
      </c>
      <c r="F1224" s="209">
        <v>3</v>
      </c>
      <c r="G1224" s="209">
        <v>3</v>
      </c>
      <c r="H1224" s="209">
        <v>0</v>
      </c>
      <c r="I1224" s="209">
        <v>0</v>
      </c>
      <c r="J1224" s="209">
        <v>0</v>
      </c>
      <c r="K1224" s="209">
        <v>159</v>
      </c>
    </row>
    <row r="1225" spans="1:11">
      <c r="A1225" s="208">
        <v>42657</v>
      </c>
      <c r="B1225" s="209" t="s">
        <v>511</v>
      </c>
      <c r="C1225" s="209">
        <v>9</v>
      </c>
      <c r="D1225" s="272" t="s">
        <v>460</v>
      </c>
      <c r="E1225" s="209">
        <v>1</v>
      </c>
      <c r="F1225" s="209">
        <v>16</v>
      </c>
      <c r="G1225" s="209">
        <v>16</v>
      </c>
      <c r="H1225" s="209">
        <v>0</v>
      </c>
      <c r="I1225" s="209">
        <v>3</v>
      </c>
      <c r="J1225" s="209">
        <v>3</v>
      </c>
      <c r="K1225" s="209">
        <v>1093</v>
      </c>
    </row>
    <row r="1226" spans="1:11">
      <c r="A1226" s="208">
        <v>42657</v>
      </c>
      <c r="B1226" s="209" t="s">
        <v>511</v>
      </c>
      <c r="C1226" s="209">
        <v>10</v>
      </c>
      <c r="D1226" s="272" t="s">
        <v>465</v>
      </c>
      <c r="E1226" s="209">
        <v>1</v>
      </c>
      <c r="F1226" s="209">
        <v>21</v>
      </c>
      <c r="G1226" s="209">
        <v>21</v>
      </c>
      <c r="H1226" s="209">
        <v>0</v>
      </c>
      <c r="I1226" s="209">
        <v>6</v>
      </c>
      <c r="J1226" s="209">
        <v>6</v>
      </c>
      <c r="K1226" s="209">
        <v>1567</v>
      </c>
    </row>
    <row r="1227" spans="1:11">
      <c r="A1227" s="208">
        <v>42657</v>
      </c>
      <c r="B1227" s="209" t="s">
        <v>511</v>
      </c>
      <c r="C1227" s="209">
        <v>11</v>
      </c>
      <c r="D1227" s="272" t="s">
        <v>505</v>
      </c>
      <c r="E1227" s="209">
        <v>0</v>
      </c>
      <c r="F1227" s="209">
        <v>6</v>
      </c>
      <c r="G1227" s="209">
        <v>6</v>
      </c>
      <c r="H1227" s="209">
        <v>0</v>
      </c>
      <c r="I1227" s="209">
        <v>3</v>
      </c>
      <c r="J1227" s="209">
        <v>3</v>
      </c>
      <c r="K1227" s="209">
        <v>1145</v>
      </c>
    </row>
    <row r="1228" spans="1:11">
      <c r="A1228" s="208">
        <v>42657</v>
      </c>
      <c r="B1228" s="209" t="s">
        <v>511</v>
      </c>
      <c r="C1228" s="209">
        <v>12</v>
      </c>
      <c r="D1228" s="272" t="s">
        <v>466</v>
      </c>
      <c r="E1228" s="209">
        <v>0</v>
      </c>
      <c r="F1228" s="209">
        <v>23</v>
      </c>
      <c r="G1228" s="209">
        <v>23</v>
      </c>
      <c r="H1228" s="209">
        <v>0</v>
      </c>
      <c r="I1228" s="209">
        <v>6</v>
      </c>
      <c r="J1228" s="209">
        <v>6</v>
      </c>
      <c r="K1228" s="209">
        <v>1132</v>
      </c>
    </row>
    <row r="1229" spans="1:11">
      <c r="A1229" s="208">
        <v>42657</v>
      </c>
      <c r="B1229" s="209" t="s">
        <v>511</v>
      </c>
      <c r="C1229" s="209">
        <v>13</v>
      </c>
      <c r="D1229" s="272" t="s">
        <v>467</v>
      </c>
      <c r="E1229" s="209">
        <v>1</v>
      </c>
      <c r="F1229" s="209">
        <v>10</v>
      </c>
      <c r="G1229" s="209">
        <v>10</v>
      </c>
      <c r="H1229" s="209">
        <v>0</v>
      </c>
      <c r="I1229" s="209">
        <v>2</v>
      </c>
      <c r="J1229" s="209">
        <v>2</v>
      </c>
      <c r="K1229" s="209">
        <v>757</v>
      </c>
    </row>
    <row r="1230" spans="1:11">
      <c r="A1230" s="208">
        <v>42657</v>
      </c>
      <c r="B1230" s="209" t="s">
        <v>511</v>
      </c>
      <c r="C1230" s="209">
        <v>14</v>
      </c>
      <c r="D1230" s="272" t="s">
        <v>472</v>
      </c>
      <c r="E1230" s="209">
        <v>0</v>
      </c>
      <c r="F1230" s="209">
        <v>0</v>
      </c>
      <c r="G1230" s="209">
        <v>0</v>
      </c>
      <c r="H1230" s="209">
        <v>0</v>
      </c>
      <c r="I1230" s="209">
        <v>0</v>
      </c>
      <c r="J1230" s="209">
        <v>0</v>
      </c>
      <c r="K1230" s="209">
        <v>2</v>
      </c>
    </row>
    <row r="1231" spans="1:11">
      <c r="A1231" s="208">
        <v>42657</v>
      </c>
      <c r="B1231" s="209" t="s">
        <v>511</v>
      </c>
      <c r="C1231" s="209">
        <v>15</v>
      </c>
      <c r="D1231" s="272" t="s">
        <v>507</v>
      </c>
      <c r="E1231" s="209">
        <v>0</v>
      </c>
      <c r="F1231" s="209">
        <v>0</v>
      </c>
      <c r="G1231" s="209">
        <v>0</v>
      </c>
      <c r="H1231" s="209">
        <v>0</v>
      </c>
      <c r="I1231" s="209">
        <v>0</v>
      </c>
      <c r="J1231" s="209">
        <v>0</v>
      </c>
      <c r="K1231" s="209">
        <v>56</v>
      </c>
    </row>
    <row r="1232" spans="1:11">
      <c r="A1232" s="208">
        <v>42657</v>
      </c>
      <c r="B1232" s="209" t="s">
        <v>511</v>
      </c>
      <c r="C1232" s="209">
        <v>16</v>
      </c>
      <c r="D1232" s="272" t="s">
        <v>479</v>
      </c>
      <c r="E1232" s="209">
        <v>0</v>
      </c>
      <c r="F1232" s="209">
        <v>1</v>
      </c>
      <c r="G1232" s="209">
        <v>1</v>
      </c>
      <c r="H1232" s="209">
        <v>0</v>
      </c>
      <c r="I1232" s="209">
        <v>1</v>
      </c>
      <c r="J1232" s="209">
        <v>1</v>
      </c>
      <c r="K1232" s="209">
        <v>497</v>
      </c>
    </row>
    <row r="1233" spans="1:11">
      <c r="A1233" s="208">
        <v>42657</v>
      </c>
      <c r="B1233" s="209" t="s">
        <v>511</v>
      </c>
      <c r="C1233" s="209">
        <v>17</v>
      </c>
      <c r="D1233" s="272" t="s">
        <v>480</v>
      </c>
      <c r="E1233" s="209">
        <v>0</v>
      </c>
      <c r="F1233" s="209">
        <v>1</v>
      </c>
      <c r="G1233" s="209">
        <v>1</v>
      </c>
      <c r="H1233" s="209">
        <v>0</v>
      </c>
      <c r="I1233" s="209">
        <v>0</v>
      </c>
      <c r="J1233" s="209">
        <v>0</v>
      </c>
      <c r="K1233" s="209">
        <v>76</v>
      </c>
    </row>
    <row r="1234" spans="1:11">
      <c r="A1234" s="208">
        <v>42657</v>
      </c>
      <c r="B1234" s="209" t="s">
        <v>511</v>
      </c>
      <c r="C1234" s="209">
        <v>18</v>
      </c>
      <c r="D1234" s="272" t="s">
        <v>508</v>
      </c>
      <c r="E1234" s="209">
        <v>0</v>
      </c>
      <c r="F1234" s="209">
        <v>8</v>
      </c>
      <c r="G1234" s="209">
        <v>8</v>
      </c>
      <c r="H1234" s="209">
        <v>0</v>
      </c>
      <c r="I1234" s="209">
        <v>4</v>
      </c>
      <c r="J1234" s="209">
        <v>4</v>
      </c>
      <c r="K1234" s="209">
        <v>338</v>
      </c>
    </row>
    <row r="1235" spans="1:11">
      <c r="A1235" s="208">
        <v>42657</v>
      </c>
      <c r="B1235" s="209" t="s">
        <v>511</v>
      </c>
      <c r="C1235" s="209">
        <v>19</v>
      </c>
      <c r="D1235" s="272" t="s">
        <v>468</v>
      </c>
      <c r="E1235" s="209">
        <v>0</v>
      </c>
      <c r="F1235" s="209">
        <v>0</v>
      </c>
      <c r="G1235" s="209">
        <v>0</v>
      </c>
      <c r="H1235" s="209">
        <v>0</v>
      </c>
      <c r="I1235" s="209">
        <v>0</v>
      </c>
      <c r="J1235" s="209">
        <v>0</v>
      </c>
      <c r="K1235" s="209">
        <v>104</v>
      </c>
    </row>
    <row r="1236" spans="1:11">
      <c r="A1236" s="208">
        <v>42657</v>
      </c>
      <c r="B1236" s="209" t="s">
        <v>511</v>
      </c>
      <c r="C1236" s="209">
        <v>20</v>
      </c>
      <c r="D1236" s="272" t="s">
        <v>489</v>
      </c>
      <c r="E1236" s="209">
        <v>0</v>
      </c>
      <c r="F1236" s="209">
        <v>3</v>
      </c>
      <c r="G1236" s="209">
        <v>3</v>
      </c>
      <c r="H1236" s="209">
        <v>0</v>
      </c>
      <c r="I1236" s="209">
        <v>3</v>
      </c>
      <c r="J1236" s="209">
        <v>3</v>
      </c>
      <c r="K1236" s="209">
        <v>455</v>
      </c>
    </row>
    <row r="1237" spans="1:11">
      <c r="A1237" s="208">
        <v>42657</v>
      </c>
      <c r="B1237" s="209" t="s">
        <v>511</v>
      </c>
      <c r="C1237" s="209">
        <v>21</v>
      </c>
      <c r="D1237" s="272" t="s">
        <v>469</v>
      </c>
      <c r="E1237" s="209">
        <v>0</v>
      </c>
      <c r="F1237" s="209">
        <v>0</v>
      </c>
      <c r="G1237" s="209">
        <v>0</v>
      </c>
      <c r="H1237" s="209">
        <v>0</v>
      </c>
      <c r="I1237" s="209">
        <v>0</v>
      </c>
      <c r="J1237" s="209">
        <v>0</v>
      </c>
      <c r="K1237" s="209">
        <v>1345</v>
      </c>
    </row>
    <row r="1238" spans="1:11">
      <c r="A1238" s="208">
        <v>42657</v>
      </c>
      <c r="B1238" s="209" t="s">
        <v>511</v>
      </c>
      <c r="C1238" s="209">
        <v>22</v>
      </c>
      <c r="D1238" s="272" t="s">
        <v>470</v>
      </c>
      <c r="E1238" s="209">
        <v>0</v>
      </c>
      <c r="F1238" s="209">
        <v>1</v>
      </c>
      <c r="G1238" s="209">
        <v>1</v>
      </c>
      <c r="H1238" s="209">
        <v>0</v>
      </c>
      <c r="I1238" s="209">
        <v>0</v>
      </c>
      <c r="J1238" s="209">
        <v>0</v>
      </c>
      <c r="K1238" s="209">
        <v>594</v>
      </c>
    </row>
    <row r="1239" spans="1:11">
      <c r="A1239" s="208">
        <v>42657</v>
      </c>
      <c r="B1239" s="209" t="s">
        <v>511</v>
      </c>
      <c r="C1239" s="209">
        <v>23</v>
      </c>
      <c r="D1239" s="272" t="s">
        <v>471</v>
      </c>
      <c r="E1239" s="209">
        <v>0</v>
      </c>
      <c r="F1239" s="209">
        <v>1</v>
      </c>
      <c r="G1239" s="209">
        <v>1</v>
      </c>
      <c r="H1239" s="209">
        <v>0</v>
      </c>
      <c r="I1239" s="209">
        <v>0</v>
      </c>
      <c r="J1239" s="209">
        <v>0</v>
      </c>
      <c r="K1239" s="209">
        <v>114</v>
      </c>
    </row>
    <row r="1240" spans="1:11">
      <c r="A1240" s="208">
        <v>42657</v>
      </c>
      <c r="B1240" s="209" t="s">
        <v>511</v>
      </c>
      <c r="C1240" s="209">
        <v>24</v>
      </c>
      <c r="D1240" s="272" t="s">
        <v>510</v>
      </c>
      <c r="E1240" s="209">
        <v>0</v>
      </c>
      <c r="F1240" s="209">
        <v>0</v>
      </c>
      <c r="G1240" s="209">
        <v>0</v>
      </c>
      <c r="H1240" s="209">
        <v>0</v>
      </c>
      <c r="I1240" s="209">
        <v>0</v>
      </c>
      <c r="J1240" s="209">
        <v>0</v>
      </c>
      <c r="K1240" s="209">
        <v>236</v>
      </c>
    </row>
    <row r="1241" spans="1:11">
      <c r="A1241" s="208">
        <v>42657</v>
      </c>
      <c r="B1241" s="209" t="s">
        <v>519</v>
      </c>
      <c r="C1241" s="209">
        <v>1</v>
      </c>
      <c r="D1241" s="272" t="s">
        <v>465</v>
      </c>
      <c r="E1241" s="209">
        <v>1</v>
      </c>
      <c r="F1241" s="209">
        <v>29</v>
      </c>
      <c r="G1241" s="209">
        <v>29</v>
      </c>
      <c r="H1241" s="209">
        <v>1</v>
      </c>
      <c r="I1241" s="209">
        <v>11</v>
      </c>
      <c r="J1241" s="209">
        <v>11</v>
      </c>
      <c r="K1241" s="209">
        <v>1658</v>
      </c>
    </row>
    <row r="1242" spans="1:11">
      <c r="A1242" s="208">
        <v>42657</v>
      </c>
      <c r="B1242" s="209" t="s">
        <v>519</v>
      </c>
      <c r="C1242" s="209">
        <v>2</v>
      </c>
      <c r="D1242" s="272" t="s">
        <v>484</v>
      </c>
      <c r="E1242" s="209">
        <v>0</v>
      </c>
      <c r="F1242" s="209">
        <v>3</v>
      </c>
      <c r="G1242" s="209">
        <v>3</v>
      </c>
      <c r="H1242" s="209">
        <v>0</v>
      </c>
      <c r="I1242" s="209">
        <v>2</v>
      </c>
      <c r="J1242" s="209">
        <v>2</v>
      </c>
      <c r="K1242" s="209">
        <v>311</v>
      </c>
    </row>
    <row r="1243" spans="1:11">
      <c r="A1243" s="208">
        <v>42657</v>
      </c>
      <c r="B1243" s="209" t="s">
        <v>519</v>
      </c>
      <c r="C1243" s="209">
        <v>3</v>
      </c>
      <c r="D1243" s="272" t="s">
        <v>461</v>
      </c>
      <c r="E1243" s="209">
        <v>0</v>
      </c>
      <c r="F1243" s="209">
        <v>0</v>
      </c>
      <c r="G1243" s="209">
        <v>0</v>
      </c>
      <c r="H1243" s="209">
        <v>0</v>
      </c>
      <c r="I1243" s="209">
        <v>0</v>
      </c>
      <c r="J1243" s="209">
        <v>0</v>
      </c>
      <c r="K1243" s="209">
        <v>2015</v>
      </c>
    </row>
    <row r="1244" spans="1:11">
      <c r="A1244" s="208">
        <v>42657</v>
      </c>
      <c r="B1244" s="209" t="s">
        <v>519</v>
      </c>
      <c r="C1244" s="209">
        <v>4</v>
      </c>
      <c r="D1244" s="272" t="s">
        <v>487</v>
      </c>
      <c r="E1244" s="209">
        <v>0</v>
      </c>
      <c r="F1244" s="209">
        <v>4</v>
      </c>
      <c r="G1244" s="209">
        <v>4</v>
      </c>
      <c r="H1244" s="209">
        <v>0</v>
      </c>
      <c r="I1244" s="209">
        <v>4</v>
      </c>
      <c r="J1244" s="209">
        <v>4</v>
      </c>
      <c r="K1244" s="209">
        <v>430</v>
      </c>
    </row>
    <row r="1245" spans="1:11">
      <c r="A1245" s="208">
        <v>42657</v>
      </c>
      <c r="B1245" s="209" t="s">
        <v>519</v>
      </c>
      <c r="C1245" s="209">
        <v>5</v>
      </c>
      <c r="D1245" s="272" t="s">
        <v>462</v>
      </c>
      <c r="E1245" s="209">
        <v>0</v>
      </c>
      <c r="F1245" s="209">
        <v>0</v>
      </c>
      <c r="G1245" s="209">
        <v>0</v>
      </c>
      <c r="H1245" s="209">
        <v>0</v>
      </c>
      <c r="I1245" s="209">
        <v>0</v>
      </c>
      <c r="J1245" s="209">
        <v>0</v>
      </c>
      <c r="K1245" s="209">
        <v>626</v>
      </c>
    </row>
    <row r="1246" spans="1:11">
      <c r="A1246" s="208">
        <v>42657</v>
      </c>
      <c r="B1246" s="209" t="s">
        <v>519</v>
      </c>
      <c r="C1246" s="209">
        <v>6</v>
      </c>
      <c r="D1246" s="272" t="s">
        <v>463</v>
      </c>
      <c r="E1246" s="209">
        <v>0</v>
      </c>
      <c r="F1246" s="209">
        <v>2</v>
      </c>
      <c r="G1246" s="209">
        <v>2</v>
      </c>
      <c r="H1246" s="209">
        <v>0</v>
      </c>
      <c r="I1246" s="209">
        <v>1</v>
      </c>
      <c r="J1246" s="209">
        <v>1</v>
      </c>
      <c r="K1246" s="209">
        <v>4764</v>
      </c>
    </row>
    <row r="1247" spans="1:11">
      <c r="A1247" s="208">
        <v>42657</v>
      </c>
      <c r="B1247" s="209" t="s">
        <v>519</v>
      </c>
      <c r="C1247" s="209">
        <v>7</v>
      </c>
      <c r="D1247" s="272" t="s">
        <v>464</v>
      </c>
      <c r="E1247" s="209">
        <v>0</v>
      </c>
      <c r="F1247" s="209">
        <v>0</v>
      </c>
      <c r="G1247" s="209">
        <v>0</v>
      </c>
      <c r="H1247" s="209">
        <v>0</v>
      </c>
      <c r="I1247" s="209">
        <v>0</v>
      </c>
      <c r="J1247" s="209">
        <v>0</v>
      </c>
      <c r="K1247" s="209">
        <v>227</v>
      </c>
    </row>
    <row r="1248" spans="1:11">
      <c r="A1248" s="208">
        <v>42657</v>
      </c>
      <c r="B1248" s="209" t="s">
        <v>519</v>
      </c>
      <c r="C1248" s="209">
        <v>8</v>
      </c>
      <c r="D1248" s="272" t="s">
        <v>504</v>
      </c>
      <c r="E1248" s="209">
        <v>1</v>
      </c>
      <c r="F1248" s="209">
        <v>7</v>
      </c>
      <c r="G1248" s="209">
        <v>7</v>
      </c>
      <c r="H1248" s="209">
        <v>0</v>
      </c>
      <c r="I1248" s="209">
        <v>4</v>
      </c>
      <c r="J1248" s="209">
        <v>4</v>
      </c>
      <c r="K1248" s="209">
        <v>1778</v>
      </c>
    </row>
    <row r="1249" spans="1:11">
      <c r="A1249" s="208">
        <v>42657</v>
      </c>
      <c r="B1249" s="209" t="s">
        <v>519</v>
      </c>
      <c r="C1249" s="209">
        <v>9</v>
      </c>
      <c r="D1249" s="272" t="s">
        <v>490</v>
      </c>
      <c r="E1249" s="209">
        <v>1</v>
      </c>
      <c r="F1249" s="209">
        <v>14</v>
      </c>
      <c r="G1249" s="209">
        <v>14</v>
      </c>
      <c r="H1249" s="209">
        <v>0</v>
      </c>
      <c r="I1249" s="209">
        <v>11</v>
      </c>
      <c r="J1249" s="209">
        <v>11</v>
      </c>
      <c r="K1249" s="209">
        <v>350</v>
      </c>
    </row>
    <row r="1250" spans="1:11">
      <c r="A1250" s="208">
        <v>42657</v>
      </c>
      <c r="B1250" s="209" t="s">
        <v>519</v>
      </c>
      <c r="C1250" s="209">
        <v>10</v>
      </c>
      <c r="D1250" s="272" t="s">
        <v>460</v>
      </c>
      <c r="E1250" s="209">
        <v>0</v>
      </c>
      <c r="F1250" s="209">
        <v>10</v>
      </c>
      <c r="G1250" s="209">
        <v>10</v>
      </c>
      <c r="H1250" s="209">
        <v>0</v>
      </c>
      <c r="I1250" s="209">
        <v>3</v>
      </c>
      <c r="J1250" s="209">
        <v>3</v>
      </c>
      <c r="K1250" s="209">
        <v>471</v>
      </c>
    </row>
    <row r="1251" spans="1:11">
      <c r="A1251" s="208">
        <v>42657</v>
      </c>
      <c r="B1251" s="209" t="s">
        <v>519</v>
      </c>
      <c r="C1251" s="209">
        <v>11</v>
      </c>
      <c r="D1251" s="272" t="s">
        <v>505</v>
      </c>
      <c r="E1251" s="209">
        <v>0</v>
      </c>
      <c r="F1251" s="209">
        <v>6</v>
      </c>
      <c r="G1251" s="209">
        <v>6</v>
      </c>
      <c r="H1251" s="209">
        <v>0</v>
      </c>
      <c r="I1251" s="209">
        <v>2</v>
      </c>
      <c r="J1251" s="209">
        <v>2</v>
      </c>
      <c r="K1251" s="209">
        <v>1197</v>
      </c>
    </row>
    <row r="1252" spans="1:11">
      <c r="A1252" s="208">
        <v>42657</v>
      </c>
      <c r="B1252" s="209" t="s">
        <v>519</v>
      </c>
      <c r="C1252" s="209">
        <v>12</v>
      </c>
      <c r="D1252" s="272" t="s">
        <v>466</v>
      </c>
      <c r="E1252" s="209">
        <v>0</v>
      </c>
      <c r="F1252" s="209">
        <v>22</v>
      </c>
      <c r="G1252" s="209">
        <v>22</v>
      </c>
      <c r="H1252" s="209">
        <v>0</v>
      </c>
      <c r="I1252" s="209">
        <v>5</v>
      </c>
      <c r="J1252" s="209">
        <v>5</v>
      </c>
      <c r="K1252" s="209">
        <v>903</v>
      </c>
    </row>
    <row r="1253" spans="1:11">
      <c r="A1253" s="208">
        <v>42657</v>
      </c>
      <c r="B1253" s="209" t="s">
        <v>519</v>
      </c>
      <c r="C1253" s="209">
        <v>13</v>
      </c>
      <c r="D1253" s="272" t="s">
        <v>467</v>
      </c>
      <c r="E1253" s="209">
        <v>0</v>
      </c>
      <c r="F1253" s="209">
        <v>2</v>
      </c>
      <c r="G1253" s="209">
        <v>2</v>
      </c>
      <c r="H1253" s="209">
        <v>0</v>
      </c>
      <c r="I1253" s="209">
        <v>0</v>
      </c>
      <c r="J1253" s="209">
        <v>0</v>
      </c>
      <c r="K1253" s="209">
        <v>400</v>
      </c>
    </row>
    <row r="1254" spans="1:11">
      <c r="A1254" s="208">
        <v>42657</v>
      </c>
      <c r="B1254" s="209" t="s">
        <v>519</v>
      </c>
      <c r="C1254" s="209">
        <v>14</v>
      </c>
      <c r="D1254" s="272" t="s">
        <v>472</v>
      </c>
      <c r="E1254" s="209">
        <v>0</v>
      </c>
      <c r="F1254" s="209">
        <v>0</v>
      </c>
      <c r="G1254" s="209">
        <v>0</v>
      </c>
      <c r="H1254" s="209">
        <v>0</v>
      </c>
      <c r="I1254" s="209">
        <v>0</v>
      </c>
      <c r="J1254" s="209">
        <v>0</v>
      </c>
      <c r="K1254" s="209">
        <v>6</v>
      </c>
    </row>
    <row r="1255" spans="1:11">
      <c r="A1255" s="208">
        <v>42657</v>
      </c>
      <c r="B1255" s="209" t="s">
        <v>519</v>
      </c>
      <c r="C1255" s="209">
        <v>15</v>
      </c>
      <c r="D1255" s="272" t="s">
        <v>507</v>
      </c>
      <c r="E1255" s="209">
        <v>0</v>
      </c>
      <c r="F1255" s="209">
        <v>0</v>
      </c>
      <c r="G1255" s="209">
        <v>0</v>
      </c>
      <c r="H1255" s="209">
        <v>0</v>
      </c>
      <c r="I1255" s="209">
        <v>0</v>
      </c>
      <c r="J1255" s="209">
        <v>0</v>
      </c>
      <c r="K1255" s="209">
        <v>56</v>
      </c>
    </row>
    <row r="1256" spans="1:11">
      <c r="A1256" s="208">
        <v>42657</v>
      </c>
      <c r="B1256" s="209" t="s">
        <v>519</v>
      </c>
      <c r="C1256" s="209">
        <v>16</v>
      </c>
      <c r="D1256" s="272" t="s">
        <v>479</v>
      </c>
      <c r="E1256" s="209">
        <v>0</v>
      </c>
      <c r="F1256" s="209">
        <v>1</v>
      </c>
      <c r="G1256" s="209">
        <v>1</v>
      </c>
      <c r="H1256" s="209">
        <v>0</v>
      </c>
      <c r="I1256" s="209">
        <v>1</v>
      </c>
      <c r="J1256" s="209">
        <v>1</v>
      </c>
      <c r="K1256" s="209">
        <v>949</v>
      </c>
    </row>
    <row r="1257" spans="1:11">
      <c r="A1257" s="208">
        <v>42657</v>
      </c>
      <c r="B1257" s="209" t="s">
        <v>519</v>
      </c>
      <c r="C1257" s="209">
        <v>17</v>
      </c>
      <c r="D1257" s="272" t="s">
        <v>480</v>
      </c>
      <c r="E1257" s="209">
        <v>0</v>
      </c>
      <c r="F1257" s="209">
        <v>8</v>
      </c>
      <c r="G1257" s="209">
        <v>8</v>
      </c>
      <c r="H1257" s="209">
        <v>0</v>
      </c>
      <c r="I1257" s="209">
        <v>7</v>
      </c>
      <c r="J1257" s="209">
        <v>7</v>
      </c>
      <c r="K1257" s="209">
        <v>549</v>
      </c>
    </row>
    <row r="1258" spans="1:11">
      <c r="A1258" s="208">
        <v>42657</v>
      </c>
      <c r="B1258" s="209" t="s">
        <v>519</v>
      </c>
      <c r="C1258" s="209">
        <v>18</v>
      </c>
      <c r="D1258" s="272" t="s">
        <v>508</v>
      </c>
      <c r="E1258" s="209">
        <v>0</v>
      </c>
      <c r="F1258" s="209">
        <v>10</v>
      </c>
      <c r="G1258" s="209">
        <v>10</v>
      </c>
      <c r="H1258" s="209">
        <v>0</v>
      </c>
      <c r="I1258" s="209">
        <v>1</v>
      </c>
      <c r="J1258" s="209">
        <v>1</v>
      </c>
      <c r="K1258" s="209">
        <v>401</v>
      </c>
    </row>
    <row r="1259" spans="1:11">
      <c r="A1259" s="208">
        <v>42657</v>
      </c>
      <c r="B1259" s="209" t="s">
        <v>519</v>
      </c>
      <c r="C1259" s="209">
        <v>19</v>
      </c>
      <c r="D1259" s="272" t="s">
        <v>468</v>
      </c>
      <c r="E1259" s="209">
        <v>0</v>
      </c>
      <c r="F1259" s="209">
        <v>0</v>
      </c>
      <c r="G1259" s="209">
        <v>0</v>
      </c>
      <c r="H1259" s="209">
        <v>0</v>
      </c>
      <c r="I1259" s="209">
        <v>0</v>
      </c>
      <c r="J1259" s="209">
        <v>0</v>
      </c>
      <c r="K1259" s="209">
        <v>384</v>
      </c>
    </row>
    <row r="1260" spans="1:11">
      <c r="A1260" s="208">
        <v>42657</v>
      </c>
      <c r="B1260" s="209" t="s">
        <v>519</v>
      </c>
      <c r="C1260" s="209">
        <v>20</v>
      </c>
      <c r="D1260" s="272" t="s">
        <v>489</v>
      </c>
      <c r="E1260" s="209">
        <v>0</v>
      </c>
      <c r="F1260" s="209">
        <v>4</v>
      </c>
      <c r="G1260" s="209">
        <v>4</v>
      </c>
      <c r="H1260" s="209">
        <v>0</v>
      </c>
      <c r="I1260" s="209">
        <v>1</v>
      </c>
      <c r="J1260" s="209">
        <v>1</v>
      </c>
      <c r="K1260" s="209">
        <v>1217</v>
      </c>
    </row>
    <row r="1261" spans="1:11">
      <c r="A1261" s="208">
        <v>42657</v>
      </c>
      <c r="B1261" s="209" t="s">
        <v>519</v>
      </c>
      <c r="C1261" s="209">
        <v>21</v>
      </c>
      <c r="D1261" s="272" t="s">
        <v>469</v>
      </c>
      <c r="E1261" s="209">
        <v>0</v>
      </c>
      <c r="F1261" s="209">
        <v>0</v>
      </c>
      <c r="G1261" s="209">
        <v>0</v>
      </c>
      <c r="H1261" s="209">
        <v>0</v>
      </c>
      <c r="I1261" s="209">
        <v>0</v>
      </c>
      <c r="J1261" s="209">
        <v>0</v>
      </c>
      <c r="K1261" s="209">
        <v>1177</v>
      </c>
    </row>
    <row r="1262" spans="1:11">
      <c r="A1262" s="208">
        <v>42657</v>
      </c>
      <c r="B1262" s="209" t="s">
        <v>519</v>
      </c>
      <c r="C1262" s="209">
        <v>22</v>
      </c>
      <c r="D1262" s="272" t="s">
        <v>470</v>
      </c>
      <c r="E1262" s="209">
        <v>0</v>
      </c>
      <c r="F1262" s="209">
        <v>6</v>
      </c>
      <c r="G1262" s="209">
        <v>6</v>
      </c>
      <c r="H1262" s="209">
        <v>0</v>
      </c>
      <c r="I1262" s="209">
        <v>3</v>
      </c>
      <c r="J1262" s="209">
        <v>3</v>
      </c>
      <c r="K1262" s="209">
        <v>993</v>
      </c>
    </row>
    <row r="1263" spans="1:11">
      <c r="A1263" s="208">
        <v>42657</v>
      </c>
      <c r="B1263" s="209" t="s">
        <v>519</v>
      </c>
      <c r="C1263" s="209">
        <v>23</v>
      </c>
      <c r="D1263" s="272" t="s">
        <v>471</v>
      </c>
      <c r="E1263" s="209">
        <v>0</v>
      </c>
      <c r="F1263" s="209">
        <v>0</v>
      </c>
      <c r="G1263" s="209">
        <v>0</v>
      </c>
      <c r="H1263" s="209">
        <v>0</v>
      </c>
      <c r="I1263" s="209">
        <v>0</v>
      </c>
      <c r="J1263" s="209">
        <v>0</v>
      </c>
      <c r="K1263" s="209">
        <v>257</v>
      </c>
    </row>
    <row r="1264" spans="1:11">
      <c r="A1264" s="208">
        <v>42657</v>
      </c>
      <c r="B1264" s="209" t="s">
        <v>519</v>
      </c>
      <c r="C1264" s="209">
        <v>24</v>
      </c>
      <c r="D1264" s="272" t="s">
        <v>510</v>
      </c>
      <c r="E1264" s="209">
        <v>0</v>
      </c>
      <c r="F1264" s="209">
        <v>3</v>
      </c>
      <c r="G1264" s="209">
        <v>3</v>
      </c>
      <c r="H1264" s="209">
        <v>0</v>
      </c>
      <c r="I1264" s="209">
        <v>3</v>
      </c>
      <c r="J1264" s="209">
        <v>3</v>
      </c>
      <c r="K1264" s="209">
        <v>324</v>
      </c>
    </row>
    <row r="1265" spans="1:11">
      <c r="A1265" s="260">
        <v>42656</v>
      </c>
      <c r="B1265" s="209" t="s">
        <v>491</v>
      </c>
      <c r="C1265" s="209">
        <v>1</v>
      </c>
      <c r="D1265" s="272" t="s">
        <v>463</v>
      </c>
      <c r="E1265" s="209">
        <v>1</v>
      </c>
      <c r="F1265" s="209">
        <v>4</v>
      </c>
      <c r="G1265" s="209">
        <v>4</v>
      </c>
      <c r="H1265" s="209">
        <v>1</v>
      </c>
      <c r="I1265" s="209">
        <v>2</v>
      </c>
      <c r="J1265" s="209">
        <v>2</v>
      </c>
      <c r="K1265" s="209">
        <v>3087</v>
      </c>
    </row>
    <row r="1266" spans="1:11">
      <c r="A1266" s="260">
        <v>42656</v>
      </c>
      <c r="B1266" s="209" t="s">
        <v>491</v>
      </c>
      <c r="C1266" s="209">
        <v>2</v>
      </c>
      <c r="D1266" s="272" t="s">
        <v>484</v>
      </c>
      <c r="E1266" s="209">
        <v>0</v>
      </c>
      <c r="F1266" s="209">
        <v>0</v>
      </c>
      <c r="G1266" s="209">
        <v>0</v>
      </c>
      <c r="H1266" s="209">
        <v>0</v>
      </c>
      <c r="I1266" s="209">
        <v>0</v>
      </c>
      <c r="J1266" s="209">
        <v>0</v>
      </c>
      <c r="K1266" s="209">
        <v>111</v>
      </c>
    </row>
    <row r="1267" spans="1:11">
      <c r="A1267" s="260">
        <v>42656</v>
      </c>
      <c r="B1267" s="209" t="s">
        <v>491</v>
      </c>
      <c r="C1267" s="209">
        <v>3</v>
      </c>
      <c r="D1267" s="272" t="s">
        <v>461</v>
      </c>
      <c r="E1267" s="209">
        <v>0</v>
      </c>
      <c r="F1267" s="209">
        <v>0</v>
      </c>
      <c r="G1267" s="209">
        <v>0</v>
      </c>
      <c r="H1267" s="209">
        <v>0</v>
      </c>
      <c r="I1267" s="209">
        <v>0</v>
      </c>
      <c r="J1267" s="209">
        <v>0</v>
      </c>
      <c r="K1267" s="209">
        <v>1542</v>
      </c>
    </row>
    <row r="1268" spans="1:11">
      <c r="A1268" s="260">
        <v>42656</v>
      </c>
      <c r="B1268" s="209" t="s">
        <v>491</v>
      </c>
      <c r="C1268" s="209">
        <v>4</v>
      </c>
      <c r="D1268" s="272" t="s">
        <v>487</v>
      </c>
      <c r="E1268" s="209">
        <v>0</v>
      </c>
      <c r="F1268" s="209">
        <v>1</v>
      </c>
      <c r="G1268" s="209">
        <v>1</v>
      </c>
      <c r="H1268" s="209">
        <v>0</v>
      </c>
      <c r="I1268" s="209">
        <v>1</v>
      </c>
      <c r="J1268" s="209">
        <v>1</v>
      </c>
      <c r="K1268" s="209">
        <v>471</v>
      </c>
    </row>
    <row r="1269" spans="1:11">
      <c r="A1269" s="260">
        <v>42656</v>
      </c>
      <c r="B1269" s="209" t="s">
        <v>491</v>
      </c>
      <c r="C1269" s="209">
        <v>5</v>
      </c>
      <c r="D1269" s="272" t="s">
        <v>462</v>
      </c>
      <c r="E1269" s="209">
        <v>0</v>
      </c>
      <c r="F1269" s="209">
        <v>0</v>
      </c>
      <c r="G1269" s="209">
        <v>0</v>
      </c>
      <c r="H1269" s="209">
        <v>0</v>
      </c>
      <c r="I1269" s="209">
        <v>0</v>
      </c>
      <c r="J1269" s="209">
        <v>0</v>
      </c>
      <c r="K1269" s="209">
        <v>119</v>
      </c>
    </row>
    <row r="1270" spans="1:11">
      <c r="A1270" s="260">
        <v>42656</v>
      </c>
      <c r="B1270" s="209" t="s">
        <v>491</v>
      </c>
      <c r="C1270" s="209">
        <v>6</v>
      </c>
      <c r="D1270" s="272" t="s">
        <v>464</v>
      </c>
      <c r="E1270" s="209">
        <v>0</v>
      </c>
      <c r="F1270" s="209">
        <v>0</v>
      </c>
      <c r="G1270" s="209">
        <v>0</v>
      </c>
      <c r="H1270" s="209">
        <v>0</v>
      </c>
      <c r="I1270" s="209">
        <v>0</v>
      </c>
      <c r="J1270" s="209">
        <v>0</v>
      </c>
      <c r="K1270" s="209">
        <v>130</v>
      </c>
    </row>
    <row r="1271" spans="1:11">
      <c r="A1271" s="260">
        <v>42656</v>
      </c>
      <c r="B1271" s="209" t="s">
        <v>491</v>
      </c>
      <c r="C1271" s="209">
        <v>7</v>
      </c>
      <c r="D1271" s="272" t="s">
        <v>504</v>
      </c>
      <c r="E1271" s="209">
        <v>0</v>
      </c>
      <c r="F1271" s="209">
        <v>8</v>
      </c>
      <c r="G1271" s="209">
        <v>8</v>
      </c>
      <c r="H1271" s="209">
        <v>0</v>
      </c>
      <c r="I1271" s="209">
        <v>3</v>
      </c>
      <c r="J1271" s="209">
        <v>3</v>
      </c>
      <c r="K1271" s="209">
        <v>1663</v>
      </c>
    </row>
    <row r="1272" spans="1:11">
      <c r="A1272" s="260">
        <v>42656</v>
      </c>
      <c r="B1272" s="209" t="s">
        <v>491</v>
      </c>
      <c r="C1272" s="209">
        <v>8</v>
      </c>
      <c r="D1272" s="272" t="s">
        <v>490</v>
      </c>
      <c r="E1272" s="209">
        <v>0</v>
      </c>
      <c r="F1272" s="209">
        <v>0</v>
      </c>
      <c r="G1272" s="209">
        <v>0</v>
      </c>
      <c r="H1272" s="209">
        <v>0</v>
      </c>
      <c r="I1272" s="209">
        <v>0</v>
      </c>
      <c r="J1272" s="209">
        <v>0</v>
      </c>
      <c r="K1272" s="209">
        <v>2</v>
      </c>
    </row>
    <row r="1273" spans="1:11">
      <c r="A1273" s="260">
        <v>42656</v>
      </c>
      <c r="B1273" s="209" t="s">
        <v>491</v>
      </c>
      <c r="C1273" s="209">
        <v>9</v>
      </c>
      <c r="D1273" s="272" t="s">
        <v>460</v>
      </c>
      <c r="E1273" s="209">
        <v>0</v>
      </c>
      <c r="F1273" s="209">
        <v>14</v>
      </c>
      <c r="G1273" s="209">
        <v>14</v>
      </c>
      <c r="H1273" s="209">
        <v>0</v>
      </c>
      <c r="I1273" s="209">
        <v>2</v>
      </c>
      <c r="J1273" s="209">
        <v>2</v>
      </c>
      <c r="K1273" s="209">
        <v>790</v>
      </c>
    </row>
    <row r="1274" spans="1:11">
      <c r="A1274" s="260">
        <v>42656</v>
      </c>
      <c r="B1274" s="209" t="s">
        <v>491</v>
      </c>
      <c r="C1274" s="209">
        <v>10</v>
      </c>
      <c r="D1274" s="272" t="s">
        <v>465</v>
      </c>
      <c r="E1274" s="209">
        <v>0</v>
      </c>
      <c r="F1274" s="209">
        <v>5</v>
      </c>
      <c r="G1274" s="209">
        <v>5</v>
      </c>
      <c r="H1274" s="209">
        <v>0</v>
      </c>
      <c r="I1274" s="209">
        <v>3</v>
      </c>
      <c r="J1274" s="209">
        <v>3</v>
      </c>
      <c r="K1274" s="209">
        <v>421</v>
      </c>
    </row>
    <row r="1275" spans="1:11">
      <c r="A1275" s="260">
        <v>42656</v>
      </c>
      <c r="B1275" s="209" t="s">
        <v>491</v>
      </c>
      <c r="C1275" s="209">
        <v>11</v>
      </c>
      <c r="D1275" s="272" t="s">
        <v>505</v>
      </c>
      <c r="E1275" s="209">
        <v>0</v>
      </c>
      <c r="F1275" s="209">
        <v>5</v>
      </c>
      <c r="G1275" s="209">
        <v>5</v>
      </c>
      <c r="H1275" s="209">
        <v>0</v>
      </c>
      <c r="I1275" s="209">
        <v>3</v>
      </c>
      <c r="J1275" s="209">
        <v>3</v>
      </c>
      <c r="K1275" s="209">
        <v>1132</v>
      </c>
    </row>
    <row r="1276" spans="1:11">
      <c r="A1276" s="260">
        <v>42656</v>
      </c>
      <c r="B1276" s="209" t="s">
        <v>491</v>
      </c>
      <c r="C1276" s="209">
        <v>12</v>
      </c>
      <c r="D1276" s="272" t="s">
        <v>506</v>
      </c>
      <c r="E1276" s="209">
        <v>0</v>
      </c>
      <c r="F1276" s="209">
        <v>0</v>
      </c>
      <c r="G1276" s="209">
        <v>0</v>
      </c>
      <c r="H1276" s="209">
        <v>0</v>
      </c>
      <c r="I1276" s="209">
        <v>0</v>
      </c>
      <c r="J1276" s="209">
        <v>0</v>
      </c>
      <c r="K1276" s="209">
        <v>2</v>
      </c>
    </row>
    <row r="1277" spans="1:11">
      <c r="A1277" s="260">
        <v>42656</v>
      </c>
      <c r="B1277" s="209" t="s">
        <v>491</v>
      </c>
      <c r="C1277" s="209">
        <v>13</v>
      </c>
      <c r="D1277" s="272" t="s">
        <v>466</v>
      </c>
      <c r="E1277" s="209">
        <v>1</v>
      </c>
      <c r="F1277" s="209">
        <v>8</v>
      </c>
      <c r="G1277" s="209">
        <v>8</v>
      </c>
      <c r="H1277" s="209">
        <v>0</v>
      </c>
      <c r="I1277" s="209">
        <v>2</v>
      </c>
      <c r="J1277" s="209">
        <v>2</v>
      </c>
      <c r="K1277" s="209">
        <v>560</v>
      </c>
    </row>
    <row r="1278" spans="1:11">
      <c r="A1278" s="260">
        <v>42656</v>
      </c>
      <c r="B1278" s="209" t="s">
        <v>491</v>
      </c>
      <c r="C1278" s="209">
        <v>14</v>
      </c>
      <c r="D1278" s="272" t="s">
        <v>467</v>
      </c>
      <c r="E1278" s="209">
        <v>0</v>
      </c>
      <c r="F1278" s="209">
        <v>8</v>
      </c>
      <c r="G1278" s="209">
        <v>8</v>
      </c>
      <c r="H1278" s="209">
        <v>0</v>
      </c>
      <c r="I1278" s="209">
        <v>1</v>
      </c>
      <c r="J1278" s="209">
        <v>1</v>
      </c>
      <c r="K1278" s="209">
        <v>581</v>
      </c>
    </row>
    <row r="1279" spans="1:11">
      <c r="A1279" s="260">
        <v>42656</v>
      </c>
      <c r="B1279" s="209" t="s">
        <v>491</v>
      </c>
      <c r="C1279" s="209">
        <v>15</v>
      </c>
      <c r="D1279" s="272" t="s">
        <v>472</v>
      </c>
      <c r="E1279" s="209">
        <v>0</v>
      </c>
      <c r="F1279" s="209">
        <v>0</v>
      </c>
      <c r="G1279" s="209">
        <v>0</v>
      </c>
      <c r="H1279" s="209">
        <v>0</v>
      </c>
      <c r="I1279" s="209">
        <v>0</v>
      </c>
      <c r="J1279" s="209">
        <v>0</v>
      </c>
      <c r="K1279" s="209">
        <v>8</v>
      </c>
    </row>
    <row r="1280" spans="1:11">
      <c r="A1280" s="260">
        <v>42656</v>
      </c>
      <c r="B1280" s="209" t="s">
        <v>491</v>
      </c>
      <c r="C1280" s="209">
        <v>16</v>
      </c>
      <c r="D1280" s="272" t="s">
        <v>507</v>
      </c>
      <c r="E1280" s="209">
        <v>0</v>
      </c>
      <c r="F1280" s="209">
        <v>0</v>
      </c>
      <c r="G1280" s="209">
        <v>0</v>
      </c>
      <c r="H1280" s="209">
        <v>0</v>
      </c>
      <c r="I1280" s="209">
        <v>0</v>
      </c>
      <c r="J1280" s="209">
        <v>0</v>
      </c>
      <c r="K1280" s="209">
        <v>27</v>
      </c>
    </row>
    <row r="1281" spans="1:11">
      <c r="A1281" s="260">
        <v>42656</v>
      </c>
      <c r="B1281" s="209" t="s">
        <v>491</v>
      </c>
      <c r="C1281" s="209">
        <v>17</v>
      </c>
      <c r="D1281" s="272" t="s">
        <v>479</v>
      </c>
      <c r="E1281" s="209">
        <v>0</v>
      </c>
      <c r="F1281" s="209">
        <v>0</v>
      </c>
      <c r="G1281" s="209">
        <v>0</v>
      </c>
      <c r="H1281" s="209">
        <v>0</v>
      </c>
      <c r="I1281" s="209">
        <v>0</v>
      </c>
      <c r="J1281" s="209">
        <v>0</v>
      </c>
      <c r="K1281" s="209">
        <v>181</v>
      </c>
    </row>
    <row r="1282" spans="1:11">
      <c r="A1282" s="260">
        <v>42656</v>
      </c>
      <c r="B1282" s="209" t="s">
        <v>491</v>
      </c>
      <c r="C1282" s="209">
        <v>18</v>
      </c>
      <c r="D1282" s="272" t="s">
        <v>480</v>
      </c>
      <c r="E1282" s="209">
        <v>0</v>
      </c>
      <c r="F1282" s="209">
        <v>0</v>
      </c>
      <c r="G1282" s="209">
        <v>0</v>
      </c>
      <c r="H1282" s="209">
        <v>0</v>
      </c>
      <c r="I1282" s="209">
        <v>0</v>
      </c>
      <c r="J1282" s="209">
        <v>0</v>
      </c>
      <c r="K1282" s="209">
        <v>26</v>
      </c>
    </row>
    <row r="1283" spans="1:11">
      <c r="A1283" s="260">
        <v>42656</v>
      </c>
      <c r="B1283" s="209" t="s">
        <v>491</v>
      </c>
      <c r="C1283" s="209">
        <v>19</v>
      </c>
      <c r="D1283" s="272" t="s">
        <v>508</v>
      </c>
      <c r="E1283" s="209">
        <v>0</v>
      </c>
      <c r="F1283" s="209">
        <v>5</v>
      </c>
      <c r="G1283" s="209">
        <v>5</v>
      </c>
      <c r="H1283" s="209">
        <v>0</v>
      </c>
      <c r="I1283" s="209">
        <v>2</v>
      </c>
      <c r="J1283" s="209">
        <v>2</v>
      </c>
      <c r="K1283" s="209">
        <v>308</v>
      </c>
    </row>
    <row r="1284" spans="1:11">
      <c r="A1284" s="260">
        <v>42656</v>
      </c>
      <c r="B1284" s="209" t="s">
        <v>491</v>
      </c>
      <c r="C1284" s="209">
        <v>20</v>
      </c>
      <c r="D1284" s="272" t="s">
        <v>468</v>
      </c>
      <c r="E1284" s="209">
        <v>0</v>
      </c>
      <c r="F1284" s="209">
        <v>0</v>
      </c>
      <c r="G1284" s="209">
        <v>0</v>
      </c>
      <c r="H1284" s="209">
        <v>0</v>
      </c>
      <c r="I1284" s="209">
        <v>0</v>
      </c>
      <c r="J1284" s="209">
        <v>0</v>
      </c>
      <c r="K1284" s="209">
        <v>11</v>
      </c>
    </row>
    <row r="1285" spans="1:11">
      <c r="A1285" s="260">
        <v>42656</v>
      </c>
      <c r="B1285" s="209" t="s">
        <v>491</v>
      </c>
      <c r="C1285" s="209">
        <v>21</v>
      </c>
      <c r="D1285" s="272" t="s">
        <v>489</v>
      </c>
      <c r="E1285" s="209">
        <v>0</v>
      </c>
      <c r="F1285" s="209">
        <v>2</v>
      </c>
      <c r="G1285" s="209">
        <v>2</v>
      </c>
      <c r="H1285" s="209">
        <v>0</v>
      </c>
      <c r="I1285" s="209">
        <v>0</v>
      </c>
      <c r="J1285" s="209">
        <v>0</v>
      </c>
      <c r="K1285" s="209">
        <v>343</v>
      </c>
    </row>
    <row r="1286" spans="1:11">
      <c r="A1286" s="260">
        <v>42656</v>
      </c>
      <c r="B1286" s="209" t="s">
        <v>491</v>
      </c>
      <c r="C1286" s="209">
        <v>22</v>
      </c>
      <c r="D1286" s="272" t="s">
        <v>469</v>
      </c>
      <c r="E1286" s="209">
        <v>0</v>
      </c>
      <c r="F1286" s="209">
        <v>0</v>
      </c>
      <c r="G1286" s="209">
        <v>0</v>
      </c>
      <c r="H1286" s="209">
        <v>0</v>
      </c>
      <c r="I1286" s="209">
        <v>0</v>
      </c>
      <c r="J1286" s="209">
        <v>0</v>
      </c>
      <c r="K1286" s="209">
        <v>268</v>
      </c>
    </row>
    <row r="1287" spans="1:11">
      <c r="A1287" s="260">
        <v>42656</v>
      </c>
      <c r="B1287" s="209" t="s">
        <v>491</v>
      </c>
      <c r="C1287" s="209">
        <v>23</v>
      </c>
      <c r="D1287" s="272" t="s">
        <v>470</v>
      </c>
      <c r="E1287" s="209">
        <v>0</v>
      </c>
      <c r="F1287" s="209">
        <v>0</v>
      </c>
      <c r="G1287" s="209">
        <v>0</v>
      </c>
      <c r="H1287" s="209">
        <v>0</v>
      </c>
      <c r="I1287" s="209">
        <v>0</v>
      </c>
      <c r="J1287" s="209">
        <v>0</v>
      </c>
      <c r="K1287" s="209">
        <v>284</v>
      </c>
    </row>
    <row r="1288" spans="1:11">
      <c r="A1288" s="260">
        <v>42656</v>
      </c>
      <c r="B1288" s="209" t="s">
        <v>491</v>
      </c>
      <c r="C1288" s="209">
        <v>24</v>
      </c>
      <c r="D1288" s="272" t="s">
        <v>509</v>
      </c>
      <c r="E1288" s="209">
        <v>0</v>
      </c>
      <c r="F1288" s="209">
        <v>0</v>
      </c>
      <c r="G1288" s="209">
        <v>0</v>
      </c>
      <c r="H1288" s="209">
        <v>0</v>
      </c>
      <c r="I1288" s="209">
        <v>0</v>
      </c>
      <c r="J1288" s="209">
        <v>0</v>
      </c>
      <c r="K1288" s="209">
        <v>2</v>
      </c>
    </row>
    <row r="1289" spans="1:11">
      <c r="A1289" s="260">
        <v>42656</v>
      </c>
      <c r="B1289" s="209" t="s">
        <v>491</v>
      </c>
      <c r="C1289" s="209">
        <v>25</v>
      </c>
      <c r="D1289" s="272" t="s">
        <v>471</v>
      </c>
      <c r="E1289" s="209">
        <v>0</v>
      </c>
      <c r="F1289" s="209">
        <v>0</v>
      </c>
      <c r="G1289" s="209">
        <v>0</v>
      </c>
      <c r="H1289" s="209">
        <v>0</v>
      </c>
      <c r="I1289" s="209">
        <v>0</v>
      </c>
      <c r="J1289" s="209">
        <v>0</v>
      </c>
      <c r="K1289" s="209">
        <v>20</v>
      </c>
    </row>
    <row r="1290" spans="1:11">
      <c r="A1290" s="260">
        <v>42656</v>
      </c>
      <c r="B1290" s="209" t="s">
        <v>491</v>
      </c>
      <c r="C1290" s="209">
        <v>26</v>
      </c>
      <c r="D1290" s="272" t="s">
        <v>510</v>
      </c>
      <c r="E1290" s="209">
        <v>0</v>
      </c>
      <c r="F1290" s="209">
        <v>1</v>
      </c>
      <c r="G1290" s="209">
        <v>1</v>
      </c>
      <c r="H1290" s="209">
        <v>0</v>
      </c>
      <c r="I1290" s="209">
        <v>1</v>
      </c>
      <c r="J1290" s="209">
        <v>1</v>
      </c>
      <c r="K1290" s="209">
        <v>214</v>
      </c>
    </row>
    <row r="1291" spans="1:11">
      <c r="A1291" s="208">
        <v>42657</v>
      </c>
      <c r="B1291" s="209" t="s">
        <v>491</v>
      </c>
      <c r="C1291" s="209">
        <v>1</v>
      </c>
      <c r="D1291" s="272" t="s">
        <v>484</v>
      </c>
      <c r="E1291" s="209">
        <v>0</v>
      </c>
      <c r="F1291" s="209">
        <v>0</v>
      </c>
      <c r="G1291" s="209">
        <v>0</v>
      </c>
      <c r="H1291" s="209">
        <v>0</v>
      </c>
      <c r="I1291" s="209">
        <v>0</v>
      </c>
      <c r="J1291" s="209">
        <v>0</v>
      </c>
      <c r="K1291" s="209">
        <v>112</v>
      </c>
    </row>
    <row r="1292" spans="1:11">
      <c r="A1292" s="208">
        <v>42657</v>
      </c>
      <c r="B1292" s="209" t="s">
        <v>491</v>
      </c>
      <c r="C1292" s="209">
        <v>2</v>
      </c>
      <c r="D1292" s="272" t="s">
        <v>461</v>
      </c>
      <c r="E1292" s="209">
        <v>0</v>
      </c>
      <c r="F1292" s="209">
        <v>0</v>
      </c>
      <c r="G1292" s="209">
        <v>0</v>
      </c>
      <c r="H1292" s="209">
        <v>0</v>
      </c>
      <c r="I1292" s="209">
        <v>0</v>
      </c>
      <c r="J1292" s="209">
        <v>0</v>
      </c>
      <c r="K1292" s="209">
        <v>1543</v>
      </c>
    </row>
    <row r="1293" spans="1:11">
      <c r="A1293" s="208">
        <v>42657</v>
      </c>
      <c r="B1293" s="209" t="s">
        <v>491</v>
      </c>
      <c r="C1293" s="209">
        <v>3</v>
      </c>
      <c r="D1293" s="272" t="s">
        <v>487</v>
      </c>
      <c r="E1293" s="209">
        <v>0</v>
      </c>
      <c r="F1293" s="209">
        <v>1</v>
      </c>
      <c r="G1293" s="209">
        <v>1</v>
      </c>
      <c r="H1293" s="209">
        <v>0</v>
      </c>
      <c r="I1293" s="209">
        <v>1</v>
      </c>
      <c r="J1293" s="209">
        <v>1</v>
      </c>
      <c r="K1293" s="209">
        <v>471</v>
      </c>
    </row>
    <row r="1294" spans="1:11">
      <c r="A1294" s="208">
        <v>42657</v>
      </c>
      <c r="B1294" s="209" t="s">
        <v>491</v>
      </c>
      <c r="C1294" s="209">
        <v>4</v>
      </c>
      <c r="D1294" s="272" t="s">
        <v>462</v>
      </c>
      <c r="E1294" s="209">
        <v>0</v>
      </c>
      <c r="F1294" s="209">
        <v>0</v>
      </c>
      <c r="G1294" s="209">
        <v>0</v>
      </c>
      <c r="H1294" s="209">
        <v>0</v>
      </c>
      <c r="I1294" s="209">
        <v>0</v>
      </c>
      <c r="J1294" s="209">
        <v>0</v>
      </c>
      <c r="K1294" s="209">
        <v>119</v>
      </c>
    </row>
    <row r="1295" spans="1:11">
      <c r="A1295" s="208">
        <v>42657</v>
      </c>
      <c r="B1295" s="209" t="s">
        <v>491</v>
      </c>
      <c r="C1295" s="209">
        <v>5</v>
      </c>
      <c r="D1295" s="272" t="s">
        <v>463</v>
      </c>
      <c r="E1295" s="209">
        <v>0</v>
      </c>
      <c r="F1295" s="209">
        <v>4</v>
      </c>
      <c r="G1295" s="209">
        <v>4</v>
      </c>
      <c r="H1295" s="209">
        <v>0</v>
      </c>
      <c r="I1295" s="209">
        <v>2</v>
      </c>
      <c r="J1295" s="209">
        <v>2</v>
      </c>
      <c r="K1295" s="209">
        <v>3235</v>
      </c>
    </row>
    <row r="1296" spans="1:11">
      <c r="A1296" s="208">
        <v>42657</v>
      </c>
      <c r="B1296" s="209" t="s">
        <v>491</v>
      </c>
      <c r="C1296" s="209">
        <v>6</v>
      </c>
      <c r="D1296" s="272" t="s">
        <v>464</v>
      </c>
      <c r="E1296" s="209">
        <v>0</v>
      </c>
      <c r="F1296" s="209">
        <v>0</v>
      </c>
      <c r="G1296" s="209">
        <v>0</v>
      </c>
      <c r="H1296" s="209">
        <v>0</v>
      </c>
      <c r="I1296" s="209">
        <v>0</v>
      </c>
      <c r="J1296" s="209">
        <v>0</v>
      </c>
      <c r="K1296" s="209">
        <v>130</v>
      </c>
    </row>
    <row r="1297" spans="1:11">
      <c r="A1297" s="208">
        <v>42657</v>
      </c>
      <c r="B1297" s="209" t="s">
        <v>491</v>
      </c>
      <c r="C1297" s="209">
        <v>7</v>
      </c>
      <c r="D1297" s="272" t="s">
        <v>504</v>
      </c>
      <c r="E1297" s="209">
        <v>0</v>
      </c>
      <c r="F1297" s="209">
        <v>8</v>
      </c>
      <c r="G1297" s="209">
        <v>8</v>
      </c>
      <c r="H1297" s="209">
        <v>0</v>
      </c>
      <c r="I1297" s="209">
        <v>3</v>
      </c>
      <c r="J1297" s="209">
        <v>3</v>
      </c>
      <c r="K1297" s="209">
        <v>1746</v>
      </c>
    </row>
    <row r="1298" spans="1:11">
      <c r="A1298" s="208">
        <v>42657</v>
      </c>
      <c r="B1298" s="209" t="s">
        <v>491</v>
      </c>
      <c r="C1298" s="209">
        <v>8</v>
      </c>
      <c r="D1298" s="272" t="s">
        <v>490</v>
      </c>
      <c r="E1298" s="209">
        <v>0</v>
      </c>
      <c r="F1298" s="209">
        <v>0</v>
      </c>
      <c r="G1298" s="209">
        <v>0</v>
      </c>
      <c r="H1298" s="209">
        <v>0</v>
      </c>
      <c r="I1298" s="209">
        <v>0</v>
      </c>
      <c r="J1298" s="209">
        <v>0</v>
      </c>
      <c r="K1298" s="209">
        <v>2</v>
      </c>
    </row>
    <row r="1299" spans="1:11">
      <c r="A1299" s="208">
        <v>42657</v>
      </c>
      <c r="B1299" s="209" t="s">
        <v>491</v>
      </c>
      <c r="C1299" s="209">
        <v>9</v>
      </c>
      <c r="D1299" s="272" t="s">
        <v>460</v>
      </c>
      <c r="E1299" s="209">
        <v>0</v>
      </c>
      <c r="F1299" s="209">
        <v>14</v>
      </c>
      <c r="G1299" s="209">
        <v>14</v>
      </c>
      <c r="H1299" s="209">
        <v>0</v>
      </c>
      <c r="I1299" s="209">
        <v>2</v>
      </c>
      <c r="J1299" s="209">
        <v>2</v>
      </c>
      <c r="K1299" s="209">
        <v>792</v>
      </c>
    </row>
    <row r="1300" spans="1:11">
      <c r="A1300" s="208">
        <v>42657</v>
      </c>
      <c r="B1300" s="209" t="s">
        <v>491</v>
      </c>
      <c r="C1300" s="209">
        <v>10</v>
      </c>
      <c r="D1300" s="272" t="s">
        <v>465</v>
      </c>
      <c r="E1300" s="209">
        <v>0</v>
      </c>
      <c r="F1300" s="209">
        <v>5</v>
      </c>
      <c r="G1300" s="209">
        <v>5</v>
      </c>
      <c r="H1300" s="209">
        <v>0</v>
      </c>
      <c r="I1300" s="209">
        <v>3</v>
      </c>
      <c r="J1300" s="209">
        <v>3</v>
      </c>
      <c r="K1300" s="209">
        <v>423</v>
      </c>
    </row>
    <row r="1301" spans="1:11">
      <c r="A1301" s="208">
        <v>42657</v>
      </c>
      <c r="B1301" s="209" t="s">
        <v>491</v>
      </c>
      <c r="C1301" s="209">
        <v>11</v>
      </c>
      <c r="D1301" s="272" t="s">
        <v>505</v>
      </c>
      <c r="E1301" s="209">
        <v>0</v>
      </c>
      <c r="F1301" s="209">
        <v>5</v>
      </c>
      <c r="G1301" s="209">
        <v>5</v>
      </c>
      <c r="H1301" s="209">
        <v>0</v>
      </c>
      <c r="I1301" s="209">
        <v>3</v>
      </c>
      <c r="J1301" s="209">
        <v>3</v>
      </c>
      <c r="K1301" s="209">
        <v>1177</v>
      </c>
    </row>
    <row r="1302" spans="1:11">
      <c r="A1302" s="208">
        <v>42657</v>
      </c>
      <c r="B1302" s="209" t="s">
        <v>491</v>
      </c>
      <c r="C1302" s="209">
        <v>12</v>
      </c>
      <c r="D1302" s="272" t="s">
        <v>506</v>
      </c>
      <c r="E1302" s="209">
        <v>0</v>
      </c>
      <c r="F1302" s="209">
        <v>0</v>
      </c>
      <c r="G1302" s="209">
        <v>0</v>
      </c>
      <c r="H1302" s="209">
        <v>0</v>
      </c>
      <c r="I1302" s="209">
        <v>0</v>
      </c>
      <c r="J1302" s="209">
        <v>0</v>
      </c>
      <c r="K1302" s="209">
        <v>2</v>
      </c>
    </row>
    <row r="1303" spans="1:11">
      <c r="A1303" s="208">
        <v>42657</v>
      </c>
      <c r="B1303" s="209" t="s">
        <v>491</v>
      </c>
      <c r="C1303" s="209">
        <v>13</v>
      </c>
      <c r="D1303" s="272" t="s">
        <v>466</v>
      </c>
      <c r="E1303" s="209">
        <v>0</v>
      </c>
      <c r="F1303" s="209">
        <v>8</v>
      </c>
      <c r="G1303" s="209">
        <v>8</v>
      </c>
      <c r="H1303" s="209">
        <v>0</v>
      </c>
      <c r="I1303" s="209">
        <v>2</v>
      </c>
      <c r="J1303" s="209">
        <v>2</v>
      </c>
      <c r="K1303" s="209">
        <v>560</v>
      </c>
    </row>
    <row r="1304" spans="1:11">
      <c r="A1304" s="208">
        <v>42657</v>
      </c>
      <c r="B1304" s="209" t="s">
        <v>491</v>
      </c>
      <c r="C1304" s="209">
        <v>14</v>
      </c>
      <c r="D1304" s="272" t="s">
        <v>467</v>
      </c>
      <c r="E1304" s="209">
        <v>0</v>
      </c>
      <c r="F1304" s="209">
        <v>8</v>
      </c>
      <c r="G1304" s="209">
        <v>8</v>
      </c>
      <c r="H1304" s="209">
        <v>0</v>
      </c>
      <c r="I1304" s="209">
        <v>1</v>
      </c>
      <c r="J1304" s="209">
        <v>1</v>
      </c>
      <c r="K1304" s="209">
        <v>586</v>
      </c>
    </row>
    <row r="1305" spans="1:11">
      <c r="A1305" s="208">
        <v>42657</v>
      </c>
      <c r="B1305" s="209" t="s">
        <v>491</v>
      </c>
      <c r="C1305" s="209">
        <v>15</v>
      </c>
      <c r="D1305" s="272" t="s">
        <v>472</v>
      </c>
      <c r="E1305" s="209">
        <v>0</v>
      </c>
      <c r="F1305" s="209">
        <v>0</v>
      </c>
      <c r="G1305" s="209">
        <v>0</v>
      </c>
      <c r="H1305" s="209">
        <v>0</v>
      </c>
      <c r="I1305" s="209">
        <v>0</v>
      </c>
      <c r="J1305" s="209">
        <v>0</v>
      </c>
      <c r="K1305" s="209">
        <v>8</v>
      </c>
    </row>
    <row r="1306" spans="1:11">
      <c r="A1306" s="208">
        <v>42657</v>
      </c>
      <c r="B1306" s="209" t="s">
        <v>491</v>
      </c>
      <c r="C1306" s="209">
        <v>16</v>
      </c>
      <c r="D1306" s="272" t="s">
        <v>507</v>
      </c>
      <c r="E1306" s="209">
        <v>0</v>
      </c>
      <c r="F1306" s="209">
        <v>0</v>
      </c>
      <c r="G1306" s="209">
        <v>0</v>
      </c>
      <c r="H1306" s="209">
        <v>0</v>
      </c>
      <c r="I1306" s="209">
        <v>0</v>
      </c>
      <c r="J1306" s="209">
        <v>0</v>
      </c>
      <c r="K1306" s="209">
        <v>27</v>
      </c>
    </row>
    <row r="1307" spans="1:11">
      <c r="A1307" s="208">
        <v>42657</v>
      </c>
      <c r="B1307" s="209" t="s">
        <v>491</v>
      </c>
      <c r="C1307" s="209">
        <v>17</v>
      </c>
      <c r="D1307" s="272" t="s">
        <v>479</v>
      </c>
      <c r="E1307" s="209">
        <v>0</v>
      </c>
      <c r="F1307" s="209">
        <v>0</v>
      </c>
      <c r="G1307" s="209">
        <v>0</v>
      </c>
      <c r="H1307" s="209">
        <v>0</v>
      </c>
      <c r="I1307" s="209">
        <v>0</v>
      </c>
      <c r="J1307" s="209">
        <v>0</v>
      </c>
      <c r="K1307" s="209">
        <v>181</v>
      </c>
    </row>
    <row r="1308" spans="1:11">
      <c r="A1308" s="208">
        <v>42657</v>
      </c>
      <c r="B1308" s="209" t="s">
        <v>491</v>
      </c>
      <c r="C1308" s="209">
        <v>18</v>
      </c>
      <c r="D1308" s="272" t="s">
        <v>480</v>
      </c>
      <c r="E1308" s="209">
        <v>0</v>
      </c>
      <c r="F1308" s="209">
        <v>0</v>
      </c>
      <c r="G1308" s="209">
        <v>0</v>
      </c>
      <c r="H1308" s="209">
        <v>0</v>
      </c>
      <c r="I1308" s="209">
        <v>0</v>
      </c>
      <c r="J1308" s="209">
        <v>0</v>
      </c>
      <c r="K1308" s="209">
        <v>26</v>
      </c>
    </row>
    <row r="1309" spans="1:11">
      <c r="A1309" s="208">
        <v>42657</v>
      </c>
      <c r="B1309" s="209" t="s">
        <v>491</v>
      </c>
      <c r="C1309" s="209">
        <v>19</v>
      </c>
      <c r="D1309" s="272" t="s">
        <v>508</v>
      </c>
      <c r="E1309" s="209">
        <v>0</v>
      </c>
      <c r="F1309" s="209">
        <v>5</v>
      </c>
      <c r="G1309" s="209">
        <v>5</v>
      </c>
      <c r="H1309" s="209">
        <v>0</v>
      </c>
      <c r="I1309" s="209">
        <v>2</v>
      </c>
      <c r="J1309" s="209">
        <v>2</v>
      </c>
      <c r="K1309" s="209">
        <v>323</v>
      </c>
    </row>
    <row r="1310" spans="1:11">
      <c r="A1310" s="208">
        <v>42657</v>
      </c>
      <c r="B1310" s="209" t="s">
        <v>491</v>
      </c>
      <c r="C1310" s="209">
        <v>20</v>
      </c>
      <c r="D1310" s="272" t="s">
        <v>468</v>
      </c>
      <c r="E1310" s="209">
        <v>0</v>
      </c>
      <c r="F1310" s="209">
        <v>0</v>
      </c>
      <c r="G1310" s="209">
        <v>0</v>
      </c>
      <c r="H1310" s="209">
        <v>0</v>
      </c>
      <c r="I1310" s="209">
        <v>0</v>
      </c>
      <c r="J1310" s="209">
        <v>0</v>
      </c>
      <c r="K1310" s="209">
        <v>11</v>
      </c>
    </row>
    <row r="1311" spans="1:11">
      <c r="A1311" s="208">
        <v>42657</v>
      </c>
      <c r="B1311" s="209" t="s">
        <v>491</v>
      </c>
      <c r="C1311" s="209">
        <v>21</v>
      </c>
      <c r="D1311" s="272" t="s">
        <v>489</v>
      </c>
      <c r="E1311" s="209">
        <v>0</v>
      </c>
      <c r="F1311" s="209">
        <v>2</v>
      </c>
      <c r="G1311" s="209">
        <v>2</v>
      </c>
      <c r="H1311" s="209">
        <v>0</v>
      </c>
      <c r="I1311" s="209">
        <v>0</v>
      </c>
      <c r="J1311" s="209">
        <v>0</v>
      </c>
      <c r="K1311" s="209">
        <v>343</v>
      </c>
    </row>
    <row r="1312" spans="1:11">
      <c r="A1312" s="208">
        <v>42657</v>
      </c>
      <c r="B1312" s="209" t="s">
        <v>491</v>
      </c>
      <c r="C1312" s="209">
        <v>22</v>
      </c>
      <c r="D1312" s="272" t="s">
        <v>469</v>
      </c>
      <c r="E1312" s="209">
        <v>0</v>
      </c>
      <c r="F1312" s="209">
        <v>0</v>
      </c>
      <c r="G1312" s="209">
        <v>0</v>
      </c>
      <c r="H1312" s="209">
        <v>0</v>
      </c>
      <c r="I1312" s="209">
        <v>0</v>
      </c>
      <c r="J1312" s="209">
        <v>0</v>
      </c>
      <c r="K1312" s="209">
        <v>268</v>
      </c>
    </row>
    <row r="1313" spans="1:11">
      <c r="A1313" s="208">
        <v>42657</v>
      </c>
      <c r="B1313" s="209" t="s">
        <v>491</v>
      </c>
      <c r="C1313" s="209">
        <v>23</v>
      </c>
      <c r="D1313" s="272" t="s">
        <v>470</v>
      </c>
      <c r="E1313" s="209">
        <v>0</v>
      </c>
      <c r="F1313" s="209">
        <v>0</v>
      </c>
      <c r="G1313" s="209">
        <v>0</v>
      </c>
      <c r="H1313" s="209">
        <v>0</v>
      </c>
      <c r="I1313" s="209">
        <v>0</v>
      </c>
      <c r="J1313" s="209">
        <v>0</v>
      </c>
      <c r="K1313" s="209">
        <v>284</v>
      </c>
    </row>
    <row r="1314" spans="1:11">
      <c r="A1314" s="208">
        <v>42657</v>
      </c>
      <c r="B1314" s="209" t="s">
        <v>491</v>
      </c>
      <c r="C1314" s="209">
        <v>24</v>
      </c>
      <c r="D1314" s="272" t="s">
        <v>509</v>
      </c>
      <c r="E1314" s="209">
        <v>0</v>
      </c>
      <c r="F1314" s="209">
        <v>0</v>
      </c>
      <c r="G1314" s="209">
        <v>0</v>
      </c>
      <c r="H1314" s="209">
        <v>0</v>
      </c>
      <c r="I1314" s="209">
        <v>0</v>
      </c>
      <c r="J1314" s="209">
        <v>0</v>
      </c>
      <c r="K1314" s="209">
        <v>2</v>
      </c>
    </row>
    <row r="1315" spans="1:11">
      <c r="A1315" s="208">
        <v>42657</v>
      </c>
      <c r="B1315" s="209" t="s">
        <v>491</v>
      </c>
      <c r="C1315" s="209">
        <v>25</v>
      </c>
      <c r="D1315" s="272" t="s">
        <v>471</v>
      </c>
      <c r="E1315" s="209">
        <v>0</v>
      </c>
      <c r="F1315" s="209">
        <v>0</v>
      </c>
      <c r="G1315" s="209">
        <v>0</v>
      </c>
      <c r="H1315" s="209">
        <v>0</v>
      </c>
      <c r="I1315" s="209">
        <v>0</v>
      </c>
      <c r="J1315" s="209">
        <v>0</v>
      </c>
      <c r="K1315" s="209">
        <v>20</v>
      </c>
    </row>
    <row r="1316" spans="1:11">
      <c r="A1316" s="208">
        <v>42657</v>
      </c>
      <c r="B1316" s="209" t="s">
        <v>491</v>
      </c>
      <c r="C1316" s="209">
        <v>26</v>
      </c>
      <c r="D1316" s="272" t="s">
        <v>510</v>
      </c>
      <c r="E1316" s="209">
        <v>0</v>
      </c>
      <c r="F1316" s="209">
        <v>1</v>
      </c>
      <c r="G1316" s="209">
        <v>1</v>
      </c>
      <c r="H1316" s="209">
        <v>0</v>
      </c>
      <c r="I1316" s="209">
        <v>1</v>
      </c>
      <c r="J1316" s="209">
        <v>1</v>
      </c>
      <c r="K1316" s="209">
        <v>227</v>
      </c>
    </row>
    <row r="1317" spans="1:11">
      <c r="A1317" s="208">
        <v>42657</v>
      </c>
      <c r="B1317" s="209" t="s">
        <v>529</v>
      </c>
      <c r="C1317" s="209">
        <v>1</v>
      </c>
      <c r="D1317" s="272" t="s">
        <v>549</v>
      </c>
      <c r="E1317" s="209">
        <v>0</v>
      </c>
      <c r="F1317" s="209">
        <v>0</v>
      </c>
      <c r="G1317" s="209">
        <v>0</v>
      </c>
      <c r="H1317" s="209" t="s">
        <v>242</v>
      </c>
      <c r="I1317" s="209" t="s">
        <v>242</v>
      </c>
      <c r="J1317" s="209" t="s">
        <v>242</v>
      </c>
      <c r="K1317" s="209">
        <v>0</v>
      </c>
    </row>
    <row r="1318" spans="1:11">
      <c r="A1318" s="208">
        <v>42657</v>
      </c>
      <c r="B1318" s="209" t="s">
        <v>529</v>
      </c>
      <c r="C1318" s="209">
        <v>2</v>
      </c>
      <c r="D1318" s="272" t="s">
        <v>484</v>
      </c>
      <c r="E1318" s="209">
        <v>0</v>
      </c>
      <c r="F1318" s="209">
        <v>4</v>
      </c>
      <c r="G1318" s="209">
        <v>4</v>
      </c>
      <c r="H1318" s="209">
        <v>0</v>
      </c>
      <c r="I1318" s="209">
        <v>1</v>
      </c>
      <c r="J1318" s="209">
        <v>1</v>
      </c>
      <c r="K1318" s="209">
        <v>848</v>
      </c>
    </row>
    <row r="1319" spans="1:11">
      <c r="A1319" s="208">
        <v>42657</v>
      </c>
      <c r="B1319" s="209" t="s">
        <v>529</v>
      </c>
      <c r="C1319" s="209">
        <v>3</v>
      </c>
      <c r="D1319" s="272" t="s">
        <v>461</v>
      </c>
      <c r="E1319" s="209">
        <v>0</v>
      </c>
      <c r="F1319" s="209">
        <v>0</v>
      </c>
      <c r="G1319" s="209">
        <v>0</v>
      </c>
      <c r="H1319" s="209">
        <v>0</v>
      </c>
      <c r="I1319" s="209">
        <v>0</v>
      </c>
      <c r="J1319" s="209">
        <v>0</v>
      </c>
      <c r="K1319" s="209">
        <v>4928</v>
      </c>
    </row>
    <row r="1320" spans="1:11">
      <c r="A1320" s="208">
        <v>42657</v>
      </c>
      <c r="B1320" s="209" t="s">
        <v>529</v>
      </c>
      <c r="C1320" s="209">
        <v>4</v>
      </c>
      <c r="D1320" s="272" t="s">
        <v>487</v>
      </c>
      <c r="E1320" s="209">
        <v>1</v>
      </c>
      <c r="F1320" s="209">
        <v>10</v>
      </c>
      <c r="G1320" s="209">
        <v>10</v>
      </c>
      <c r="H1320" s="209">
        <v>0</v>
      </c>
      <c r="I1320" s="209">
        <v>2</v>
      </c>
      <c r="J1320" s="209">
        <v>2</v>
      </c>
      <c r="K1320" s="209">
        <v>576</v>
      </c>
    </row>
    <row r="1321" spans="1:11">
      <c r="A1321" s="208">
        <v>42657</v>
      </c>
      <c r="B1321" s="209" t="s">
        <v>529</v>
      </c>
      <c r="C1321" s="209">
        <v>5</v>
      </c>
      <c r="D1321" s="272" t="s">
        <v>462</v>
      </c>
      <c r="E1321" s="209">
        <v>0</v>
      </c>
      <c r="F1321" s="209">
        <v>0</v>
      </c>
      <c r="G1321" s="209">
        <v>0</v>
      </c>
      <c r="H1321" s="209">
        <v>0</v>
      </c>
      <c r="I1321" s="209">
        <v>0</v>
      </c>
      <c r="J1321" s="209">
        <v>0</v>
      </c>
      <c r="K1321" s="209">
        <v>2002</v>
      </c>
    </row>
    <row r="1322" spans="1:11">
      <c r="A1322" s="208">
        <v>42657</v>
      </c>
      <c r="B1322" s="209" t="s">
        <v>529</v>
      </c>
      <c r="C1322" s="209">
        <v>6</v>
      </c>
      <c r="D1322" s="272" t="s">
        <v>463</v>
      </c>
      <c r="E1322" s="209">
        <v>0</v>
      </c>
      <c r="F1322" s="209">
        <v>3</v>
      </c>
      <c r="G1322" s="209">
        <v>3</v>
      </c>
      <c r="H1322" s="209">
        <v>0</v>
      </c>
      <c r="I1322" s="209">
        <v>2</v>
      </c>
      <c r="J1322" s="209">
        <v>2</v>
      </c>
      <c r="K1322" s="209">
        <v>4164</v>
      </c>
    </row>
    <row r="1323" spans="1:11">
      <c r="A1323" s="208">
        <v>42657</v>
      </c>
      <c r="B1323" s="209" t="s">
        <v>529</v>
      </c>
      <c r="C1323" s="209">
        <v>7</v>
      </c>
      <c r="D1323" s="272" t="s">
        <v>464</v>
      </c>
      <c r="E1323" s="209">
        <v>0</v>
      </c>
      <c r="F1323" s="209">
        <v>1</v>
      </c>
      <c r="G1323" s="209">
        <v>1</v>
      </c>
      <c r="H1323" s="209">
        <v>0</v>
      </c>
      <c r="I1323" s="209">
        <v>1</v>
      </c>
      <c r="J1323" s="209">
        <v>1</v>
      </c>
      <c r="K1323" s="209">
        <v>924</v>
      </c>
    </row>
    <row r="1324" spans="1:11">
      <c r="A1324" s="208">
        <v>42657</v>
      </c>
      <c r="B1324" s="209" t="s">
        <v>529</v>
      </c>
      <c r="C1324" s="209">
        <v>8</v>
      </c>
      <c r="D1324" s="272" t="s">
        <v>504</v>
      </c>
      <c r="E1324" s="209">
        <v>0</v>
      </c>
      <c r="F1324" s="209">
        <v>22</v>
      </c>
      <c r="G1324" s="209">
        <v>22</v>
      </c>
      <c r="H1324" s="209">
        <v>0</v>
      </c>
      <c r="I1324" s="209">
        <v>4</v>
      </c>
      <c r="J1324" s="209">
        <v>4</v>
      </c>
      <c r="K1324" s="209">
        <v>2483</v>
      </c>
    </row>
    <row r="1325" spans="1:11">
      <c r="A1325" s="208">
        <v>42657</v>
      </c>
      <c r="B1325" s="209" t="s">
        <v>529</v>
      </c>
      <c r="C1325" s="209">
        <v>9</v>
      </c>
      <c r="D1325" s="272" t="s">
        <v>490</v>
      </c>
      <c r="E1325" s="209">
        <v>0</v>
      </c>
      <c r="F1325" s="209">
        <v>25</v>
      </c>
      <c r="G1325" s="209">
        <v>25</v>
      </c>
      <c r="H1325" s="209">
        <v>0</v>
      </c>
      <c r="I1325" s="209">
        <v>7</v>
      </c>
      <c r="J1325" s="209">
        <v>7</v>
      </c>
      <c r="K1325" s="209">
        <v>645</v>
      </c>
    </row>
    <row r="1326" spans="1:11">
      <c r="A1326" s="208">
        <v>42657</v>
      </c>
      <c r="B1326" s="209" t="s">
        <v>529</v>
      </c>
      <c r="C1326" s="209">
        <v>10</v>
      </c>
      <c r="D1326" s="272" t="s">
        <v>460</v>
      </c>
      <c r="E1326" s="209">
        <v>0</v>
      </c>
      <c r="F1326" s="209">
        <v>0</v>
      </c>
      <c r="G1326" s="209">
        <v>0</v>
      </c>
      <c r="H1326" s="209">
        <v>0</v>
      </c>
      <c r="I1326" s="209">
        <v>0</v>
      </c>
      <c r="J1326" s="209">
        <v>0</v>
      </c>
      <c r="K1326" s="209">
        <v>210</v>
      </c>
    </row>
    <row r="1327" spans="1:11">
      <c r="A1327" s="208">
        <v>42657</v>
      </c>
      <c r="B1327" s="209" t="s">
        <v>529</v>
      </c>
      <c r="C1327" s="209">
        <v>11</v>
      </c>
      <c r="D1327" s="272" t="s">
        <v>465</v>
      </c>
      <c r="E1327" s="209">
        <v>0</v>
      </c>
      <c r="F1327" s="209">
        <v>10</v>
      </c>
      <c r="G1327" s="209">
        <v>10</v>
      </c>
      <c r="H1327" s="209">
        <v>0</v>
      </c>
      <c r="I1327" s="209">
        <v>7</v>
      </c>
      <c r="J1327" s="209">
        <v>7</v>
      </c>
      <c r="K1327" s="209">
        <v>669</v>
      </c>
    </row>
    <row r="1328" spans="1:11">
      <c r="A1328" s="208">
        <v>42657</v>
      </c>
      <c r="B1328" s="209" t="s">
        <v>529</v>
      </c>
      <c r="C1328" s="209">
        <v>12</v>
      </c>
      <c r="D1328" s="272" t="s">
        <v>505</v>
      </c>
      <c r="E1328" s="209">
        <v>0</v>
      </c>
      <c r="F1328" s="209">
        <v>2</v>
      </c>
      <c r="G1328" s="209">
        <v>2</v>
      </c>
      <c r="H1328" s="209">
        <v>0</v>
      </c>
      <c r="I1328" s="209">
        <v>0</v>
      </c>
      <c r="J1328" s="209">
        <v>0</v>
      </c>
      <c r="K1328" s="209">
        <v>1349</v>
      </c>
    </row>
    <row r="1329" spans="1:11">
      <c r="A1329" s="208">
        <v>42657</v>
      </c>
      <c r="B1329" s="209" t="s">
        <v>529</v>
      </c>
      <c r="C1329" s="209">
        <v>13</v>
      </c>
      <c r="D1329" s="272" t="s">
        <v>466</v>
      </c>
      <c r="E1329" s="209">
        <v>0</v>
      </c>
      <c r="F1329" s="209">
        <v>17</v>
      </c>
      <c r="G1329" s="209">
        <v>17</v>
      </c>
      <c r="H1329" s="209">
        <v>0</v>
      </c>
      <c r="I1329" s="209">
        <v>6</v>
      </c>
      <c r="J1329" s="209">
        <v>6</v>
      </c>
      <c r="K1329" s="209">
        <v>1155</v>
      </c>
    </row>
    <row r="1330" spans="1:11">
      <c r="A1330" s="208">
        <v>42657</v>
      </c>
      <c r="B1330" s="209" t="s">
        <v>529</v>
      </c>
      <c r="C1330" s="209">
        <v>14</v>
      </c>
      <c r="D1330" s="272" t="s">
        <v>467</v>
      </c>
      <c r="E1330" s="209">
        <v>0</v>
      </c>
      <c r="F1330" s="209">
        <v>0</v>
      </c>
      <c r="G1330" s="209">
        <v>0</v>
      </c>
      <c r="H1330" s="209">
        <v>0</v>
      </c>
      <c r="I1330" s="209">
        <v>0</v>
      </c>
      <c r="J1330" s="209">
        <v>0</v>
      </c>
      <c r="K1330" s="209">
        <v>42</v>
      </c>
    </row>
    <row r="1331" spans="1:11">
      <c r="A1331" s="208">
        <v>42657</v>
      </c>
      <c r="B1331" s="209" t="s">
        <v>529</v>
      </c>
      <c r="C1331" s="209">
        <v>15</v>
      </c>
      <c r="D1331" s="272" t="s">
        <v>472</v>
      </c>
      <c r="E1331" s="209">
        <v>0</v>
      </c>
      <c r="F1331" s="209">
        <v>0</v>
      </c>
      <c r="G1331" s="209">
        <v>0</v>
      </c>
      <c r="H1331" s="209">
        <v>0</v>
      </c>
      <c r="I1331" s="209">
        <v>0</v>
      </c>
      <c r="J1331" s="209">
        <v>0</v>
      </c>
      <c r="K1331" s="209">
        <v>1</v>
      </c>
    </row>
    <row r="1332" spans="1:11">
      <c r="A1332" s="208">
        <v>42657</v>
      </c>
      <c r="B1332" s="209" t="s">
        <v>529</v>
      </c>
      <c r="C1332" s="209">
        <v>16</v>
      </c>
      <c r="D1332" s="272" t="s">
        <v>507</v>
      </c>
      <c r="E1332" s="209">
        <v>0</v>
      </c>
      <c r="F1332" s="209">
        <v>3</v>
      </c>
      <c r="G1332" s="209">
        <v>3</v>
      </c>
      <c r="H1332" s="209">
        <v>0</v>
      </c>
      <c r="I1332" s="209">
        <v>1</v>
      </c>
      <c r="J1332" s="209">
        <v>1</v>
      </c>
      <c r="K1332" s="209">
        <v>771</v>
      </c>
    </row>
    <row r="1333" spans="1:11">
      <c r="A1333" s="208">
        <v>42657</v>
      </c>
      <c r="B1333" s="209" t="s">
        <v>529</v>
      </c>
      <c r="C1333" s="209">
        <v>17</v>
      </c>
      <c r="D1333" s="272" t="s">
        <v>479</v>
      </c>
      <c r="E1333" s="209">
        <v>0</v>
      </c>
      <c r="F1333" s="209">
        <v>2</v>
      </c>
      <c r="G1333" s="209">
        <v>2</v>
      </c>
      <c r="H1333" s="209">
        <v>0</v>
      </c>
      <c r="I1333" s="209">
        <v>0</v>
      </c>
      <c r="J1333" s="209">
        <v>0</v>
      </c>
      <c r="K1333" s="209">
        <v>729</v>
      </c>
    </row>
    <row r="1334" spans="1:11">
      <c r="A1334" s="208">
        <v>42657</v>
      </c>
      <c r="B1334" s="209" t="s">
        <v>529</v>
      </c>
      <c r="C1334" s="209">
        <v>18</v>
      </c>
      <c r="D1334" s="272" t="s">
        <v>480</v>
      </c>
      <c r="E1334" s="209">
        <v>0</v>
      </c>
      <c r="F1334" s="209">
        <v>0</v>
      </c>
      <c r="G1334" s="209">
        <v>0</v>
      </c>
      <c r="H1334" s="209">
        <v>0</v>
      </c>
      <c r="I1334" s="209">
        <v>0</v>
      </c>
      <c r="J1334" s="209">
        <v>0</v>
      </c>
      <c r="K1334" s="209">
        <v>57</v>
      </c>
    </row>
    <row r="1335" spans="1:11">
      <c r="A1335" s="208">
        <v>42657</v>
      </c>
      <c r="B1335" s="209" t="s">
        <v>529</v>
      </c>
      <c r="C1335" s="209">
        <v>19</v>
      </c>
      <c r="D1335" s="272" t="s">
        <v>508</v>
      </c>
      <c r="E1335" s="209">
        <v>0</v>
      </c>
      <c r="F1335" s="209">
        <v>13</v>
      </c>
      <c r="G1335" s="209">
        <v>13</v>
      </c>
      <c r="H1335" s="209">
        <v>0</v>
      </c>
      <c r="I1335" s="209">
        <v>4</v>
      </c>
      <c r="J1335" s="209">
        <v>4</v>
      </c>
      <c r="K1335" s="209">
        <v>403</v>
      </c>
    </row>
    <row r="1336" spans="1:11">
      <c r="A1336" s="208">
        <v>42657</v>
      </c>
      <c r="B1336" s="209" t="s">
        <v>529</v>
      </c>
      <c r="C1336" s="209">
        <v>20</v>
      </c>
      <c r="D1336" s="272" t="s">
        <v>468</v>
      </c>
      <c r="E1336" s="209">
        <v>0</v>
      </c>
      <c r="F1336" s="209">
        <v>1</v>
      </c>
      <c r="G1336" s="209">
        <v>1</v>
      </c>
      <c r="H1336" s="209">
        <v>0</v>
      </c>
      <c r="I1336" s="209">
        <v>0</v>
      </c>
      <c r="J1336" s="209">
        <v>0</v>
      </c>
      <c r="K1336" s="209">
        <v>1086</v>
      </c>
    </row>
    <row r="1337" spans="1:11">
      <c r="A1337" s="208">
        <v>42657</v>
      </c>
      <c r="B1337" s="209" t="s">
        <v>529</v>
      </c>
      <c r="C1337" s="209">
        <v>21</v>
      </c>
      <c r="D1337" s="272" t="s">
        <v>489</v>
      </c>
      <c r="E1337" s="209">
        <v>0</v>
      </c>
      <c r="F1337" s="209">
        <v>41</v>
      </c>
      <c r="G1337" s="209">
        <v>41</v>
      </c>
      <c r="H1337" s="209">
        <v>0</v>
      </c>
      <c r="I1337" s="209">
        <v>15</v>
      </c>
      <c r="J1337" s="209">
        <v>15</v>
      </c>
      <c r="K1337" s="209">
        <v>5304</v>
      </c>
    </row>
    <row r="1338" spans="1:11">
      <c r="A1338" s="208">
        <v>42657</v>
      </c>
      <c r="B1338" s="209" t="s">
        <v>529</v>
      </c>
      <c r="C1338" s="209">
        <v>22</v>
      </c>
      <c r="D1338" s="272" t="s">
        <v>469</v>
      </c>
      <c r="E1338" s="209">
        <v>0</v>
      </c>
      <c r="F1338" s="209">
        <v>0</v>
      </c>
      <c r="G1338" s="209">
        <v>0</v>
      </c>
      <c r="H1338" s="209">
        <v>0</v>
      </c>
      <c r="I1338" s="209">
        <v>0</v>
      </c>
      <c r="J1338" s="209">
        <v>0</v>
      </c>
      <c r="K1338" s="209">
        <v>2366</v>
      </c>
    </row>
    <row r="1339" spans="1:11">
      <c r="A1339" s="208">
        <v>42657</v>
      </c>
      <c r="B1339" s="209" t="s">
        <v>529</v>
      </c>
      <c r="C1339" s="209">
        <v>23</v>
      </c>
      <c r="D1339" s="272" t="s">
        <v>470</v>
      </c>
      <c r="E1339" s="209">
        <v>0</v>
      </c>
      <c r="F1339" s="209">
        <v>5</v>
      </c>
      <c r="G1339" s="209">
        <v>5</v>
      </c>
      <c r="H1339" s="209">
        <v>0</v>
      </c>
      <c r="I1339" s="209">
        <v>1</v>
      </c>
      <c r="J1339" s="209">
        <v>1</v>
      </c>
      <c r="K1339" s="209">
        <v>1943</v>
      </c>
    </row>
    <row r="1340" spans="1:11">
      <c r="A1340" s="208">
        <v>42657</v>
      </c>
      <c r="B1340" s="209" t="s">
        <v>529</v>
      </c>
      <c r="C1340" s="209">
        <v>24</v>
      </c>
      <c r="D1340" s="272" t="s">
        <v>471</v>
      </c>
      <c r="E1340" s="209">
        <v>0</v>
      </c>
      <c r="F1340" s="209">
        <v>3</v>
      </c>
      <c r="G1340" s="209">
        <v>3</v>
      </c>
      <c r="H1340" s="209">
        <v>0</v>
      </c>
      <c r="I1340" s="209">
        <v>0</v>
      </c>
      <c r="J1340" s="209">
        <v>0</v>
      </c>
      <c r="K1340" s="209">
        <v>1199</v>
      </c>
    </row>
    <row r="1341" spans="1:11">
      <c r="A1341" s="208">
        <v>42657</v>
      </c>
      <c r="B1341" s="209" t="s">
        <v>529</v>
      </c>
      <c r="C1341" s="209">
        <v>25</v>
      </c>
      <c r="D1341" s="272" t="s">
        <v>510</v>
      </c>
      <c r="E1341" s="209">
        <v>0</v>
      </c>
      <c r="F1341" s="209">
        <v>0</v>
      </c>
      <c r="G1341" s="209">
        <v>0</v>
      </c>
      <c r="H1341" s="209">
        <v>0</v>
      </c>
      <c r="I1341" s="209">
        <v>0</v>
      </c>
      <c r="J1341" s="209">
        <v>0</v>
      </c>
      <c r="K1341" s="209">
        <v>114</v>
      </c>
    </row>
  </sheetData>
  <autoFilter ref="A1:K649"/>
  <phoneticPr fontId="1" type="noConversion"/>
  <dataValidations count="1">
    <dataValidation type="list" allowBlank="1" showInputMessage="1" showErrorMessage="1" sqref="B1:B1048576">
      <formula1>"魔谷,欧朋,广州骏伯,指尖互通"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835"/>
  <sheetViews>
    <sheetView workbookViewId="0">
      <pane ySplit="2" topLeftCell="A814" activePane="bottomLeft" state="frozen"/>
      <selection pane="bottomLeft" activeCell="C836" sqref="C836"/>
    </sheetView>
  </sheetViews>
  <sheetFormatPr defaultRowHeight="12.75"/>
  <cols>
    <col min="1" max="1" width="11.5703125" style="188" customWidth="1"/>
    <col min="2" max="6" width="9.140625" style="186"/>
    <col min="7" max="7" width="9.140625" style="258"/>
    <col min="8" max="10" width="9.140625" style="186"/>
    <col min="11" max="16384" width="9.140625" style="47"/>
  </cols>
  <sheetData>
    <row r="1" spans="1:10" s="270" customFormat="1" ht="42.75">
      <c r="A1" s="268" t="s">
        <v>476</v>
      </c>
      <c r="B1" s="269" t="s">
        <v>477</v>
      </c>
      <c r="C1" s="267" t="s">
        <v>478</v>
      </c>
      <c r="D1" s="267" t="s">
        <v>180</v>
      </c>
      <c r="E1" s="267" t="s">
        <v>181</v>
      </c>
      <c r="F1" s="267" t="s">
        <v>182</v>
      </c>
      <c r="G1" s="266" t="s">
        <v>183</v>
      </c>
      <c r="H1" s="267" t="s">
        <v>184</v>
      </c>
      <c r="I1" s="267" t="s">
        <v>185</v>
      </c>
      <c r="J1" s="267" t="s">
        <v>186</v>
      </c>
    </row>
    <row r="2" spans="1:10">
      <c r="A2" s="260">
        <v>42644</v>
      </c>
      <c r="B2" s="186" t="s">
        <v>459</v>
      </c>
      <c r="C2" s="262" t="s">
        <v>460</v>
      </c>
      <c r="D2" s="186">
        <v>1</v>
      </c>
      <c r="E2" s="186">
        <v>1</v>
      </c>
      <c r="F2" s="186">
        <v>1</v>
      </c>
      <c r="G2" s="258">
        <v>1</v>
      </c>
      <c r="H2" s="186">
        <v>327</v>
      </c>
      <c r="I2" s="186">
        <v>1</v>
      </c>
      <c r="J2" s="186">
        <v>1</v>
      </c>
    </row>
    <row r="3" spans="1:10">
      <c r="A3" s="260">
        <v>42644</v>
      </c>
      <c r="B3" s="186" t="s">
        <v>459</v>
      </c>
      <c r="C3" s="262" t="s">
        <v>461</v>
      </c>
      <c r="D3" s="186">
        <v>0</v>
      </c>
      <c r="E3" s="186">
        <v>0</v>
      </c>
      <c r="F3" s="186">
        <v>0</v>
      </c>
      <c r="G3" s="258">
        <v>0</v>
      </c>
      <c r="H3" s="186">
        <v>863</v>
      </c>
      <c r="I3" s="186">
        <v>0</v>
      </c>
      <c r="J3" s="186">
        <v>0</v>
      </c>
    </row>
    <row r="4" spans="1:10">
      <c r="A4" s="260">
        <v>42644</v>
      </c>
      <c r="B4" s="186" t="s">
        <v>459</v>
      </c>
      <c r="C4" s="262" t="s">
        <v>462</v>
      </c>
      <c r="D4" s="186">
        <v>0</v>
      </c>
      <c r="E4" s="186">
        <v>0</v>
      </c>
      <c r="F4" s="186">
        <v>0</v>
      </c>
      <c r="G4" s="258">
        <v>0</v>
      </c>
      <c r="H4" s="186">
        <v>51</v>
      </c>
      <c r="I4" s="186">
        <v>0</v>
      </c>
      <c r="J4" s="186">
        <v>0</v>
      </c>
    </row>
    <row r="5" spans="1:10">
      <c r="A5" s="260">
        <v>42644</v>
      </c>
      <c r="B5" s="186" t="s">
        <v>459</v>
      </c>
      <c r="C5" s="262" t="s">
        <v>463</v>
      </c>
      <c r="D5" s="186">
        <v>0</v>
      </c>
      <c r="E5" s="186">
        <v>0</v>
      </c>
      <c r="F5" s="186">
        <v>0</v>
      </c>
      <c r="G5" s="258">
        <v>0</v>
      </c>
      <c r="H5" s="186">
        <v>3</v>
      </c>
      <c r="I5" s="186">
        <v>0</v>
      </c>
      <c r="J5" s="186">
        <v>0</v>
      </c>
    </row>
    <row r="6" spans="1:10">
      <c r="A6" s="260">
        <v>42644</v>
      </c>
      <c r="B6" s="186" t="s">
        <v>459</v>
      </c>
      <c r="C6" s="262" t="s">
        <v>464</v>
      </c>
      <c r="D6" s="186">
        <v>0</v>
      </c>
      <c r="E6" s="186">
        <v>0</v>
      </c>
      <c r="F6" s="186">
        <v>0</v>
      </c>
      <c r="G6" s="258">
        <v>0</v>
      </c>
      <c r="H6" s="186">
        <v>31</v>
      </c>
      <c r="I6" s="186">
        <v>0</v>
      </c>
      <c r="J6" s="186">
        <v>0</v>
      </c>
    </row>
    <row r="7" spans="1:10">
      <c r="A7" s="260">
        <v>42644</v>
      </c>
      <c r="B7" s="186" t="s">
        <v>459</v>
      </c>
      <c r="C7" s="262" t="s">
        <v>465</v>
      </c>
      <c r="D7" s="186">
        <v>0</v>
      </c>
      <c r="E7" s="186">
        <v>0</v>
      </c>
      <c r="F7" s="186">
        <v>0</v>
      </c>
      <c r="G7" s="258">
        <v>0</v>
      </c>
      <c r="H7" s="186">
        <v>171</v>
      </c>
      <c r="I7" s="186">
        <v>0</v>
      </c>
      <c r="J7" s="186">
        <v>0</v>
      </c>
    </row>
    <row r="8" spans="1:10">
      <c r="A8" s="260">
        <v>42644</v>
      </c>
      <c r="B8" s="186" t="s">
        <v>459</v>
      </c>
      <c r="C8" s="262" t="s">
        <v>466</v>
      </c>
      <c r="D8" s="186">
        <v>3</v>
      </c>
      <c r="E8" s="186">
        <v>3</v>
      </c>
      <c r="F8" s="186">
        <v>0</v>
      </c>
      <c r="G8" s="258">
        <v>0</v>
      </c>
      <c r="H8" s="186">
        <v>255</v>
      </c>
      <c r="I8" s="186">
        <v>3</v>
      </c>
      <c r="J8" s="186">
        <v>0</v>
      </c>
    </row>
    <row r="9" spans="1:10">
      <c r="A9" s="260">
        <v>42644</v>
      </c>
      <c r="B9" s="186" t="s">
        <v>459</v>
      </c>
      <c r="C9" s="262" t="s">
        <v>467</v>
      </c>
      <c r="D9" s="186">
        <v>0</v>
      </c>
      <c r="E9" s="186">
        <v>0</v>
      </c>
      <c r="F9" s="186">
        <v>0</v>
      </c>
      <c r="G9" s="258">
        <v>0</v>
      </c>
      <c r="H9" s="186">
        <v>216</v>
      </c>
      <c r="I9" s="186">
        <v>0</v>
      </c>
      <c r="J9" s="186">
        <v>0</v>
      </c>
    </row>
    <row r="10" spans="1:10">
      <c r="A10" s="260">
        <v>42644</v>
      </c>
      <c r="B10" s="186" t="s">
        <v>459</v>
      </c>
      <c r="C10" s="262" t="s">
        <v>468</v>
      </c>
      <c r="D10" s="186">
        <v>0</v>
      </c>
      <c r="E10" s="186">
        <v>0</v>
      </c>
      <c r="F10" s="186">
        <v>0</v>
      </c>
      <c r="G10" s="258">
        <v>0</v>
      </c>
      <c r="H10" s="186">
        <v>8</v>
      </c>
      <c r="I10" s="186">
        <v>0</v>
      </c>
      <c r="J10" s="186">
        <v>0</v>
      </c>
    </row>
    <row r="11" spans="1:10">
      <c r="A11" s="260">
        <v>42644</v>
      </c>
      <c r="B11" s="186" t="s">
        <v>459</v>
      </c>
      <c r="C11" s="262" t="s">
        <v>469</v>
      </c>
      <c r="D11" s="186">
        <v>0</v>
      </c>
      <c r="E11" s="186">
        <v>0</v>
      </c>
      <c r="F11" s="186">
        <v>0</v>
      </c>
      <c r="G11" s="258">
        <v>0</v>
      </c>
      <c r="H11" s="186">
        <v>106</v>
      </c>
      <c r="I11" s="186">
        <v>0</v>
      </c>
      <c r="J11" s="186">
        <v>0</v>
      </c>
    </row>
    <row r="12" spans="1:10">
      <c r="A12" s="260">
        <v>42644</v>
      </c>
      <c r="B12" s="186" t="s">
        <v>459</v>
      </c>
      <c r="C12" s="262" t="s">
        <v>470</v>
      </c>
      <c r="D12" s="186">
        <v>0</v>
      </c>
      <c r="E12" s="186">
        <v>0</v>
      </c>
      <c r="F12" s="186">
        <v>0</v>
      </c>
      <c r="G12" s="258">
        <v>0</v>
      </c>
      <c r="H12" s="186">
        <v>102</v>
      </c>
      <c r="I12" s="186">
        <v>0</v>
      </c>
      <c r="J12" s="186">
        <v>0</v>
      </c>
    </row>
    <row r="13" spans="1:10">
      <c r="A13" s="260">
        <v>42644</v>
      </c>
      <c r="B13" s="186" t="s">
        <v>459</v>
      </c>
      <c r="C13" s="262" t="s">
        <v>471</v>
      </c>
      <c r="D13" s="186">
        <v>0</v>
      </c>
      <c r="E13" s="186">
        <v>0</v>
      </c>
      <c r="F13" s="186">
        <v>0</v>
      </c>
      <c r="G13" s="258">
        <v>0</v>
      </c>
      <c r="H13" s="186">
        <v>3</v>
      </c>
      <c r="I13" s="186">
        <v>0</v>
      </c>
      <c r="J13" s="186">
        <v>0</v>
      </c>
    </row>
    <row r="14" spans="1:10">
      <c r="A14" s="188">
        <v>42645</v>
      </c>
      <c r="B14" s="186" t="s">
        <v>459</v>
      </c>
      <c r="C14" s="262" t="s">
        <v>460</v>
      </c>
      <c r="D14" s="186">
        <v>4</v>
      </c>
      <c r="E14" s="186">
        <v>6</v>
      </c>
      <c r="F14" s="186">
        <v>0</v>
      </c>
      <c r="G14" s="258">
        <v>1</v>
      </c>
      <c r="H14" s="186">
        <v>654</v>
      </c>
      <c r="I14" s="186">
        <v>6</v>
      </c>
      <c r="J14" s="186">
        <v>1</v>
      </c>
    </row>
    <row r="15" spans="1:10">
      <c r="A15" s="188">
        <v>42645</v>
      </c>
      <c r="B15" s="186" t="s">
        <v>459</v>
      </c>
      <c r="C15" s="262" t="s">
        <v>466</v>
      </c>
      <c r="D15" s="186">
        <v>2</v>
      </c>
      <c r="E15" s="186">
        <v>6</v>
      </c>
      <c r="F15" s="186">
        <v>1</v>
      </c>
      <c r="G15" s="258">
        <v>1</v>
      </c>
      <c r="H15" s="186">
        <v>256</v>
      </c>
      <c r="I15" s="186">
        <v>6</v>
      </c>
      <c r="J15" s="186">
        <v>1</v>
      </c>
    </row>
    <row r="16" spans="1:10">
      <c r="A16" s="188">
        <v>42645</v>
      </c>
      <c r="B16" s="186" t="s">
        <v>459</v>
      </c>
      <c r="C16" s="262" t="s">
        <v>461</v>
      </c>
      <c r="D16" s="186">
        <v>0</v>
      </c>
      <c r="E16" s="186">
        <v>0</v>
      </c>
      <c r="F16" s="186">
        <v>0</v>
      </c>
      <c r="G16" s="258">
        <v>0</v>
      </c>
      <c r="H16" s="186">
        <v>1515</v>
      </c>
      <c r="I16" s="186">
        <v>0</v>
      </c>
      <c r="J16" s="186">
        <v>0</v>
      </c>
    </row>
    <row r="17" spans="1:10">
      <c r="A17" s="188">
        <v>42645</v>
      </c>
      <c r="B17" s="186" t="s">
        <v>459</v>
      </c>
      <c r="C17" s="262" t="s">
        <v>462</v>
      </c>
      <c r="D17" s="186">
        <v>0</v>
      </c>
      <c r="E17" s="186">
        <v>0</v>
      </c>
      <c r="F17" s="186">
        <v>0</v>
      </c>
      <c r="G17" s="258">
        <v>0</v>
      </c>
      <c r="H17" s="186">
        <v>87</v>
      </c>
      <c r="I17" s="186">
        <v>0</v>
      </c>
      <c r="J17" s="186">
        <v>0</v>
      </c>
    </row>
    <row r="18" spans="1:10">
      <c r="A18" s="188">
        <v>42645</v>
      </c>
      <c r="B18" s="186" t="s">
        <v>459</v>
      </c>
      <c r="C18" s="262" t="s">
        <v>463</v>
      </c>
      <c r="D18" s="186">
        <v>0</v>
      </c>
      <c r="E18" s="186">
        <v>0</v>
      </c>
      <c r="F18" s="186">
        <v>0</v>
      </c>
      <c r="G18" s="258">
        <v>0</v>
      </c>
      <c r="H18" s="186">
        <v>3</v>
      </c>
      <c r="I18" s="186">
        <v>0</v>
      </c>
      <c r="J18" s="186">
        <v>0</v>
      </c>
    </row>
    <row r="19" spans="1:10">
      <c r="A19" s="188">
        <v>42645</v>
      </c>
      <c r="B19" s="186" t="s">
        <v>459</v>
      </c>
      <c r="C19" s="262" t="s">
        <v>464</v>
      </c>
      <c r="D19" s="186">
        <v>0</v>
      </c>
      <c r="E19" s="186">
        <v>0</v>
      </c>
      <c r="F19" s="186">
        <v>0</v>
      </c>
      <c r="G19" s="258">
        <v>0</v>
      </c>
      <c r="H19" s="186">
        <v>67</v>
      </c>
      <c r="I19" s="186">
        <v>0</v>
      </c>
      <c r="J19" s="186">
        <v>0</v>
      </c>
    </row>
    <row r="20" spans="1:10">
      <c r="A20" s="188">
        <v>42645</v>
      </c>
      <c r="B20" s="186" t="s">
        <v>459</v>
      </c>
      <c r="C20" s="262" t="s">
        <v>465</v>
      </c>
      <c r="D20" s="186">
        <v>0</v>
      </c>
      <c r="E20" s="186">
        <v>0</v>
      </c>
      <c r="F20" s="186">
        <v>0</v>
      </c>
      <c r="G20" s="258">
        <v>0</v>
      </c>
      <c r="H20" s="186">
        <v>173</v>
      </c>
      <c r="I20" s="186">
        <v>0</v>
      </c>
      <c r="J20" s="186">
        <v>0</v>
      </c>
    </row>
    <row r="21" spans="1:10">
      <c r="A21" s="188">
        <v>42645</v>
      </c>
      <c r="B21" s="186" t="s">
        <v>459</v>
      </c>
      <c r="C21" s="262" t="s">
        <v>467</v>
      </c>
      <c r="D21" s="186">
        <v>0</v>
      </c>
      <c r="E21" s="186">
        <v>0</v>
      </c>
      <c r="F21" s="186">
        <v>0</v>
      </c>
      <c r="G21" s="258">
        <v>0</v>
      </c>
      <c r="H21" s="186">
        <v>402</v>
      </c>
      <c r="I21" s="186">
        <v>0</v>
      </c>
      <c r="J21" s="186">
        <v>0</v>
      </c>
    </row>
    <row r="22" spans="1:10">
      <c r="A22" s="188">
        <v>42645</v>
      </c>
      <c r="B22" s="186" t="s">
        <v>459</v>
      </c>
      <c r="C22" s="262" t="s">
        <v>472</v>
      </c>
      <c r="D22" s="186">
        <v>0</v>
      </c>
      <c r="E22" s="186">
        <v>0</v>
      </c>
      <c r="F22" s="186">
        <v>0</v>
      </c>
      <c r="G22" s="258">
        <v>0</v>
      </c>
      <c r="H22" s="186">
        <v>1</v>
      </c>
      <c r="I22" s="186">
        <v>0</v>
      </c>
      <c r="J22" s="186">
        <v>0</v>
      </c>
    </row>
    <row r="23" spans="1:10">
      <c r="A23" s="188">
        <v>42645</v>
      </c>
      <c r="B23" s="186" t="s">
        <v>459</v>
      </c>
      <c r="C23" s="262" t="s">
        <v>468</v>
      </c>
      <c r="D23" s="186">
        <v>0</v>
      </c>
      <c r="E23" s="186">
        <v>0</v>
      </c>
      <c r="F23" s="186">
        <v>0</v>
      </c>
      <c r="G23" s="258">
        <v>0</v>
      </c>
      <c r="H23" s="186">
        <v>14</v>
      </c>
      <c r="I23" s="186">
        <v>0</v>
      </c>
      <c r="J23" s="186">
        <v>0</v>
      </c>
    </row>
    <row r="24" spans="1:10">
      <c r="A24" s="188">
        <v>42645</v>
      </c>
      <c r="B24" s="186" t="s">
        <v>459</v>
      </c>
      <c r="C24" s="262" t="s">
        <v>469</v>
      </c>
      <c r="D24" s="186">
        <v>0</v>
      </c>
      <c r="E24" s="186">
        <v>0</v>
      </c>
      <c r="F24" s="186">
        <v>0</v>
      </c>
      <c r="G24" s="258">
        <v>0</v>
      </c>
      <c r="H24" s="186">
        <v>205</v>
      </c>
      <c r="I24" s="186">
        <v>0</v>
      </c>
      <c r="J24" s="186">
        <v>0</v>
      </c>
    </row>
    <row r="25" spans="1:10">
      <c r="A25" s="188">
        <v>42645</v>
      </c>
      <c r="B25" s="186" t="s">
        <v>459</v>
      </c>
      <c r="C25" s="262" t="s">
        <v>470</v>
      </c>
      <c r="D25" s="186">
        <v>0</v>
      </c>
      <c r="E25" s="186">
        <v>0</v>
      </c>
      <c r="F25" s="186">
        <v>0</v>
      </c>
      <c r="G25" s="258">
        <v>0</v>
      </c>
      <c r="H25" s="186">
        <v>207</v>
      </c>
      <c r="I25" s="186">
        <v>0</v>
      </c>
      <c r="J25" s="186">
        <v>0</v>
      </c>
    </row>
    <row r="26" spans="1:10">
      <c r="A26" s="188">
        <v>42645</v>
      </c>
      <c r="B26" s="186" t="s">
        <v>459</v>
      </c>
      <c r="C26" s="262" t="s">
        <v>471</v>
      </c>
      <c r="D26" s="186">
        <v>0</v>
      </c>
      <c r="E26" s="186">
        <v>0</v>
      </c>
      <c r="F26" s="186">
        <v>0</v>
      </c>
      <c r="G26" s="258">
        <v>0</v>
      </c>
      <c r="H26" s="186">
        <v>7</v>
      </c>
      <c r="I26" s="186">
        <v>0</v>
      </c>
      <c r="J26" s="186">
        <v>0</v>
      </c>
    </row>
    <row r="27" spans="1:10">
      <c r="A27" s="188">
        <v>42646</v>
      </c>
      <c r="B27" s="186" t="s">
        <v>459</v>
      </c>
      <c r="C27" s="262" t="s">
        <v>466</v>
      </c>
      <c r="D27" s="186">
        <v>1</v>
      </c>
      <c r="E27" s="186">
        <v>7</v>
      </c>
      <c r="F27" s="186">
        <v>1</v>
      </c>
      <c r="G27" s="258">
        <v>2</v>
      </c>
      <c r="H27" s="186">
        <v>258</v>
      </c>
      <c r="I27" s="186">
        <v>7</v>
      </c>
      <c r="J27" s="186">
        <v>2</v>
      </c>
    </row>
    <row r="28" spans="1:10">
      <c r="A28" s="188">
        <v>42646</v>
      </c>
      <c r="B28" s="186" t="s">
        <v>459</v>
      </c>
      <c r="C28" s="262" t="s">
        <v>460</v>
      </c>
      <c r="D28" s="186">
        <v>2</v>
      </c>
      <c r="E28" s="186">
        <v>9</v>
      </c>
      <c r="F28" s="186">
        <v>0</v>
      </c>
      <c r="G28" s="258">
        <v>1</v>
      </c>
      <c r="H28" s="186">
        <v>944</v>
      </c>
      <c r="I28" s="186">
        <v>9</v>
      </c>
      <c r="J28" s="186">
        <v>1</v>
      </c>
    </row>
    <row r="29" spans="1:10">
      <c r="A29" s="188">
        <v>42646</v>
      </c>
      <c r="B29" s="186" t="s">
        <v>459</v>
      </c>
      <c r="C29" s="262" t="s">
        <v>461</v>
      </c>
      <c r="D29" s="186">
        <v>0</v>
      </c>
      <c r="E29" s="186">
        <v>0</v>
      </c>
      <c r="F29" s="186">
        <v>0</v>
      </c>
      <c r="G29" s="258">
        <v>0</v>
      </c>
      <c r="H29" s="186">
        <v>2046</v>
      </c>
      <c r="I29" s="186">
        <v>0</v>
      </c>
      <c r="J29" s="186">
        <v>0</v>
      </c>
    </row>
    <row r="30" spans="1:10">
      <c r="A30" s="188">
        <v>42646</v>
      </c>
      <c r="B30" s="186" t="s">
        <v>459</v>
      </c>
      <c r="C30" s="262" t="s">
        <v>462</v>
      </c>
      <c r="D30" s="186">
        <v>0</v>
      </c>
      <c r="E30" s="186">
        <v>0</v>
      </c>
      <c r="F30" s="186">
        <v>0</v>
      </c>
      <c r="G30" s="258">
        <v>0</v>
      </c>
      <c r="H30" s="186">
        <v>129</v>
      </c>
      <c r="I30" s="186">
        <v>0</v>
      </c>
      <c r="J30" s="186">
        <v>0</v>
      </c>
    </row>
    <row r="31" spans="1:10">
      <c r="A31" s="188">
        <v>42646</v>
      </c>
      <c r="B31" s="186" t="s">
        <v>459</v>
      </c>
      <c r="C31" s="262" t="s">
        <v>463</v>
      </c>
      <c r="D31" s="186">
        <v>1</v>
      </c>
      <c r="E31" s="186">
        <v>1</v>
      </c>
      <c r="F31" s="186">
        <v>0</v>
      </c>
      <c r="G31" s="258">
        <v>0</v>
      </c>
      <c r="H31" s="186">
        <v>3</v>
      </c>
      <c r="I31" s="186">
        <v>1</v>
      </c>
      <c r="J31" s="186">
        <v>0</v>
      </c>
    </row>
    <row r="32" spans="1:10">
      <c r="A32" s="188">
        <v>42646</v>
      </c>
      <c r="B32" s="186" t="s">
        <v>459</v>
      </c>
      <c r="C32" s="262" t="s">
        <v>464</v>
      </c>
      <c r="D32" s="186">
        <v>0</v>
      </c>
      <c r="E32" s="186">
        <v>0</v>
      </c>
      <c r="F32" s="186">
        <v>0</v>
      </c>
      <c r="G32" s="258">
        <v>0</v>
      </c>
      <c r="H32" s="186">
        <v>106</v>
      </c>
      <c r="I32" s="186">
        <v>0</v>
      </c>
      <c r="J32" s="186">
        <v>0</v>
      </c>
    </row>
    <row r="33" spans="1:10">
      <c r="A33" s="188">
        <v>42646</v>
      </c>
      <c r="B33" s="186" t="s">
        <v>459</v>
      </c>
      <c r="C33" s="262" t="s">
        <v>465</v>
      </c>
      <c r="D33" s="186">
        <v>0</v>
      </c>
      <c r="E33" s="186">
        <v>0</v>
      </c>
      <c r="F33" s="186">
        <v>0</v>
      </c>
      <c r="G33" s="258">
        <v>0</v>
      </c>
      <c r="H33" s="186">
        <v>175</v>
      </c>
      <c r="I33" s="186">
        <v>0</v>
      </c>
      <c r="J33" s="186">
        <v>0</v>
      </c>
    </row>
    <row r="34" spans="1:10">
      <c r="A34" s="188">
        <v>42646</v>
      </c>
      <c r="B34" s="186" t="s">
        <v>459</v>
      </c>
      <c r="C34" s="262" t="s">
        <v>467</v>
      </c>
      <c r="D34" s="186">
        <v>0</v>
      </c>
      <c r="E34" s="186">
        <v>0</v>
      </c>
      <c r="F34" s="186">
        <v>0</v>
      </c>
      <c r="G34" s="258">
        <v>0</v>
      </c>
      <c r="H34" s="186">
        <v>581</v>
      </c>
      <c r="I34" s="186">
        <v>0</v>
      </c>
      <c r="J34" s="186">
        <v>0</v>
      </c>
    </row>
    <row r="35" spans="1:10">
      <c r="A35" s="188">
        <v>42646</v>
      </c>
      <c r="B35" s="186" t="s">
        <v>459</v>
      </c>
      <c r="C35" s="262" t="s">
        <v>472</v>
      </c>
      <c r="D35" s="186">
        <v>0</v>
      </c>
      <c r="E35" s="186">
        <v>0</v>
      </c>
      <c r="F35" s="186">
        <v>0</v>
      </c>
      <c r="G35" s="258">
        <v>0</v>
      </c>
      <c r="H35" s="186">
        <v>1</v>
      </c>
      <c r="I35" s="186">
        <v>0</v>
      </c>
      <c r="J35" s="186">
        <v>0</v>
      </c>
    </row>
    <row r="36" spans="1:10">
      <c r="A36" s="188">
        <v>42646</v>
      </c>
      <c r="B36" s="186" t="s">
        <v>459</v>
      </c>
      <c r="C36" s="262" t="s">
        <v>468</v>
      </c>
      <c r="D36" s="186">
        <v>0</v>
      </c>
      <c r="E36" s="186">
        <v>0</v>
      </c>
      <c r="F36" s="186">
        <v>0</v>
      </c>
      <c r="G36" s="258">
        <v>0</v>
      </c>
      <c r="H36" s="186">
        <v>17</v>
      </c>
      <c r="I36" s="186">
        <v>0</v>
      </c>
      <c r="J36" s="186">
        <v>0</v>
      </c>
    </row>
    <row r="37" spans="1:10">
      <c r="A37" s="188">
        <v>42646</v>
      </c>
      <c r="B37" s="186" t="s">
        <v>459</v>
      </c>
      <c r="C37" s="262" t="s">
        <v>469</v>
      </c>
      <c r="D37" s="186">
        <v>0</v>
      </c>
      <c r="E37" s="186">
        <v>0</v>
      </c>
      <c r="F37" s="186">
        <v>0</v>
      </c>
      <c r="G37" s="258">
        <v>0</v>
      </c>
      <c r="H37" s="186">
        <v>276</v>
      </c>
      <c r="I37" s="186">
        <v>0</v>
      </c>
      <c r="J37" s="186">
        <v>0</v>
      </c>
    </row>
    <row r="38" spans="1:10">
      <c r="A38" s="188">
        <v>42646</v>
      </c>
      <c r="B38" s="186" t="s">
        <v>459</v>
      </c>
      <c r="C38" s="262" t="s">
        <v>470</v>
      </c>
      <c r="D38" s="186">
        <v>1</v>
      </c>
      <c r="E38" s="186">
        <v>1</v>
      </c>
      <c r="F38" s="186">
        <v>0</v>
      </c>
      <c r="G38" s="258">
        <v>0</v>
      </c>
      <c r="H38" s="186">
        <v>299</v>
      </c>
      <c r="I38" s="186">
        <v>1</v>
      </c>
      <c r="J38" s="186">
        <v>0</v>
      </c>
    </row>
    <row r="39" spans="1:10">
      <c r="A39" s="188">
        <v>42646</v>
      </c>
      <c r="B39" s="186" t="s">
        <v>459</v>
      </c>
      <c r="C39" s="262" t="s">
        <v>471</v>
      </c>
      <c r="D39" s="186">
        <v>0</v>
      </c>
      <c r="E39" s="186">
        <v>0</v>
      </c>
      <c r="F39" s="186">
        <v>0</v>
      </c>
      <c r="G39" s="258">
        <v>0</v>
      </c>
      <c r="H39" s="186">
        <v>13</v>
      </c>
      <c r="I39" s="186">
        <v>0</v>
      </c>
      <c r="J39" s="186">
        <v>0</v>
      </c>
    </row>
    <row r="40" spans="1:10">
      <c r="A40" s="188">
        <v>42647</v>
      </c>
      <c r="B40" s="186" t="s">
        <v>459</v>
      </c>
      <c r="C40" s="262" t="s">
        <v>466</v>
      </c>
      <c r="D40" s="186">
        <v>0</v>
      </c>
      <c r="E40" s="186">
        <v>7</v>
      </c>
      <c r="F40" s="186">
        <v>0</v>
      </c>
      <c r="G40" s="258">
        <v>2</v>
      </c>
      <c r="H40" s="186">
        <v>259</v>
      </c>
      <c r="I40" s="186">
        <v>7</v>
      </c>
      <c r="J40" s="186">
        <v>2</v>
      </c>
    </row>
    <row r="41" spans="1:10">
      <c r="A41" s="188">
        <v>42647</v>
      </c>
      <c r="B41" s="186" t="s">
        <v>459</v>
      </c>
      <c r="C41" s="262" t="s">
        <v>460</v>
      </c>
      <c r="D41" s="186">
        <v>5</v>
      </c>
      <c r="E41" s="186">
        <v>14</v>
      </c>
      <c r="F41" s="186">
        <v>0</v>
      </c>
      <c r="G41" s="258">
        <v>1</v>
      </c>
      <c r="H41" s="186">
        <v>1217</v>
      </c>
      <c r="I41" s="186">
        <v>14</v>
      </c>
      <c r="J41" s="186">
        <v>1</v>
      </c>
    </row>
    <row r="42" spans="1:10">
      <c r="A42" s="188">
        <v>42647</v>
      </c>
      <c r="B42" s="186" t="s">
        <v>459</v>
      </c>
      <c r="C42" s="262" t="s">
        <v>461</v>
      </c>
      <c r="D42" s="186">
        <v>0</v>
      </c>
      <c r="E42" s="186">
        <v>0</v>
      </c>
      <c r="F42" s="186">
        <v>0</v>
      </c>
      <c r="G42" s="258">
        <v>0</v>
      </c>
      <c r="H42" s="186">
        <v>2515</v>
      </c>
      <c r="I42" s="186">
        <v>0</v>
      </c>
      <c r="J42" s="186">
        <v>0</v>
      </c>
    </row>
    <row r="43" spans="1:10">
      <c r="A43" s="188">
        <v>42647</v>
      </c>
      <c r="B43" s="186" t="s">
        <v>459</v>
      </c>
      <c r="C43" s="262" t="s">
        <v>462</v>
      </c>
      <c r="D43" s="186">
        <v>0</v>
      </c>
      <c r="E43" s="186">
        <v>0</v>
      </c>
      <c r="F43" s="186">
        <v>0</v>
      </c>
      <c r="G43" s="258">
        <v>0</v>
      </c>
      <c r="H43" s="186">
        <v>182</v>
      </c>
      <c r="I43" s="186">
        <v>0</v>
      </c>
      <c r="J43" s="186">
        <v>0</v>
      </c>
    </row>
    <row r="44" spans="1:10">
      <c r="A44" s="188">
        <v>42647</v>
      </c>
      <c r="B44" s="186" t="s">
        <v>459</v>
      </c>
      <c r="C44" s="262" t="s">
        <v>463</v>
      </c>
      <c r="D44" s="186">
        <v>0</v>
      </c>
      <c r="E44" s="186">
        <v>1</v>
      </c>
      <c r="F44" s="186">
        <v>0</v>
      </c>
      <c r="G44" s="258">
        <v>0</v>
      </c>
      <c r="H44" s="186">
        <v>3</v>
      </c>
      <c r="I44" s="186">
        <v>1</v>
      </c>
      <c r="J44" s="186">
        <v>0</v>
      </c>
    </row>
    <row r="45" spans="1:10">
      <c r="A45" s="188">
        <v>42647</v>
      </c>
      <c r="B45" s="186" t="s">
        <v>459</v>
      </c>
      <c r="C45" s="262" t="s">
        <v>464</v>
      </c>
      <c r="D45" s="186">
        <v>0</v>
      </c>
      <c r="E45" s="186">
        <v>0</v>
      </c>
      <c r="F45" s="186">
        <v>0</v>
      </c>
      <c r="G45" s="258">
        <v>0</v>
      </c>
      <c r="H45" s="186">
        <v>155</v>
      </c>
      <c r="I45" s="186">
        <v>0</v>
      </c>
      <c r="J45" s="186">
        <v>0</v>
      </c>
    </row>
    <row r="46" spans="1:10">
      <c r="A46" s="188">
        <v>42647</v>
      </c>
      <c r="B46" s="186" t="s">
        <v>459</v>
      </c>
      <c r="C46" s="262" t="s">
        <v>465</v>
      </c>
      <c r="D46" s="186">
        <v>0</v>
      </c>
      <c r="E46" s="186">
        <v>0</v>
      </c>
      <c r="F46" s="186">
        <v>0</v>
      </c>
      <c r="G46" s="258">
        <v>0</v>
      </c>
      <c r="H46" s="186">
        <v>175</v>
      </c>
      <c r="I46" s="186">
        <v>0</v>
      </c>
      <c r="J46" s="186">
        <v>0</v>
      </c>
    </row>
    <row r="47" spans="1:10">
      <c r="A47" s="188">
        <v>42647</v>
      </c>
      <c r="B47" s="186" t="s">
        <v>459</v>
      </c>
      <c r="C47" s="262" t="s">
        <v>467</v>
      </c>
      <c r="D47" s="186">
        <v>2</v>
      </c>
      <c r="E47" s="186">
        <v>2</v>
      </c>
      <c r="F47" s="186">
        <v>0</v>
      </c>
      <c r="G47" s="258">
        <v>0</v>
      </c>
      <c r="H47" s="186">
        <v>764</v>
      </c>
      <c r="I47" s="186">
        <v>2</v>
      </c>
      <c r="J47" s="186">
        <v>0</v>
      </c>
    </row>
    <row r="48" spans="1:10">
      <c r="A48" s="188">
        <v>42647</v>
      </c>
      <c r="B48" s="186" t="s">
        <v>459</v>
      </c>
      <c r="C48" s="262" t="s">
        <v>472</v>
      </c>
      <c r="D48" s="186">
        <v>0</v>
      </c>
      <c r="E48" s="186">
        <v>0</v>
      </c>
      <c r="F48" s="186">
        <v>0</v>
      </c>
      <c r="G48" s="258">
        <v>0</v>
      </c>
      <c r="H48" s="186">
        <v>1</v>
      </c>
      <c r="I48" s="186">
        <v>0</v>
      </c>
      <c r="J48" s="186">
        <v>0</v>
      </c>
    </row>
    <row r="49" spans="1:10">
      <c r="A49" s="188">
        <v>42647</v>
      </c>
      <c r="B49" s="186" t="s">
        <v>459</v>
      </c>
      <c r="C49" s="262" t="s">
        <v>468</v>
      </c>
      <c r="D49" s="186">
        <v>0</v>
      </c>
      <c r="E49" s="186">
        <v>0</v>
      </c>
      <c r="F49" s="186">
        <v>0</v>
      </c>
      <c r="G49" s="258">
        <v>0</v>
      </c>
      <c r="H49" s="186">
        <v>23</v>
      </c>
      <c r="I49" s="186">
        <v>0</v>
      </c>
      <c r="J49" s="186">
        <v>0</v>
      </c>
    </row>
    <row r="50" spans="1:10">
      <c r="A50" s="188">
        <v>42647</v>
      </c>
      <c r="B50" s="186" t="s">
        <v>459</v>
      </c>
      <c r="C50" s="262" t="s">
        <v>469</v>
      </c>
      <c r="D50" s="186">
        <v>0</v>
      </c>
      <c r="E50" s="186">
        <v>0</v>
      </c>
      <c r="F50" s="186">
        <v>0</v>
      </c>
      <c r="G50" s="258">
        <v>0</v>
      </c>
      <c r="H50" s="186">
        <v>346</v>
      </c>
      <c r="I50" s="186">
        <v>0</v>
      </c>
      <c r="J50" s="186">
        <v>0</v>
      </c>
    </row>
    <row r="51" spans="1:10">
      <c r="A51" s="188">
        <v>42647</v>
      </c>
      <c r="B51" s="186" t="s">
        <v>459</v>
      </c>
      <c r="C51" s="262" t="s">
        <v>470</v>
      </c>
      <c r="D51" s="186">
        <v>0</v>
      </c>
      <c r="E51" s="186">
        <v>1</v>
      </c>
      <c r="F51" s="186">
        <v>0</v>
      </c>
      <c r="G51" s="258">
        <v>0</v>
      </c>
      <c r="H51" s="186">
        <v>389</v>
      </c>
      <c r="I51" s="186">
        <v>1</v>
      </c>
      <c r="J51" s="186">
        <v>0</v>
      </c>
    </row>
    <row r="52" spans="1:10">
      <c r="A52" s="188">
        <v>42647</v>
      </c>
      <c r="B52" s="186" t="s">
        <v>459</v>
      </c>
      <c r="C52" s="262" t="s">
        <v>471</v>
      </c>
      <c r="D52" s="186">
        <v>0</v>
      </c>
      <c r="E52" s="186">
        <v>0</v>
      </c>
      <c r="F52" s="186">
        <v>0</v>
      </c>
      <c r="G52" s="258">
        <v>0</v>
      </c>
      <c r="H52" s="186">
        <v>17</v>
      </c>
      <c r="I52" s="186">
        <v>0</v>
      </c>
      <c r="J52" s="186">
        <v>0</v>
      </c>
    </row>
    <row r="53" spans="1:10">
      <c r="A53" s="188">
        <v>42648</v>
      </c>
      <c r="B53" s="186" t="s">
        <v>459</v>
      </c>
      <c r="C53" s="262" t="s">
        <v>466</v>
      </c>
      <c r="D53" s="186">
        <v>0</v>
      </c>
      <c r="E53" s="186">
        <v>8</v>
      </c>
      <c r="F53" s="186">
        <v>0</v>
      </c>
      <c r="G53" s="258">
        <v>2</v>
      </c>
      <c r="H53" s="186">
        <v>259</v>
      </c>
      <c r="I53" s="186">
        <v>8</v>
      </c>
      <c r="J53" s="186">
        <v>2</v>
      </c>
    </row>
    <row r="54" spans="1:10">
      <c r="A54" s="188">
        <v>42648</v>
      </c>
      <c r="B54" s="186" t="s">
        <v>459</v>
      </c>
      <c r="C54" s="262" t="s">
        <v>460</v>
      </c>
      <c r="D54" s="186">
        <v>4</v>
      </c>
      <c r="E54" s="186">
        <v>18</v>
      </c>
      <c r="F54" s="186">
        <v>0</v>
      </c>
      <c r="G54" s="258">
        <v>1</v>
      </c>
      <c r="H54" s="186">
        <v>1470</v>
      </c>
      <c r="I54" s="186">
        <v>18</v>
      </c>
      <c r="J54" s="186">
        <v>1</v>
      </c>
    </row>
    <row r="55" spans="1:10">
      <c r="A55" s="188">
        <v>42648</v>
      </c>
      <c r="B55" s="186" t="s">
        <v>459</v>
      </c>
      <c r="C55" s="262" t="s">
        <v>467</v>
      </c>
      <c r="D55" s="186">
        <v>2</v>
      </c>
      <c r="E55" s="186">
        <v>4</v>
      </c>
      <c r="F55" s="186">
        <v>1</v>
      </c>
      <c r="G55" s="258">
        <v>1</v>
      </c>
      <c r="H55" s="186">
        <v>914</v>
      </c>
      <c r="I55" s="186">
        <v>4</v>
      </c>
      <c r="J55" s="186">
        <v>1</v>
      </c>
    </row>
    <row r="56" spans="1:10">
      <c r="A56" s="188">
        <v>42648</v>
      </c>
      <c r="B56" s="186" t="s">
        <v>459</v>
      </c>
      <c r="C56" s="262" t="s">
        <v>461</v>
      </c>
      <c r="D56" s="186">
        <v>0</v>
      </c>
      <c r="E56" s="186">
        <v>0</v>
      </c>
      <c r="F56" s="186">
        <v>0</v>
      </c>
      <c r="G56" s="258">
        <v>0</v>
      </c>
      <c r="H56" s="186">
        <v>2975</v>
      </c>
      <c r="I56" s="186">
        <v>0</v>
      </c>
      <c r="J56" s="186">
        <v>0</v>
      </c>
    </row>
    <row r="57" spans="1:10">
      <c r="A57" s="188">
        <v>42648</v>
      </c>
      <c r="B57" s="186" t="s">
        <v>459</v>
      </c>
      <c r="C57" s="262" t="s">
        <v>462</v>
      </c>
      <c r="D57" s="186">
        <v>0</v>
      </c>
      <c r="E57" s="186">
        <v>0</v>
      </c>
      <c r="F57" s="186">
        <v>0</v>
      </c>
      <c r="G57" s="258">
        <v>0</v>
      </c>
      <c r="H57" s="186">
        <v>222</v>
      </c>
      <c r="I57" s="186">
        <v>0</v>
      </c>
      <c r="J57" s="186">
        <v>0</v>
      </c>
    </row>
    <row r="58" spans="1:10">
      <c r="A58" s="188">
        <v>42648</v>
      </c>
      <c r="B58" s="186" t="s">
        <v>459</v>
      </c>
      <c r="C58" s="262" t="s">
        <v>463</v>
      </c>
      <c r="D58" s="186">
        <v>0</v>
      </c>
      <c r="E58" s="186">
        <v>1</v>
      </c>
      <c r="F58" s="186">
        <v>0</v>
      </c>
      <c r="G58" s="258">
        <v>0</v>
      </c>
      <c r="H58" s="186">
        <v>3</v>
      </c>
      <c r="I58" s="186">
        <v>1</v>
      </c>
      <c r="J58" s="186">
        <v>0</v>
      </c>
    </row>
    <row r="59" spans="1:10">
      <c r="A59" s="188">
        <v>42648</v>
      </c>
      <c r="B59" s="186" t="s">
        <v>459</v>
      </c>
      <c r="C59" s="262" t="s">
        <v>464</v>
      </c>
      <c r="D59" s="186">
        <v>0</v>
      </c>
      <c r="E59" s="186">
        <v>0</v>
      </c>
      <c r="F59" s="186">
        <v>0</v>
      </c>
      <c r="G59" s="258">
        <v>0</v>
      </c>
      <c r="H59" s="186">
        <v>202</v>
      </c>
      <c r="I59" s="186">
        <v>0</v>
      </c>
      <c r="J59" s="186">
        <v>0</v>
      </c>
    </row>
    <row r="60" spans="1:10">
      <c r="A60" s="188">
        <v>42648</v>
      </c>
      <c r="B60" s="186" t="s">
        <v>459</v>
      </c>
      <c r="C60" s="262" t="s">
        <v>465</v>
      </c>
      <c r="D60" s="186">
        <v>0</v>
      </c>
      <c r="E60" s="186">
        <v>1</v>
      </c>
      <c r="F60" s="186">
        <v>0</v>
      </c>
      <c r="G60" s="258">
        <v>0</v>
      </c>
      <c r="H60" s="186">
        <v>175</v>
      </c>
      <c r="I60" s="186">
        <v>1</v>
      </c>
      <c r="J60" s="186">
        <v>0</v>
      </c>
    </row>
    <row r="61" spans="1:10">
      <c r="A61" s="188">
        <v>42648</v>
      </c>
      <c r="B61" s="186" t="s">
        <v>459</v>
      </c>
      <c r="C61" s="262" t="s">
        <v>472</v>
      </c>
      <c r="D61" s="186">
        <v>0</v>
      </c>
      <c r="E61" s="186">
        <v>0</v>
      </c>
      <c r="F61" s="186">
        <v>0</v>
      </c>
      <c r="G61" s="258">
        <v>0</v>
      </c>
      <c r="H61" s="186">
        <v>1</v>
      </c>
      <c r="I61" s="186">
        <v>0</v>
      </c>
      <c r="J61" s="186">
        <v>0</v>
      </c>
    </row>
    <row r="62" spans="1:10">
      <c r="A62" s="188">
        <v>42648</v>
      </c>
      <c r="B62" s="186" t="s">
        <v>459</v>
      </c>
      <c r="C62" s="262" t="s">
        <v>468</v>
      </c>
      <c r="D62" s="186">
        <v>0</v>
      </c>
      <c r="E62" s="186">
        <v>0</v>
      </c>
      <c r="F62" s="186">
        <v>0</v>
      </c>
      <c r="G62" s="258">
        <v>0</v>
      </c>
      <c r="H62" s="186">
        <v>29</v>
      </c>
      <c r="I62" s="186">
        <v>0</v>
      </c>
      <c r="J62" s="186">
        <v>0</v>
      </c>
    </row>
    <row r="63" spans="1:10">
      <c r="A63" s="188">
        <v>42648</v>
      </c>
      <c r="B63" s="186" t="s">
        <v>459</v>
      </c>
      <c r="C63" s="262" t="s">
        <v>469</v>
      </c>
      <c r="D63" s="186">
        <v>0</v>
      </c>
      <c r="E63" s="186">
        <v>0</v>
      </c>
      <c r="F63" s="186">
        <v>0</v>
      </c>
      <c r="G63" s="258">
        <v>0</v>
      </c>
      <c r="H63" s="186">
        <v>438</v>
      </c>
      <c r="I63" s="186">
        <v>0</v>
      </c>
      <c r="J63" s="186">
        <v>0</v>
      </c>
    </row>
    <row r="64" spans="1:10">
      <c r="A64" s="188">
        <v>42648</v>
      </c>
      <c r="B64" s="186" t="s">
        <v>459</v>
      </c>
      <c r="C64" s="262" t="s">
        <v>470</v>
      </c>
      <c r="D64" s="186">
        <v>0</v>
      </c>
      <c r="E64" s="186">
        <v>1</v>
      </c>
      <c r="F64" s="186">
        <v>0</v>
      </c>
      <c r="G64" s="258">
        <v>0</v>
      </c>
      <c r="H64" s="186">
        <v>504</v>
      </c>
      <c r="I64" s="186">
        <v>1</v>
      </c>
      <c r="J64" s="186">
        <v>0</v>
      </c>
    </row>
    <row r="65" spans="1:10">
      <c r="A65" s="188">
        <v>42648</v>
      </c>
      <c r="B65" s="186" t="s">
        <v>459</v>
      </c>
      <c r="C65" s="262" t="s">
        <v>471</v>
      </c>
      <c r="D65" s="186">
        <v>0</v>
      </c>
      <c r="E65" s="186">
        <v>0</v>
      </c>
      <c r="F65" s="186">
        <v>0</v>
      </c>
      <c r="G65" s="258">
        <v>0</v>
      </c>
      <c r="H65" s="186">
        <v>24</v>
      </c>
      <c r="I65" s="186">
        <v>0</v>
      </c>
      <c r="J65" s="186">
        <v>0</v>
      </c>
    </row>
    <row r="66" spans="1:10">
      <c r="A66" s="188">
        <v>42649</v>
      </c>
      <c r="B66" s="186" t="s">
        <v>459</v>
      </c>
      <c r="C66" s="262" t="s">
        <v>466</v>
      </c>
      <c r="D66" s="186">
        <v>0</v>
      </c>
      <c r="E66" s="186">
        <v>8</v>
      </c>
      <c r="F66" s="186">
        <v>0</v>
      </c>
      <c r="G66" s="258">
        <v>2</v>
      </c>
      <c r="H66" s="186">
        <v>262</v>
      </c>
      <c r="I66" s="186">
        <v>8</v>
      </c>
      <c r="J66" s="186">
        <v>2</v>
      </c>
    </row>
    <row r="67" spans="1:10">
      <c r="A67" s="188">
        <v>42649</v>
      </c>
      <c r="B67" s="186" t="s">
        <v>459</v>
      </c>
      <c r="C67" s="262" t="s">
        <v>460</v>
      </c>
      <c r="D67" s="186">
        <v>3</v>
      </c>
      <c r="E67" s="186">
        <v>21</v>
      </c>
      <c r="F67" s="186">
        <v>0</v>
      </c>
      <c r="G67" s="258">
        <v>1</v>
      </c>
      <c r="H67" s="186">
        <v>1682</v>
      </c>
      <c r="I67" s="186">
        <v>21</v>
      </c>
      <c r="J67" s="186">
        <v>1</v>
      </c>
    </row>
    <row r="68" spans="1:10">
      <c r="A68" s="188">
        <v>42649</v>
      </c>
      <c r="B68" s="186" t="s">
        <v>459</v>
      </c>
      <c r="C68" s="262" t="s">
        <v>467</v>
      </c>
      <c r="D68" s="186">
        <v>3</v>
      </c>
      <c r="E68" s="186">
        <v>7</v>
      </c>
      <c r="F68" s="186">
        <v>0</v>
      </c>
      <c r="G68" s="258">
        <v>1</v>
      </c>
      <c r="H68" s="186">
        <v>1047</v>
      </c>
      <c r="I68" s="186">
        <v>7</v>
      </c>
      <c r="J68" s="186">
        <v>1</v>
      </c>
    </row>
    <row r="69" spans="1:10">
      <c r="A69" s="188">
        <v>42649</v>
      </c>
      <c r="B69" s="186" t="s">
        <v>459</v>
      </c>
      <c r="C69" s="262" t="s">
        <v>461</v>
      </c>
      <c r="D69" s="186">
        <v>0</v>
      </c>
      <c r="E69" s="186">
        <v>0</v>
      </c>
      <c r="F69" s="186">
        <v>0</v>
      </c>
      <c r="G69" s="258">
        <v>0</v>
      </c>
      <c r="H69" s="186">
        <v>3398</v>
      </c>
      <c r="I69" s="186">
        <v>0</v>
      </c>
      <c r="J69" s="186">
        <v>0</v>
      </c>
    </row>
    <row r="70" spans="1:10">
      <c r="A70" s="188">
        <v>42649</v>
      </c>
      <c r="B70" s="186" t="s">
        <v>459</v>
      </c>
      <c r="C70" s="262" t="s">
        <v>462</v>
      </c>
      <c r="D70" s="186">
        <v>0</v>
      </c>
      <c r="E70" s="186">
        <v>0</v>
      </c>
      <c r="F70" s="186">
        <v>0</v>
      </c>
      <c r="G70" s="258">
        <v>0</v>
      </c>
      <c r="H70" s="186">
        <v>267</v>
      </c>
      <c r="I70" s="186">
        <v>0</v>
      </c>
      <c r="J70" s="186">
        <v>0</v>
      </c>
    </row>
    <row r="71" spans="1:10">
      <c r="A71" s="188">
        <v>42649</v>
      </c>
      <c r="B71" s="186" t="s">
        <v>459</v>
      </c>
      <c r="C71" s="262" t="s">
        <v>463</v>
      </c>
      <c r="D71" s="186">
        <v>0</v>
      </c>
      <c r="E71" s="186">
        <v>1</v>
      </c>
      <c r="F71" s="186">
        <v>0</v>
      </c>
      <c r="G71" s="258">
        <v>0</v>
      </c>
      <c r="H71" s="186">
        <v>4</v>
      </c>
      <c r="I71" s="186">
        <v>1</v>
      </c>
      <c r="J71" s="186">
        <v>0</v>
      </c>
    </row>
    <row r="72" spans="1:10">
      <c r="A72" s="188">
        <v>42649</v>
      </c>
      <c r="B72" s="186" t="s">
        <v>459</v>
      </c>
      <c r="C72" s="262" t="s">
        <v>464</v>
      </c>
      <c r="D72" s="186">
        <v>0</v>
      </c>
      <c r="E72" s="186">
        <v>0</v>
      </c>
      <c r="F72" s="186">
        <v>0</v>
      </c>
      <c r="G72" s="258">
        <v>0</v>
      </c>
      <c r="H72" s="186">
        <v>239</v>
      </c>
      <c r="I72" s="186">
        <v>0</v>
      </c>
      <c r="J72" s="186">
        <v>0</v>
      </c>
    </row>
    <row r="73" spans="1:10">
      <c r="A73" s="188">
        <v>42649</v>
      </c>
      <c r="B73" s="186" t="s">
        <v>459</v>
      </c>
      <c r="C73" s="262" t="s">
        <v>465</v>
      </c>
      <c r="D73" s="186">
        <v>1</v>
      </c>
      <c r="E73" s="186">
        <v>2</v>
      </c>
      <c r="F73" s="186">
        <v>0</v>
      </c>
      <c r="G73" s="258">
        <v>0</v>
      </c>
      <c r="H73" s="186">
        <v>176</v>
      </c>
      <c r="I73" s="186">
        <v>2</v>
      </c>
      <c r="J73" s="186">
        <v>0</v>
      </c>
    </row>
    <row r="74" spans="1:10">
      <c r="A74" s="188">
        <v>42649</v>
      </c>
      <c r="B74" s="186" t="s">
        <v>459</v>
      </c>
      <c r="C74" s="262" t="s">
        <v>472</v>
      </c>
      <c r="D74" s="186">
        <v>0</v>
      </c>
      <c r="E74" s="186">
        <v>0</v>
      </c>
      <c r="F74" s="186">
        <v>0</v>
      </c>
      <c r="G74" s="258">
        <v>0</v>
      </c>
      <c r="H74" s="186">
        <v>1</v>
      </c>
      <c r="I74" s="186">
        <v>0</v>
      </c>
      <c r="J74" s="186">
        <v>0</v>
      </c>
    </row>
    <row r="75" spans="1:10">
      <c r="A75" s="188">
        <v>42649</v>
      </c>
      <c r="B75" s="186" t="s">
        <v>459</v>
      </c>
      <c r="C75" s="262" t="s">
        <v>468</v>
      </c>
      <c r="D75" s="186">
        <v>0</v>
      </c>
      <c r="E75" s="186">
        <v>0</v>
      </c>
      <c r="F75" s="186">
        <v>0</v>
      </c>
      <c r="G75" s="258">
        <v>0</v>
      </c>
      <c r="H75" s="186">
        <v>34</v>
      </c>
      <c r="I75" s="186">
        <v>0</v>
      </c>
      <c r="J75" s="186">
        <v>0</v>
      </c>
    </row>
    <row r="76" spans="1:10">
      <c r="A76" s="188">
        <v>42649</v>
      </c>
      <c r="B76" s="186" t="s">
        <v>459</v>
      </c>
      <c r="C76" s="262" t="s">
        <v>469</v>
      </c>
      <c r="D76" s="186">
        <v>0</v>
      </c>
      <c r="E76" s="186">
        <v>0</v>
      </c>
      <c r="F76" s="186">
        <v>0</v>
      </c>
      <c r="G76" s="258">
        <v>0</v>
      </c>
      <c r="H76" s="186">
        <v>542</v>
      </c>
      <c r="I76" s="186">
        <v>0</v>
      </c>
      <c r="J76" s="186">
        <v>0</v>
      </c>
    </row>
    <row r="77" spans="1:10">
      <c r="A77" s="188">
        <v>42649</v>
      </c>
      <c r="B77" s="186" t="s">
        <v>459</v>
      </c>
      <c r="C77" s="262" t="s">
        <v>470</v>
      </c>
      <c r="D77" s="186">
        <v>0</v>
      </c>
      <c r="E77" s="186">
        <v>1</v>
      </c>
      <c r="F77" s="186">
        <v>0</v>
      </c>
      <c r="G77" s="258">
        <v>0</v>
      </c>
      <c r="H77" s="186">
        <v>602</v>
      </c>
      <c r="I77" s="186">
        <v>1</v>
      </c>
      <c r="J77" s="186">
        <v>0</v>
      </c>
    </row>
    <row r="78" spans="1:10">
      <c r="A78" s="188">
        <v>42649</v>
      </c>
      <c r="B78" s="186" t="s">
        <v>459</v>
      </c>
      <c r="C78" s="262" t="s">
        <v>471</v>
      </c>
      <c r="D78" s="186">
        <v>0</v>
      </c>
      <c r="E78" s="186">
        <v>0</v>
      </c>
      <c r="F78" s="186">
        <v>0</v>
      </c>
      <c r="G78" s="258">
        <v>0</v>
      </c>
      <c r="H78" s="186">
        <v>35</v>
      </c>
      <c r="I78" s="186">
        <v>0</v>
      </c>
      <c r="J78" s="186">
        <v>0</v>
      </c>
    </row>
    <row r="79" spans="1:10">
      <c r="A79" s="188">
        <v>42650</v>
      </c>
      <c r="B79" s="186" t="s">
        <v>459</v>
      </c>
      <c r="C79" s="262" t="s">
        <v>460</v>
      </c>
      <c r="D79" s="186">
        <v>3</v>
      </c>
      <c r="E79" s="186">
        <v>24</v>
      </c>
      <c r="F79" s="186">
        <v>1</v>
      </c>
      <c r="G79" s="258">
        <v>2</v>
      </c>
      <c r="H79" s="186">
        <v>1893</v>
      </c>
      <c r="I79" s="186">
        <v>24</v>
      </c>
      <c r="J79" s="186">
        <v>2</v>
      </c>
    </row>
    <row r="80" spans="1:10">
      <c r="A80" s="188">
        <v>42650</v>
      </c>
      <c r="B80" s="186" t="s">
        <v>459</v>
      </c>
      <c r="C80" s="262" t="s">
        <v>466</v>
      </c>
      <c r="D80" s="186">
        <v>0</v>
      </c>
      <c r="E80" s="186">
        <v>8</v>
      </c>
      <c r="F80" s="186">
        <v>0</v>
      </c>
      <c r="G80" s="258">
        <v>2</v>
      </c>
      <c r="H80" s="186">
        <v>263</v>
      </c>
      <c r="I80" s="186">
        <v>8</v>
      </c>
      <c r="J80" s="186">
        <v>2</v>
      </c>
    </row>
    <row r="81" spans="1:10">
      <c r="A81" s="188">
        <v>42650</v>
      </c>
      <c r="B81" s="186" t="s">
        <v>459</v>
      </c>
      <c r="C81" s="262" t="s">
        <v>467</v>
      </c>
      <c r="D81" s="186">
        <v>2</v>
      </c>
      <c r="E81" s="186">
        <v>10</v>
      </c>
      <c r="F81" s="186">
        <v>0</v>
      </c>
      <c r="G81" s="258">
        <v>1</v>
      </c>
      <c r="H81" s="186">
        <v>1198</v>
      </c>
      <c r="I81" s="186">
        <v>10</v>
      </c>
      <c r="J81" s="186">
        <v>1</v>
      </c>
    </row>
    <row r="82" spans="1:10">
      <c r="A82" s="188">
        <v>42650</v>
      </c>
      <c r="B82" s="186" t="s">
        <v>459</v>
      </c>
      <c r="C82" s="262" t="s">
        <v>461</v>
      </c>
      <c r="D82" s="186">
        <v>0</v>
      </c>
      <c r="E82" s="186">
        <v>0</v>
      </c>
      <c r="F82" s="186">
        <v>0</v>
      </c>
      <c r="G82" s="258">
        <v>0</v>
      </c>
      <c r="H82" s="186">
        <v>3779</v>
      </c>
      <c r="I82" s="186">
        <v>0</v>
      </c>
      <c r="J82" s="186">
        <v>0</v>
      </c>
    </row>
    <row r="83" spans="1:10">
      <c r="A83" s="188">
        <v>42650</v>
      </c>
      <c r="B83" s="186" t="s">
        <v>459</v>
      </c>
      <c r="C83" s="262" t="s">
        <v>462</v>
      </c>
      <c r="D83" s="186">
        <v>0</v>
      </c>
      <c r="E83" s="186">
        <v>0</v>
      </c>
      <c r="F83" s="186">
        <v>0</v>
      </c>
      <c r="G83" s="258">
        <v>0</v>
      </c>
      <c r="H83" s="186">
        <v>309</v>
      </c>
      <c r="I83" s="186">
        <v>0</v>
      </c>
      <c r="J83" s="186">
        <v>0</v>
      </c>
    </row>
    <row r="84" spans="1:10">
      <c r="A84" s="188">
        <v>42650</v>
      </c>
      <c r="B84" s="186" t="s">
        <v>459</v>
      </c>
      <c r="C84" s="262" t="s">
        <v>463</v>
      </c>
      <c r="D84" s="186">
        <v>0</v>
      </c>
      <c r="E84" s="186">
        <v>1</v>
      </c>
      <c r="F84" s="186">
        <v>0</v>
      </c>
      <c r="G84" s="258">
        <v>0</v>
      </c>
      <c r="H84" s="186">
        <v>5</v>
      </c>
      <c r="I84" s="186">
        <v>1</v>
      </c>
      <c r="J84" s="186">
        <v>0</v>
      </c>
    </row>
    <row r="85" spans="1:10">
      <c r="A85" s="188">
        <v>42650</v>
      </c>
      <c r="B85" s="186" t="s">
        <v>459</v>
      </c>
      <c r="C85" s="262" t="s">
        <v>464</v>
      </c>
      <c r="D85" s="186">
        <v>0</v>
      </c>
      <c r="E85" s="186">
        <v>0</v>
      </c>
      <c r="F85" s="186">
        <v>0</v>
      </c>
      <c r="G85" s="258">
        <v>0</v>
      </c>
      <c r="H85" s="186">
        <v>282</v>
      </c>
      <c r="I85" s="186">
        <v>0</v>
      </c>
      <c r="J85" s="186">
        <v>0</v>
      </c>
    </row>
    <row r="86" spans="1:10">
      <c r="A86" s="188">
        <v>42650</v>
      </c>
      <c r="B86" s="186" t="s">
        <v>459</v>
      </c>
      <c r="C86" s="262" t="s">
        <v>465</v>
      </c>
      <c r="D86" s="186">
        <v>0</v>
      </c>
      <c r="E86" s="186">
        <v>2</v>
      </c>
      <c r="F86" s="186">
        <v>0</v>
      </c>
      <c r="G86" s="258">
        <v>0</v>
      </c>
      <c r="H86" s="186">
        <v>176</v>
      </c>
      <c r="I86" s="186">
        <v>2</v>
      </c>
      <c r="J86" s="186">
        <v>0</v>
      </c>
    </row>
    <row r="87" spans="1:10">
      <c r="A87" s="188">
        <v>42650</v>
      </c>
      <c r="B87" s="186" t="s">
        <v>459</v>
      </c>
      <c r="C87" s="262" t="s">
        <v>472</v>
      </c>
      <c r="D87" s="186">
        <v>0</v>
      </c>
      <c r="E87" s="186">
        <v>0</v>
      </c>
      <c r="F87" s="186">
        <v>0</v>
      </c>
      <c r="G87" s="258">
        <v>0</v>
      </c>
      <c r="H87" s="186">
        <v>1</v>
      </c>
      <c r="I87" s="186">
        <v>0</v>
      </c>
      <c r="J87" s="186">
        <v>0</v>
      </c>
    </row>
    <row r="88" spans="1:10">
      <c r="A88" s="188">
        <v>42650</v>
      </c>
      <c r="B88" s="186" t="s">
        <v>459</v>
      </c>
      <c r="C88" s="262" t="s">
        <v>468</v>
      </c>
      <c r="D88" s="186">
        <v>0</v>
      </c>
      <c r="E88" s="186">
        <v>0</v>
      </c>
      <c r="F88" s="186">
        <v>0</v>
      </c>
      <c r="G88" s="258">
        <v>0</v>
      </c>
      <c r="H88" s="186">
        <v>36</v>
      </c>
      <c r="I88" s="186">
        <v>0</v>
      </c>
      <c r="J88" s="186">
        <v>0</v>
      </c>
    </row>
    <row r="89" spans="1:10">
      <c r="A89" s="188">
        <v>42650</v>
      </c>
      <c r="B89" s="186" t="s">
        <v>459</v>
      </c>
      <c r="C89" s="262" t="s">
        <v>469</v>
      </c>
      <c r="D89" s="186">
        <v>0</v>
      </c>
      <c r="E89" s="186">
        <v>0</v>
      </c>
      <c r="F89" s="186">
        <v>0</v>
      </c>
      <c r="G89" s="258">
        <v>0</v>
      </c>
      <c r="H89" s="186">
        <v>635</v>
      </c>
      <c r="I89" s="186">
        <v>0</v>
      </c>
      <c r="J89" s="186">
        <v>0</v>
      </c>
    </row>
    <row r="90" spans="1:10">
      <c r="A90" s="188">
        <v>42650</v>
      </c>
      <c r="B90" s="186" t="s">
        <v>459</v>
      </c>
      <c r="C90" s="262" t="s">
        <v>470</v>
      </c>
      <c r="D90" s="186">
        <v>0</v>
      </c>
      <c r="E90" s="186">
        <v>1</v>
      </c>
      <c r="F90" s="186">
        <v>0</v>
      </c>
      <c r="G90" s="258">
        <v>0</v>
      </c>
      <c r="H90" s="186">
        <v>706</v>
      </c>
      <c r="I90" s="186">
        <v>1</v>
      </c>
      <c r="J90" s="186">
        <v>0</v>
      </c>
    </row>
    <row r="91" spans="1:10">
      <c r="A91" s="188">
        <v>42650</v>
      </c>
      <c r="B91" s="186" t="s">
        <v>459</v>
      </c>
      <c r="C91" s="262" t="s">
        <v>471</v>
      </c>
      <c r="D91" s="186">
        <v>0</v>
      </c>
      <c r="E91" s="186">
        <v>0</v>
      </c>
      <c r="F91" s="186">
        <v>0</v>
      </c>
      <c r="G91" s="258">
        <v>0</v>
      </c>
      <c r="H91" s="186">
        <v>39</v>
      </c>
      <c r="I91" s="186">
        <v>0</v>
      </c>
      <c r="J91" s="186">
        <v>0</v>
      </c>
    </row>
    <row r="92" spans="1:10">
      <c r="A92" s="260">
        <v>42644</v>
      </c>
      <c r="B92" s="186" t="s">
        <v>474</v>
      </c>
      <c r="C92" s="262" t="s">
        <v>462</v>
      </c>
      <c r="D92" s="186">
        <v>0</v>
      </c>
      <c r="E92" s="186">
        <v>0</v>
      </c>
      <c r="F92" s="186">
        <v>0</v>
      </c>
      <c r="G92" s="258">
        <v>0</v>
      </c>
      <c r="H92" s="186">
        <v>14</v>
      </c>
      <c r="I92" s="186">
        <v>0</v>
      </c>
      <c r="J92" s="186">
        <v>0</v>
      </c>
    </row>
    <row r="93" spans="1:10">
      <c r="A93" s="260">
        <v>42644</v>
      </c>
      <c r="B93" s="186" t="s">
        <v>474</v>
      </c>
      <c r="C93" s="262" t="s">
        <v>464</v>
      </c>
      <c r="D93" s="186">
        <v>0</v>
      </c>
      <c r="E93" s="186">
        <v>0</v>
      </c>
      <c r="F93" s="186">
        <v>0</v>
      </c>
      <c r="G93" s="258">
        <v>0</v>
      </c>
      <c r="H93" s="186">
        <v>12</v>
      </c>
      <c r="I93" s="186">
        <v>0</v>
      </c>
      <c r="J93" s="186">
        <v>0</v>
      </c>
    </row>
    <row r="94" spans="1:10">
      <c r="A94" s="260">
        <v>42644</v>
      </c>
      <c r="B94" s="186" t="s">
        <v>474</v>
      </c>
      <c r="C94" s="262" t="s">
        <v>465</v>
      </c>
      <c r="D94" s="186">
        <v>0</v>
      </c>
      <c r="E94" s="186">
        <v>0</v>
      </c>
      <c r="F94" s="186">
        <v>0</v>
      </c>
      <c r="G94" s="258">
        <v>0</v>
      </c>
      <c r="H94" s="186">
        <v>71</v>
      </c>
      <c r="I94" s="186">
        <v>0</v>
      </c>
      <c r="J94" s="186">
        <v>0</v>
      </c>
    </row>
    <row r="95" spans="1:10">
      <c r="A95" s="260">
        <v>42644</v>
      </c>
      <c r="B95" s="186" t="s">
        <v>474</v>
      </c>
      <c r="C95" s="262" t="s">
        <v>466</v>
      </c>
      <c r="D95" s="186">
        <v>0</v>
      </c>
      <c r="E95" s="186">
        <v>0</v>
      </c>
      <c r="F95" s="186">
        <v>0</v>
      </c>
      <c r="G95" s="258">
        <v>0</v>
      </c>
      <c r="H95" s="186">
        <v>102</v>
      </c>
      <c r="I95" s="186">
        <v>0</v>
      </c>
      <c r="J95" s="186">
        <v>0</v>
      </c>
    </row>
    <row r="96" spans="1:10">
      <c r="A96" s="260">
        <v>42644</v>
      </c>
      <c r="B96" s="186" t="s">
        <v>474</v>
      </c>
      <c r="C96" s="262" t="s">
        <v>468</v>
      </c>
      <c r="D96" s="186">
        <v>0</v>
      </c>
      <c r="E96" s="186">
        <v>0</v>
      </c>
      <c r="F96" s="186">
        <v>0</v>
      </c>
      <c r="G96" s="258">
        <v>0</v>
      </c>
      <c r="H96" s="186">
        <v>2</v>
      </c>
      <c r="I96" s="186">
        <v>0</v>
      </c>
      <c r="J96" s="186">
        <v>0</v>
      </c>
    </row>
    <row r="97" spans="1:10">
      <c r="A97" s="260">
        <v>42644</v>
      </c>
      <c r="B97" s="186" t="s">
        <v>474</v>
      </c>
      <c r="C97" s="262" t="s">
        <v>469</v>
      </c>
      <c r="D97" s="186">
        <v>0</v>
      </c>
      <c r="E97" s="186">
        <v>0</v>
      </c>
      <c r="F97" s="186">
        <v>0</v>
      </c>
      <c r="G97" s="258">
        <v>0</v>
      </c>
      <c r="H97" s="186">
        <v>24</v>
      </c>
      <c r="I97" s="186">
        <v>0</v>
      </c>
      <c r="J97" s="186">
        <v>0</v>
      </c>
    </row>
    <row r="98" spans="1:10">
      <c r="A98" s="260">
        <v>42644</v>
      </c>
      <c r="B98" s="186" t="s">
        <v>474</v>
      </c>
      <c r="C98" s="262" t="s">
        <v>470</v>
      </c>
      <c r="D98" s="186">
        <v>0</v>
      </c>
      <c r="E98" s="186">
        <v>0</v>
      </c>
      <c r="F98" s="186">
        <v>0</v>
      </c>
      <c r="G98" s="258">
        <v>0</v>
      </c>
      <c r="H98" s="186">
        <v>42</v>
      </c>
      <c r="I98" s="186">
        <v>0</v>
      </c>
      <c r="J98" s="186">
        <v>0</v>
      </c>
    </row>
    <row r="99" spans="1:10">
      <c r="A99" s="188">
        <v>42645</v>
      </c>
      <c r="B99" s="186" t="s">
        <v>474</v>
      </c>
      <c r="C99" s="262" t="s">
        <v>462</v>
      </c>
      <c r="D99" s="186">
        <v>0</v>
      </c>
      <c r="E99" s="186">
        <v>0</v>
      </c>
      <c r="F99" s="186">
        <v>0</v>
      </c>
      <c r="G99" s="258">
        <v>0</v>
      </c>
      <c r="H99" s="186">
        <v>22</v>
      </c>
      <c r="I99" s="186">
        <v>0</v>
      </c>
      <c r="J99" s="186">
        <v>0</v>
      </c>
    </row>
    <row r="100" spans="1:10">
      <c r="A100" s="188">
        <v>42645</v>
      </c>
      <c r="B100" s="186" t="s">
        <v>474</v>
      </c>
      <c r="C100" s="262" t="s">
        <v>464</v>
      </c>
      <c r="D100" s="186">
        <v>0</v>
      </c>
      <c r="E100" s="186">
        <v>0</v>
      </c>
      <c r="F100" s="186">
        <v>0</v>
      </c>
      <c r="G100" s="258">
        <v>0</v>
      </c>
      <c r="H100" s="186">
        <v>22</v>
      </c>
      <c r="I100" s="186">
        <v>0</v>
      </c>
      <c r="J100" s="186">
        <v>0</v>
      </c>
    </row>
    <row r="101" spans="1:10">
      <c r="A101" s="188">
        <v>42645</v>
      </c>
      <c r="B101" s="186" t="s">
        <v>474</v>
      </c>
      <c r="C101" s="262" t="s">
        <v>465</v>
      </c>
      <c r="D101" s="186">
        <v>0</v>
      </c>
      <c r="E101" s="186">
        <v>0</v>
      </c>
      <c r="F101" s="186">
        <v>0</v>
      </c>
      <c r="G101" s="258">
        <v>0</v>
      </c>
      <c r="H101" s="186">
        <v>113</v>
      </c>
      <c r="I101" s="186">
        <v>0</v>
      </c>
      <c r="J101" s="186">
        <v>0</v>
      </c>
    </row>
    <row r="102" spans="1:10">
      <c r="A102" s="188">
        <v>42645</v>
      </c>
      <c r="B102" s="186" t="s">
        <v>474</v>
      </c>
      <c r="C102" s="262" t="s">
        <v>466</v>
      </c>
      <c r="D102" s="186">
        <v>0</v>
      </c>
      <c r="E102" s="186">
        <v>0</v>
      </c>
      <c r="F102" s="186">
        <v>0</v>
      </c>
      <c r="G102" s="258">
        <v>0</v>
      </c>
      <c r="H102" s="186">
        <v>272</v>
      </c>
      <c r="I102" s="186">
        <v>0</v>
      </c>
      <c r="J102" s="186">
        <v>0</v>
      </c>
    </row>
    <row r="103" spans="1:10">
      <c r="A103" s="188">
        <v>42645</v>
      </c>
      <c r="B103" s="186" t="s">
        <v>474</v>
      </c>
      <c r="C103" s="262" t="s">
        <v>472</v>
      </c>
      <c r="D103" s="186">
        <v>0</v>
      </c>
      <c r="E103" s="186">
        <v>0</v>
      </c>
      <c r="F103" s="186">
        <v>0</v>
      </c>
      <c r="G103" s="258">
        <v>0</v>
      </c>
      <c r="H103" s="186">
        <v>1</v>
      </c>
      <c r="I103" s="186">
        <v>0</v>
      </c>
      <c r="J103" s="186">
        <v>0</v>
      </c>
    </row>
    <row r="104" spans="1:10">
      <c r="A104" s="188">
        <v>42645</v>
      </c>
      <c r="B104" s="186" t="s">
        <v>474</v>
      </c>
      <c r="C104" s="262" t="s">
        <v>479</v>
      </c>
      <c r="D104" s="186">
        <v>0</v>
      </c>
      <c r="E104" s="186">
        <v>0</v>
      </c>
      <c r="F104" s="186">
        <v>0</v>
      </c>
      <c r="G104" s="258">
        <v>0</v>
      </c>
      <c r="H104" s="186">
        <v>1</v>
      </c>
      <c r="I104" s="186">
        <v>0</v>
      </c>
      <c r="J104" s="186">
        <v>0</v>
      </c>
    </row>
    <row r="105" spans="1:10">
      <c r="A105" s="188">
        <v>42645</v>
      </c>
      <c r="B105" s="186" t="s">
        <v>474</v>
      </c>
      <c r="C105" s="262" t="s">
        <v>468</v>
      </c>
      <c r="D105" s="186">
        <v>0</v>
      </c>
      <c r="E105" s="186">
        <v>0</v>
      </c>
      <c r="F105" s="186">
        <v>0</v>
      </c>
      <c r="G105" s="258">
        <v>0</v>
      </c>
      <c r="H105" s="186">
        <v>2</v>
      </c>
      <c r="I105" s="186">
        <v>0</v>
      </c>
      <c r="J105" s="186">
        <v>0</v>
      </c>
    </row>
    <row r="106" spans="1:10">
      <c r="A106" s="188">
        <v>42645</v>
      </c>
      <c r="B106" s="186" t="s">
        <v>474</v>
      </c>
      <c r="C106" s="262" t="s">
        <v>469</v>
      </c>
      <c r="D106" s="186">
        <v>0</v>
      </c>
      <c r="E106" s="186">
        <v>0</v>
      </c>
      <c r="F106" s="186">
        <v>0</v>
      </c>
      <c r="G106" s="258">
        <v>0</v>
      </c>
      <c r="H106" s="186">
        <v>45</v>
      </c>
      <c r="I106" s="186">
        <v>0</v>
      </c>
      <c r="J106" s="186">
        <v>0</v>
      </c>
    </row>
    <row r="107" spans="1:10">
      <c r="A107" s="188">
        <v>42645</v>
      </c>
      <c r="B107" s="186" t="s">
        <v>474</v>
      </c>
      <c r="C107" s="262" t="s">
        <v>470</v>
      </c>
      <c r="D107" s="186">
        <v>0</v>
      </c>
      <c r="E107" s="186">
        <v>0</v>
      </c>
      <c r="F107" s="186">
        <v>0</v>
      </c>
      <c r="G107" s="258">
        <v>0</v>
      </c>
      <c r="H107" s="186">
        <v>79</v>
      </c>
      <c r="I107" s="186">
        <v>0</v>
      </c>
      <c r="J107" s="186">
        <v>0</v>
      </c>
    </row>
    <row r="108" spans="1:10">
      <c r="A108" s="188">
        <v>42645</v>
      </c>
      <c r="B108" s="186" t="s">
        <v>474</v>
      </c>
      <c r="C108" s="262" t="s">
        <v>471</v>
      </c>
      <c r="D108" s="186">
        <v>0</v>
      </c>
      <c r="E108" s="186">
        <v>0</v>
      </c>
      <c r="F108" s="186">
        <v>0</v>
      </c>
      <c r="G108" s="258">
        <v>0</v>
      </c>
      <c r="H108" s="186">
        <v>1</v>
      </c>
      <c r="I108" s="186">
        <v>0</v>
      </c>
      <c r="J108" s="186">
        <v>0</v>
      </c>
    </row>
    <row r="109" spans="1:10">
      <c r="A109" s="188">
        <v>42646</v>
      </c>
      <c r="B109" s="186" t="s">
        <v>474</v>
      </c>
      <c r="C109" s="262" t="s">
        <v>462</v>
      </c>
      <c r="D109" s="186">
        <v>0</v>
      </c>
      <c r="E109" s="186">
        <v>0</v>
      </c>
      <c r="F109" s="186">
        <v>0</v>
      </c>
      <c r="G109" s="258">
        <v>0</v>
      </c>
      <c r="H109" s="186">
        <v>35</v>
      </c>
      <c r="I109" s="186">
        <v>0</v>
      </c>
      <c r="J109" s="186">
        <v>0</v>
      </c>
    </row>
    <row r="110" spans="1:10">
      <c r="A110" s="188">
        <v>42646</v>
      </c>
      <c r="B110" s="186" t="s">
        <v>474</v>
      </c>
      <c r="C110" s="262" t="s">
        <v>464</v>
      </c>
      <c r="D110" s="186">
        <v>0</v>
      </c>
      <c r="E110" s="186">
        <v>0</v>
      </c>
      <c r="F110" s="186">
        <v>0</v>
      </c>
      <c r="G110" s="258">
        <v>0</v>
      </c>
      <c r="H110" s="186">
        <v>35</v>
      </c>
      <c r="I110" s="186">
        <v>0</v>
      </c>
      <c r="J110" s="186">
        <v>0</v>
      </c>
    </row>
    <row r="111" spans="1:10">
      <c r="A111" s="188">
        <v>42646</v>
      </c>
      <c r="B111" s="186" t="s">
        <v>474</v>
      </c>
      <c r="C111" s="262" t="s">
        <v>465</v>
      </c>
      <c r="D111" s="186">
        <v>0</v>
      </c>
      <c r="E111" s="186">
        <v>0</v>
      </c>
      <c r="F111" s="186">
        <v>0</v>
      </c>
      <c r="G111" s="258">
        <v>0</v>
      </c>
      <c r="H111" s="186">
        <v>162</v>
      </c>
      <c r="I111" s="186">
        <v>0</v>
      </c>
      <c r="J111" s="186">
        <v>0</v>
      </c>
    </row>
    <row r="112" spans="1:10">
      <c r="A112" s="188">
        <v>42646</v>
      </c>
      <c r="B112" s="186" t="s">
        <v>474</v>
      </c>
      <c r="C112" s="262" t="s">
        <v>466</v>
      </c>
      <c r="D112" s="186">
        <v>1</v>
      </c>
      <c r="E112" s="186">
        <v>1</v>
      </c>
      <c r="F112" s="186">
        <v>0</v>
      </c>
      <c r="G112" s="258">
        <v>0</v>
      </c>
      <c r="H112" s="186">
        <v>448</v>
      </c>
      <c r="I112" s="186">
        <v>1</v>
      </c>
      <c r="J112" s="186">
        <v>0</v>
      </c>
    </row>
    <row r="113" spans="1:10">
      <c r="A113" s="188">
        <v>42646</v>
      </c>
      <c r="B113" s="186" t="s">
        <v>474</v>
      </c>
      <c r="C113" s="262" t="s">
        <v>472</v>
      </c>
      <c r="D113" s="186">
        <v>0</v>
      </c>
      <c r="E113" s="186">
        <v>0</v>
      </c>
      <c r="F113" s="186">
        <v>0</v>
      </c>
      <c r="G113" s="258">
        <v>0</v>
      </c>
      <c r="H113" s="186">
        <v>1</v>
      </c>
      <c r="I113" s="186">
        <v>0</v>
      </c>
      <c r="J113" s="186">
        <v>0</v>
      </c>
    </row>
    <row r="114" spans="1:10">
      <c r="A114" s="188">
        <v>42646</v>
      </c>
      <c r="B114" s="186" t="s">
        <v>474</v>
      </c>
      <c r="C114" s="262" t="s">
        <v>479</v>
      </c>
      <c r="D114" s="186">
        <v>0</v>
      </c>
      <c r="E114" s="186">
        <v>0</v>
      </c>
      <c r="F114" s="186">
        <v>0</v>
      </c>
      <c r="G114" s="258">
        <v>0</v>
      </c>
      <c r="H114" s="186">
        <v>1</v>
      </c>
      <c r="I114" s="186">
        <v>0</v>
      </c>
      <c r="J114" s="186">
        <v>0</v>
      </c>
    </row>
    <row r="115" spans="1:10">
      <c r="A115" s="188">
        <v>42646</v>
      </c>
      <c r="B115" s="186" t="s">
        <v>474</v>
      </c>
      <c r="C115" s="262" t="s">
        <v>468</v>
      </c>
      <c r="D115" s="186">
        <v>0</v>
      </c>
      <c r="E115" s="186">
        <v>0</v>
      </c>
      <c r="F115" s="186">
        <v>0</v>
      </c>
      <c r="G115" s="258">
        <v>0</v>
      </c>
      <c r="H115" s="186">
        <v>2</v>
      </c>
      <c r="I115" s="186">
        <v>0</v>
      </c>
      <c r="J115" s="186">
        <v>0</v>
      </c>
    </row>
    <row r="116" spans="1:10">
      <c r="A116" s="188">
        <v>42646</v>
      </c>
      <c r="B116" s="186" t="s">
        <v>474</v>
      </c>
      <c r="C116" s="262" t="s">
        <v>469</v>
      </c>
      <c r="D116" s="186">
        <v>0</v>
      </c>
      <c r="E116" s="186">
        <v>0</v>
      </c>
      <c r="F116" s="186">
        <v>0</v>
      </c>
      <c r="G116" s="258">
        <v>0</v>
      </c>
      <c r="H116" s="186">
        <v>59</v>
      </c>
      <c r="I116" s="186">
        <v>0</v>
      </c>
      <c r="J116" s="186">
        <v>0</v>
      </c>
    </row>
    <row r="117" spans="1:10">
      <c r="A117" s="188">
        <v>42646</v>
      </c>
      <c r="B117" s="186" t="s">
        <v>474</v>
      </c>
      <c r="C117" s="262" t="s">
        <v>470</v>
      </c>
      <c r="D117" s="186">
        <v>0</v>
      </c>
      <c r="E117" s="186">
        <v>0</v>
      </c>
      <c r="F117" s="186">
        <v>0</v>
      </c>
      <c r="G117" s="258">
        <v>0</v>
      </c>
      <c r="H117" s="186">
        <v>118</v>
      </c>
      <c r="I117" s="186">
        <v>0</v>
      </c>
      <c r="J117" s="186">
        <v>0</v>
      </c>
    </row>
    <row r="118" spans="1:10">
      <c r="A118" s="188">
        <v>42646</v>
      </c>
      <c r="B118" s="186" t="s">
        <v>474</v>
      </c>
      <c r="C118" s="262" t="s">
        <v>471</v>
      </c>
      <c r="D118" s="186">
        <v>0</v>
      </c>
      <c r="E118" s="186">
        <v>0</v>
      </c>
      <c r="F118" s="186">
        <v>0</v>
      </c>
      <c r="G118" s="258">
        <v>0</v>
      </c>
      <c r="H118" s="186">
        <v>1</v>
      </c>
      <c r="I118" s="186">
        <v>0</v>
      </c>
      <c r="J118" s="186">
        <v>0</v>
      </c>
    </row>
    <row r="119" spans="1:10">
      <c r="A119" s="188">
        <v>42647</v>
      </c>
      <c r="B119" s="186" t="s">
        <v>474</v>
      </c>
      <c r="C119" s="262" t="s">
        <v>462</v>
      </c>
      <c r="D119" s="186">
        <v>0</v>
      </c>
      <c r="E119" s="186">
        <v>0</v>
      </c>
      <c r="F119" s="186">
        <v>0</v>
      </c>
      <c r="G119" s="258">
        <v>0</v>
      </c>
      <c r="H119" s="186">
        <v>40</v>
      </c>
      <c r="I119" s="186">
        <v>0</v>
      </c>
      <c r="J119" s="186">
        <v>0</v>
      </c>
    </row>
    <row r="120" spans="1:10">
      <c r="A120" s="188">
        <v>42647</v>
      </c>
      <c r="B120" s="186" t="s">
        <v>474</v>
      </c>
      <c r="C120" s="262" t="s">
        <v>464</v>
      </c>
      <c r="D120" s="186">
        <v>0</v>
      </c>
      <c r="E120" s="186">
        <v>0</v>
      </c>
      <c r="F120" s="186">
        <v>0</v>
      </c>
      <c r="G120" s="258">
        <v>0</v>
      </c>
      <c r="H120" s="186">
        <v>42</v>
      </c>
      <c r="I120" s="186">
        <v>0</v>
      </c>
      <c r="J120" s="186">
        <v>0</v>
      </c>
    </row>
    <row r="121" spans="1:10">
      <c r="A121" s="188">
        <v>42647</v>
      </c>
      <c r="B121" s="186" t="s">
        <v>474</v>
      </c>
      <c r="C121" s="262" t="s">
        <v>465</v>
      </c>
      <c r="D121" s="186">
        <v>1</v>
      </c>
      <c r="E121" s="186">
        <v>1</v>
      </c>
      <c r="F121" s="186">
        <v>0</v>
      </c>
      <c r="G121" s="258">
        <v>0</v>
      </c>
      <c r="H121" s="186">
        <v>212</v>
      </c>
      <c r="I121" s="186">
        <v>1</v>
      </c>
      <c r="J121" s="186">
        <v>0</v>
      </c>
    </row>
    <row r="122" spans="1:10">
      <c r="A122" s="188">
        <v>42647</v>
      </c>
      <c r="B122" s="186" t="s">
        <v>474</v>
      </c>
      <c r="C122" s="262" t="s">
        <v>466</v>
      </c>
      <c r="D122" s="186">
        <v>1</v>
      </c>
      <c r="E122" s="186">
        <v>2</v>
      </c>
      <c r="F122" s="186">
        <v>0</v>
      </c>
      <c r="G122" s="258">
        <v>0</v>
      </c>
      <c r="H122" s="186">
        <v>579</v>
      </c>
      <c r="I122" s="186">
        <v>2</v>
      </c>
      <c r="J122" s="186">
        <v>0</v>
      </c>
    </row>
    <row r="123" spans="1:10">
      <c r="A123" s="188">
        <v>42647</v>
      </c>
      <c r="B123" s="186" t="s">
        <v>474</v>
      </c>
      <c r="C123" s="262" t="s">
        <v>472</v>
      </c>
      <c r="D123" s="186">
        <v>0</v>
      </c>
      <c r="E123" s="186">
        <v>0</v>
      </c>
      <c r="F123" s="186">
        <v>0</v>
      </c>
      <c r="G123" s="258">
        <v>0</v>
      </c>
      <c r="H123" s="186">
        <v>1</v>
      </c>
      <c r="I123" s="186">
        <v>0</v>
      </c>
      <c r="J123" s="186">
        <v>0</v>
      </c>
    </row>
    <row r="124" spans="1:10">
      <c r="A124" s="188">
        <v>42647</v>
      </c>
      <c r="B124" s="186" t="s">
        <v>474</v>
      </c>
      <c r="C124" s="262" t="s">
        <v>479</v>
      </c>
      <c r="D124" s="186">
        <v>0</v>
      </c>
      <c r="E124" s="186">
        <v>0</v>
      </c>
      <c r="F124" s="186">
        <v>0</v>
      </c>
      <c r="G124" s="258">
        <v>0</v>
      </c>
      <c r="H124" s="186">
        <v>1</v>
      </c>
      <c r="I124" s="186">
        <v>0</v>
      </c>
      <c r="J124" s="186">
        <v>0</v>
      </c>
    </row>
    <row r="125" spans="1:10">
      <c r="A125" s="188">
        <v>42647</v>
      </c>
      <c r="B125" s="186" t="s">
        <v>474</v>
      </c>
      <c r="C125" s="262" t="s">
        <v>480</v>
      </c>
      <c r="D125" s="186">
        <v>0</v>
      </c>
      <c r="E125" s="186">
        <v>0</v>
      </c>
      <c r="F125" s="186">
        <v>0</v>
      </c>
      <c r="G125" s="258">
        <v>0</v>
      </c>
      <c r="H125" s="186">
        <v>28</v>
      </c>
      <c r="I125" s="186">
        <v>0</v>
      </c>
      <c r="J125" s="186">
        <v>0</v>
      </c>
    </row>
    <row r="126" spans="1:10">
      <c r="A126" s="188">
        <v>42647</v>
      </c>
      <c r="B126" s="186" t="s">
        <v>474</v>
      </c>
      <c r="C126" s="262" t="s">
        <v>468</v>
      </c>
      <c r="D126" s="186">
        <v>0</v>
      </c>
      <c r="E126" s="186">
        <v>0</v>
      </c>
      <c r="F126" s="186">
        <v>0</v>
      </c>
      <c r="G126" s="258">
        <v>0</v>
      </c>
      <c r="H126" s="186">
        <v>3</v>
      </c>
      <c r="I126" s="186">
        <v>0</v>
      </c>
      <c r="J126" s="186">
        <v>0</v>
      </c>
    </row>
    <row r="127" spans="1:10">
      <c r="A127" s="188">
        <v>42647</v>
      </c>
      <c r="B127" s="186" t="s">
        <v>474</v>
      </c>
      <c r="C127" s="262" t="s">
        <v>469</v>
      </c>
      <c r="D127" s="186">
        <v>0</v>
      </c>
      <c r="E127" s="186">
        <v>0</v>
      </c>
      <c r="F127" s="186">
        <v>0</v>
      </c>
      <c r="G127" s="258">
        <v>0</v>
      </c>
      <c r="H127" s="186">
        <v>71</v>
      </c>
      <c r="I127" s="186">
        <v>0</v>
      </c>
      <c r="J127" s="186">
        <v>0</v>
      </c>
    </row>
    <row r="128" spans="1:10">
      <c r="A128" s="188">
        <v>42647</v>
      </c>
      <c r="B128" s="186" t="s">
        <v>474</v>
      </c>
      <c r="C128" s="262" t="s">
        <v>470</v>
      </c>
      <c r="D128" s="186">
        <v>0</v>
      </c>
      <c r="E128" s="186">
        <v>0</v>
      </c>
      <c r="F128" s="186">
        <v>0</v>
      </c>
      <c r="G128" s="258">
        <v>0</v>
      </c>
      <c r="H128" s="186">
        <v>140</v>
      </c>
      <c r="I128" s="186">
        <v>0</v>
      </c>
      <c r="J128" s="186">
        <v>0</v>
      </c>
    </row>
    <row r="129" spans="1:10">
      <c r="A129" s="188">
        <v>42647</v>
      </c>
      <c r="B129" s="186" t="s">
        <v>474</v>
      </c>
      <c r="C129" s="262" t="s">
        <v>471</v>
      </c>
      <c r="D129" s="186">
        <v>0</v>
      </c>
      <c r="E129" s="186">
        <v>0</v>
      </c>
      <c r="F129" s="186">
        <v>0</v>
      </c>
      <c r="G129" s="258">
        <v>0</v>
      </c>
      <c r="H129" s="186">
        <v>3</v>
      </c>
      <c r="I129" s="186">
        <v>0</v>
      </c>
      <c r="J129" s="186">
        <v>0</v>
      </c>
    </row>
    <row r="130" spans="1:10">
      <c r="A130" s="188">
        <v>42648</v>
      </c>
      <c r="B130" s="186" t="s">
        <v>474</v>
      </c>
      <c r="C130" s="262" t="s">
        <v>462</v>
      </c>
      <c r="D130" s="186">
        <v>0</v>
      </c>
      <c r="E130" s="186">
        <v>0</v>
      </c>
      <c r="F130" s="186">
        <v>0</v>
      </c>
      <c r="G130" s="258">
        <v>0</v>
      </c>
      <c r="H130" s="186">
        <v>40</v>
      </c>
      <c r="I130" s="186">
        <v>0</v>
      </c>
      <c r="J130" s="186">
        <v>0</v>
      </c>
    </row>
    <row r="131" spans="1:10">
      <c r="A131" s="188">
        <v>42648</v>
      </c>
      <c r="B131" s="186" t="s">
        <v>474</v>
      </c>
      <c r="C131" s="262" t="s">
        <v>464</v>
      </c>
      <c r="D131" s="186">
        <v>0</v>
      </c>
      <c r="E131" s="186">
        <v>0</v>
      </c>
      <c r="F131" s="186">
        <v>0</v>
      </c>
      <c r="G131" s="258">
        <v>0</v>
      </c>
      <c r="H131" s="186">
        <v>46</v>
      </c>
      <c r="I131" s="186">
        <v>0</v>
      </c>
      <c r="J131" s="186">
        <v>0</v>
      </c>
    </row>
    <row r="132" spans="1:10">
      <c r="A132" s="188">
        <v>42648</v>
      </c>
      <c r="B132" s="186" t="s">
        <v>474</v>
      </c>
      <c r="C132" s="262" t="s">
        <v>465</v>
      </c>
      <c r="D132" s="186">
        <v>0</v>
      </c>
      <c r="E132" s="186">
        <v>1</v>
      </c>
      <c r="F132" s="186">
        <v>0</v>
      </c>
      <c r="G132" s="258">
        <v>0</v>
      </c>
      <c r="H132" s="186">
        <v>236</v>
      </c>
      <c r="I132" s="186">
        <v>1</v>
      </c>
      <c r="J132" s="186">
        <v>0</v>
      </c>
    </row>
    <row r="133" spans="1:10">
      <c r="A133" s="188">
        <v>42648</v>
      </c>
      <c r="B133" s="186" t="s">
        <v>474</v>
      </c>
      <c r="C133" s="262" t="s">
        <v>466</v>
      </c>
      <c r="D133" s="186">
        <v>1</v>
      </c>
      <c r="E133" s="186">
        <v>4</v>
      </c>
      <c r="F133" s="186">
        <v>0</v>
      </c>
      <c r="G133" s="258">
        <v>0</v>
      </c>
      <c r="H133" s="186">
        <v>579</v>
      </c>
      <c r="I133" s="186">
        <v>4</v>
      </c>
      <c r="J133" s="186">
        <v>0</v>
      </c>
    </row>
    <row r="134" spans="1:10">
      <c r="A134" s="188">
        <v>42648</v>
      </c>
      <c r="B134" s="186" t="s">
        <v>474</v>
      </c>
      <c r="C134" s="262" t="s">
        <v>472</v>
      </c>
      <c r="D134" s="186">
        <v>0</v>
      </c>
      <c r="E134" s="186">
        <v>0</v>
      </c>
      <c r="F134" s="186">
        <v>0</v>
      </c>
      <c r="G134" s="258">
        <v>0</v>
      </c>
      <c r="H134" s="186">
        <v>1</v>
      </c>
      <c r="I134" s="186">
        <v>0</v>
      </c>
      <c r="J134" s="186">
        <v>0</v>
      </c>
    </row>
    <row r="135" spans="1:10">
      <c r="A135" s="188">
        <v>42648</v>
      </c>
      <c r="B135" s="186" t="s">
        <v>474</v>
      </c>
      <c r="C135" s="262" t="s">
        <v>479</v>
      </c>
      <c r="D135" s="186">
        <v>0</v>
      </c>
      <c r="E135" s="186">
        <v>0</v>
      </c>
      <c r="F135" s="186">
        <v>0</v>
      </c>
      <c r="G135" s="258">
        <v>0</v>
      </c>
      <c r="H135" s="186">
        <v>1</v>
      </c>
      <c r="I135" s="186">
        <v>0</v>
      </c>
      <c r="J135" s="186">
        <v>0</v>
      </c>
    </row>
    <row r="136" spans="1:10">
      <c r="A136" s="188">
        <v>42648</v>
      </c>
      <c r="B136" s="186" t="s">
        <v>474</v>
      </c>
      <c r="C136" s="262" t="s">
        <v>480</v>
      </c>
      <c r="D136" s="186">
        <v>1</v>
      </c>
      <c r="E136" s="186">
        <v>1</v>
      </c>
      <c r="F136" s="186">
        <v>0</v>
      </c>
      <c r="G136" s="258">
        <v>0</v>
      </c>
      <c r="H136" s="186">
        <v>36</v>
      </c>
      <c r="I136" s="186">
        <v>1</v>
      </c>
      <c r="J136" s="186">
        <v>0</v>
      </c>
    </row>
    <row r="137" spans="1:10">
      <c r="A137" s="188">
        <v>42648</v>
      </c>
      <c r="B137" s="186" t="s">
        <v>474</v>
      </c>
      <c r="C137" s="262" t="s">
        <v>468</v>
      </c>
      <c r="D137" s="186">
        <v>0</v>
      </c>
      <c r="E137" s="186">
        <v>0</v>
      </c>
      <c r="F137" s="186">
        <v>0</v>
      </c>
      <c r="G137" s="258">
        <v>0</v>
      </c>
      <c r="H137" s="186">
        <v>3</v>
      </c>
      <c r="I137" s="186">
        <v>0</v>
      </c>
      <c r="J137" s="186">
        <v>0</v>
      </c>
    </row>
    <row r="138" spans="1:10">
      <c r="A138" s="188">
        <v>42648</v>
      </c>
      <c r="B138" s="186" t="s">
        <v>474</v>
      </c>
      <c r="C138" s="262" t="s">
        <v>469</v>
      </c>
      <c r="D138" s="186">
        <v>0</v>
      </c>
      <c r="E138" s="186">
        <v>0</v>
      </c>
      <c r="F138" s="186">
        <v>0</v>
      </c>
      <c r="G138" s="258">
        <v>0</v>
      </c>
      <c r="H138" s="186">
        <v>71</v>
      </c>
      <c r="I138" s="186">
        <v>0</v>
      </c>
      <c r="J138" s="186">
        <v>0</v>
      </c>
    </row>
    <row r="139" spans="1:10">
      <c r="A139" s="188">
        <v>42648</v>
      </c>
      <c r="B139" s="186" t="s">
        <v>474</v>
      </c>
      <c r="C139" s="262" t="s">
        <v>470</v>
      </c>
      <c r="D139" s="186">
        <v>0</v>
      </c>
      <c r="E139" s="186">
        <v>0</v>
      </c>
      <c r="F139" s="186">
        <v>0</v>
      </c>
      <c r="G139" s="258">
        <v>0</v>
      </c>
      <c r="H139" s="186">
        <v>149</v>
      </c>
      <c r="I139" s="186">
        <v>0</v>
      </c>
      <c r="J139" s="186">
        <v>0</v>
      </c>
    </row>
    <row r="140" spans="1:10">
      <c r="A140" s="188">
        <v>42648</v>
      </c>
      <c r="B140" s="186" t="s">
        <v>474</v>
      </c>
      <c r="C140" s="262" t="s">
        <v>471</v>
      </c>
      <c r="D140" s="186">
        <v>0</v>
      </c>
      <c r="E140" s="186">
        <v>0</v>
      </c>
      <c r="F140" s="186">
        <v>0</v>
      </c>
      <c r="G140" s="258">
        <v>0</v>
      </c>
      <c r="H140" s="186">
        <v>3</v>
      </c>
      <c r="I140" s="186">
        <v>0</v>
      </c>
      <c r="J140" s="186">
        <v>0</v>
      </c>
    </row>
    <row r="141" spans="1:10">
      <c r="A141" s="188">
        <v>42649</v>
      </c>
      <c r="B141" s="186" t="s">
        <v>474</v>
      </c>
      <c r="C141" s="262" t="s">
        <v>465</v>
      </c>
      <c r="D141" s="186">
        <v>1</v>
      </c>
      <c r="E141" s="186">
        <v>2</v>
      </c>
      <c r="F141" s="186">
        <v>1</v>
      </c>
      <c r="G141" s="258">
        <v>1</v>
      </c>
      <c r="H141" s="186">
        <v>236</v>
      </c>
      <c r="I141" s="186">
        <v>2</v>
      </c>
      <c r="J141" s="186">
        <v>1</v>
      </c>
    </row>
    <row r="142" spans="1:10">
      <c r="A142" s="188">
        <v>42649</v>
      </c>
      <c r="B142" s="186" t="s">
        <v>474</v>
      </c>
      <c r="C142" s="262" t="s">
        <v>466</v>
      </c>
      <c r="D142" s="186">
        <v>4</v>
      </c>
      <c r="E142" s="186">
        <v>8</v>
      </c>
      <c r="F142" s="186">
        <v>1</v>
      </c>
      <c r="G142" s="258">
        <v>1</v>
      </c>
      <c r="H142" s="186">
        <v>579</v>
      </c>
      <c r="I142" s="186">
        <v>8</v>
      </c>
      <c r="J142" s="186">
        <v>1</v>
      </c>
    </row>
    <row r="143" spans="1:10">
      <c r="A143" s="188">
        <v>42649</v>
      </c>
      <c r="B143" s="186" t="s">
        <v>474</v>
      </c>
      <c r="C143" s="262" t="s">
        <v>462</v>
      </c>
      <c r="D143" s="186">
        <v>0</v>
      </c>
      <c r="E143" s="186">
        <v>0</v>
      </c>
      <c r="F143" s="186">
        <v>0</v>
      </c>
      <c r="G143" s="258">
        <v>0</v>
      </c>
      <c r="H143" s="186">
        <v>40</v>
      </c>
      <c r="I143" s="186">
        <v>0</v>
      </c>
      <c r="J143" s="186">
        <v>0</v>
      </c>
    </row>
    <row r="144" spans="1:10">
      <c r="A144" s="188">
        <v>42649</v>
      </c>
      <c r="B144" s="186" t="s">
        <v>474</v>
      </c>
      <c r="C144" s="262" t="s">
        <v>464</v>
      </c>
      <c r="D144" s="186">
        <v>0</v>
      </c>
      <c r="E144" s="186">
        <v>0</v>
      </c>
      <c r="F144" s="186">
        <v>0</v>
      </c>
      <c r="G144" s="258">
        <v>0</v>
      </c>
      <c r="H144" s="186">
        <v>46</v>
      </c>
      <c r="I144" s="186">
        <v>0</v>
      </c>
      <c r="J144" s="186">
        <v>0</v>
      </c>
    </row>
    <row r="145" spans="1:10">
      <c r="A145" s="188">
        <v>42649</v>
      </c>
      <c r="B145" s="186" t="s">
        <v>474</v>
      </c>
      <c r="C145" s="262" t="s">
        <v>472</v>
      </c>
      <c r="D145" s="186">
        <v>0</v>
      </c>
      <c r="E145" s="186">
        <v>0</v>
      </c>
      <c r="F145" s="186">
        <v>0</v>
      </c>
      <c r="G145" s="258">
        <v>0</v>
      </c>
      <c r="H145" s="186">
        <v>1</v>
      </c>
      <c r="I145" s="186">
        <v>0</v>
      </c>
      <c r="J145" s="186">
        <v>0</v>
      </c>
    </row>
    <row r="146" spans="1:10">
      <c r="A146" s="188">
        <v>42649</v>
      </c>
      <c r="B146" s="186" t="s">
        <v>474</v>
      </c>
      <c r="C146" s="262" t="s">
        <v>479</v>
      </c>
      <c r="D146" s="186">
        <v>0</v>
      </c>
      <c r="E146" s="186">
        <v>0</v>
      </c>
      <c r="F146" s="186">
        <v>0</v>
      </c>
      <c r="G146" s="258">
        <v>0</v>
      </c>
      <c r="H146" s="186">
        <v>1</v>
      </c>
      <c r="I146" s="186">
        <v>0</v>
      </c>
      <c r="J146" s="186">
        <v>0</v>
      </c>
    </row>
    <row r="147" spans="1:10">
      <c r="A147" s="188">
        <v>42649</v>
      </c>
      <c r="B147" s="186" t="s">
        <v>474</v>
      </c>
      <c r="C147" s="262" t="s">
        <v>480</v>
      </c>
      <c r="D147" s="186">
        <v>0</v>
      </c>
      <c r="E147" s="186">
        <v>1</v>
      </c>
      <c r="F147" s="186">
        <v>0</v>
      </c>
      <c r="G147" s="258">
        <v>0</v>
      </c>
      <c r="H147" s="186">
        <v>36</v>
      </c>
      <c r="I147" s="186">
        <v>1</v>
      </c>
      <c r="J147" s="186">
        <v>0</v>
      </c>
    </row>
    <row r="148" spans="1:10">
      <c r="A148" s="188">
        <v>42649</v>
      </c>
      <c r="B148" s="186" t="s">
        <v>474</v>
      </c>
      <c r="C148" s="262" t="s">
        <v>468</v>
      </c>
      <c r="D148" s="186">
        <v>0</v>
      </c>
      <c r="E148" s="186">
        <v>0</v>
      </c>
      <c r="F148" s="186">
        <v>0</v>
      </c>
      <c r="G148" s="258">
        <v>0</v>
      </c>
      <c r="H148" s="186">
        <v>3</v>
      </c>
      <c r="I148" s="186">
        <v>0</v>
      </c>
      <c r="J148" s="186">
        <v>0</v>
      </c>
    </row>
    <row r="149" spans="1:10">
      <c r="A149" s="188">
        <v>42649</v>
      </c>
      <c r="B149" s="186" t="s">
        <v>474</v>
      </c>
      <c r="C149" s="262" t="s">
        <v>469</v>
      </c>
      <c r="D149" s="186">
        <v>0</v>
      </c>
      <c r="E149" s="186">
        <v>0</v>
      </c>
      <c r="F149" s="186">
        <v>0</v>
      </c>
      <c r="G149" s="258">
        <v>0</v>
      </c>
      <c r="H149" s="186">
        <v>71</v>
      </c>
      <c r="I149" s="186">
        <v>0</v>
      </c>
      <c r="J149" s="186">
        <v>0</v>
      </c>
    </row>
    <row r="150" spans="1:10">
      <c r="A150" s="188">
        <v>42649</v>
      </c>
      <c r="B150" s="186" t="s">
        <v>474</v>
      </c>
      <c r="C150" s="262" t="s">
        <v>470</v>
      </c>
      <c r="D150" s="186">
        <v>0</v>
      </c>
      <c r="E150" s="186">
        <v>0</v>
      </c>
      <c r="F150" s="186">
        <v>0</v>
      </c>
      <c r="G150" s="258">
        <v>0</v>
      </c>
      <c r="H150" s="186">
        <v>149</v>
      </c>
      <c r="I150" s="186">
        <v>0</v>
      </c>
      <c r="J150" s="186">
        <v>0</v>
      </c>
    </row>
    <row r="151" spans="1:10">
      <c r="A151" s="188">
        <v>42649</v>
      </c>
      <c r="B151" s="186" t="s">
        <v>474</v>
      </c>
      <c r="C151" s="262" t="s">
        <v>481</v>
      </c>
      <c r="D151" s="186">
        <v>0</v>
      </c>
      <c r="E151" s="186">
        <v>0</v>
      </c>
      <c r="F151" s="186">
        <v>0</v>
      </c>
      <c r="G151" s="258">
        <v>0</v>
      </c>
      <c r="H151" s="186">
        <v>3</v>
      </c>
      <c r="I151" s="186">
        <v>0</v>
      </c>
      <c r="J151" s="186">
        <v>0</v>
      </c>
    </row>
    <row r="152" spans="1:10">
      <c r="A152" s="188">
        <v>42650</v>
      </c>
      <c r="B152" s="186" t="s">
        <v>474</v>
      </c>
      <c r="C152" s="262" t="s">
        <v>465</v>
      </c>
      <c r="D152" s="186">
        <v>0</v>
      </c>
      <c r="E152" s="186">
        <v>2</v>
      </c>
      <c r="F152" s="186">
        <v>0</v>
      </c>
      <c r="G152" s="258">
        <v>1</v>
      </c>
      <c r="H152" s="186">
        <v>236</v>
      </c>
      <c r="I152" s="186">
        <v>2</v>
      </c>
      <c r="J152" s="186">
        <v>1</v>
      </c>
    </row>
    <row r="153" spans="1:10">
      <c r="A153" s="188">
        <v>42650</v>
      </c>
      <c r="B153" s="186" t="s">
        <v>474</v>
      </c>
      <c r="C153" s="262" t="s">
        <v>466</v>
      </c>
      <c r="D153" s="186">
        <v>0</v>
      </c>
      <c r="E153" s="186">
        <v>9</v>
      </c>
      <c r="F153" s="186">
        <v>0</v>
      </c>
      <c r="G153" s="258">
        <v>1</v>
      </c>
      <c r="H153" s="186">
        <v>579</v>
      </c>
      <c r="I153" s="186">
        <v>9</v>
      </c>
      <c r="J153" s="186">
        <v>1</v>
      </c>
    </row>
    <row r="154" spans="1:10">
      <c r="A154" s="188">
        <v>42650</v>
      </c>
      <c r="B154" s="186" t="s">
        <v>474</v>
      </c>
      <c r="C154" s="262" t="s">
        <v>462</v>
      </c>
      <c r="D154" s="186">
        <v>0</v>
      </c>
      <c r="E154" s="186">
        <v>0</v>
      </c>
      <c r="F154" s="186">
        <v>0</v>
      </c>
      <c r="G154" s="258">
        <v>0</v>
      </c>
      <c r="H154" s="186">
        <v>40</v>
      </c>
      <c r="I154" s="186">
        <v>0</v>
      </c>
      <c r="J154" s="186">
        <v>0</v>
      </c>
    </row>
    <row r="155" spans="1:10">
      <c r="A155" s="188">
        <v>42650</v>
      </c>
      <c r="B155" s="186" t="s">
        <v>474</v>
      </c>
      <c r="C155" s="262" t="s">
        <v>464</v>
      </c>
      <c r="D155" s="186">
        <v>0</v>
      </c>
      <c r="E155" s="186">
        <v>0</v>
      </c>
      <c r="F155" s="186">
        <v>0</v>
      </c>
      <c r="G155" s="258">
        <v>0</v>
      </c>
      <c r="H155" s="186">
        <v>46</v>
      </c>
      <c r="I155" s="186">
        <v>0</v>
      </c>
      <c r="J155" s="186">
        <v>0</v>
      </c>
    </row>
    <row r="156" spans="1:10">
      <c r="A156" s="188">
        <v>42650</v>
      </c>
      <c r="B156" s="186" t="s">
        <v>474</v>
      </c>
      <c r="C156" s="262" t="s">
        <v>472</v>
      </c>
      <c r="D156" s="186">
        <v>0</v>
      </c>
      <c r="E156" s="186">
        <v>0</v>
      </c>
      <c r="F156" s="186">
        <v>0</v>
      </c>
      <c r="G156" s="258">
        <v>0</v>
      </c>
      <c r="H156" s="186">
        <v>1</v>
      </c>
      <c r="I156" s="186">
        <v>0</v>
      </c>
      <c r="J156" s="186">
        <v>0</v>
      </c>
    </row>
    <row r="157" spans="1:10">
      <c r="A157" s="188">
        <v>42650</v>
      </c>
      <c r="B157" s="186" t="s">
        <v>474</v>
      </c>
      <c r="C157" s="262" t="s">
        <v>479</v>
      </c>
      <c r="D157" s="186">
        <v>0</v>
      </c>
      <c r="E157" s="186">
        <v>0</v>
      </c>
      <c r="F157" s="186">
        <v>0</v>
      </c>
      <c r="G157" s="258">
        <v>0</v>
      </c>
      <c r="H157" s="186">
        <v>1</v>
      </c>
      <c r="I157" s="186">
        <v>0</v>
      </c>
      <c r="J157" s="186">
        <v>0</v>
      </c>
    </row>
    <row r="158" spans="1:10">
      <c r="A158" s="188">
        <v>42650</v>
      </c>
      <c r="B158" s="186" t="s">
        <v>474</v>
      </c>
      <c r="C158" s="262" t="s">
        <v>480</v>
      </c>
      <c r="D158" s="186">
        <v>0</v>
      </c>
      <c r="E158" s="186">
        <v>1</v>
      </c>
      <c r="F158" s="186">
        <v>0</v>
      </c>
      <c r="G158" s="258">
        <v>0</v>
      </c>
      <c r="H158" s="186">
        <v>36</v>
      </c>
      <c r="I158" s="186">
        <v>1</v>
      </c>
      <c r="J158" s="186">
        <v>0</v>
      </c>
    </row>
    <row r="159" spans="1:10">
      <c r="A159" s="188">
        <v>42650</v>
      </c>
      <c r="B159" s="186" t="s">
        <v>474</v>
      </c>
      <c r="C159" s="262" t="s">
        <v>468</v>
      </c>
      <c r="D159" s="186">
        <v>0</v>
      </c>
      <c r="E159" s="186">
        <v>0</v>
      </c>
      <c r="F159" s="186">
        <v>0</v>
      </c>
      <c r="G159" s="258">
        <v>0</v>
      </c>
      <c r="H159" s="186">
        <v>3</v>
      </c>
      <c r="I159" s="186">
        <v>0</v>
      </c>
      <c r="J159" s="186">
        <v>0</v>
      </c>
    </row>
    <row r="160" spans="1:10">
      <c r="A160" s="188">
        <v>42650</v>
      </c>
      <c r="B160" s="186" t="s">
        <v>474</v>
      </c>
      <c r="C160" s="262" t="s">
        <v>469</v>
      </c>
      <c r="D160" s="186">
        <v>0</v>
      </c>
      <c r="E160" s="186">
        <v>0</v>
      </c>
      <c r="F160" s="186">
        <v>0</v>
      </c>
      <c r="G160" s="258">
        <v>0</v>
      </c>
      <c r="H160" s="186">
        <v>71</v>
      </c>
      <c r="I160" s="186">
        <v>0</v>
      </c>
      <c r="J160" s="186">
        <v>0</v>
      </c>
    </row>
    <row r="161" spans="1:10">
      <c r="A161" s="188">
        <v>42650</v>
      </c>
      <c r="B161" s="186" t="s">
        <v>474</v>
      </c>
      <c r="C161" s="262" t="s">
        <v>470</v>
      </c>
      <c r="D161" s="186">
        <v>0</v>
      </c>
      <c r="E161" s="186">
        <v>0</v>
      </c>
      <c r="F161" s="186">
        <v>0</v>
      </c>
      <c r="G161" s="258">
        <v>0</v>
      </c>
      <c r="H161" s="186">
        <v>149</v>
      </c>
      <c r="I161" s="186">
        <v>0</v>
      </c>
      <c r="J161" s="186">
        <v>0</v>
      </c>
    </row>
    <row r="162" spans="1:10">
      <c r="A162" s="188">
        <v>42650</v>
      </c>
      <c r="B162" s="186" t="s">
        <v>474</v>
      </c>
      <c r="C162" s="262" t="s">
        <v>471</v>
      </c>
      <c r="D162" s="186">
        <v>0</v>
      </c>
      <c r="E162" s="186">
        <v>0</v>
      </c>
      <c r="F162" s="186">
        <v>0</v>
      </c>
      <c r="G162" s="258">
        <v>0</v>
      </c>
      <c r="H162" s="186">
        <v>3</v>
      </c>
      <c r="I162" s="186">
        <v>0</v>
      </c>
      <c r="J162" s="186">
        <v>0</v>
      </c>
    </row>
    <row r="163" spans="1:10">
      <c r="A163" s="260">
        <v>42645</v>
      </c>
      <c r="B163" s="186" t="s">
        <v>193</v>
      </c>
      <c r="C163" s="262" t="s">
        <v>484</v>
      </c>
      <c r="D163" s="186">
        <v>0</v>
      </c>
      <c r="E163" s="186">
        <v>0</v>
      </c>
      <c r="F163" s="186">
        <v>0</v>
      </c>
      <c r="G163" s="258">
        <v>0</v>
      </c>
      <c r="H163" s="186">
        <v>0</v>
      </c>
      <c r="I163" s="186">
        <v>0</v>
      </c>
      <c r="J163" s="186">
        <v>0</v>
      </c>
    </row>
    <row r="164" spans="1:10">
      <c r="A164" s="188">
        <v>42646</v>
      </c>
      <c r="B164" s="188" t="s">
        <v>193</v>
      </c>
      <c r="C164" s="262" t="s">
        <v>484</v>
      </c>
      <c r="D164" s="186">
        <v>0</v>
      </c>
      <c r="E164" s="186">
        <v>0</v>
      </c>
      <c r="F164" s="186">
        <v>0</v>
      </c>
      <c r="G164" s="258">
        <v>0</v>
      </c>
      <c r="H164" s="186">
        <v>0</v>
      </c>
      <c r="I164" s="186">
        <v>0</v>
      </c>
      <c r="J164" s="186">
        <v>0</v>
      </c>
    </row>
    <row r="165" spans="1:10">
      <c r="A165" s="188">
        <v>42647</v>
      </c>
      <c r="B165" s="188" t="s">
        <v>193</v>
      </c>
      <c r="C165" s="262" t="s">
        <v>484</v>
      </c>
      <c r="D165" s="186">
        <v>0</v>
      </c>
      <c r="E165" s="186">
        <v>0</v>
      </c>
      <c r="F165" s="186">
        <v>0</v>
      </c>
      <c r="G165" s="258">
        <v>0</v>
      </c>
      <c r="H165" s="186">
        <v>0</v>
      </c>
      <c r="I165" s="186">
        <v>0</v>
      </c>
      <c r="J165" s="186">
        <v>0</v>
      </c>
    </row>
    <row r="166" spans="1:10">
      <c r="A166" s="188">
        <v>42648</v>
      </c>
      <c r="B166" s="188" t="s">
        <v>193</v>
      </c>
      <c r="C166" s="262" t="s">
        <v>484</v>
      </c>
      <c r="D166" s="186">
        <v>0</v>
      </c>
      <c r="E166" s="186">
        <v>0</v>
      </c>
      <c r="F166" s="186">
        <v>0</v>
      </c>
      <c r="G166" s="258">
        <v>0</v>
      </c>
      <c r="H166" s="186">
        <v>0</v>
      </c>
      <c r="I166" s="186">
        <v>0</v>
      </c>
      <c r="J166" s="186">
        <v>0</v>
      </c>
    </row>
    <row r="167" spans="1:10">
      <c r="A167" s="188">
        <v>42649</v>
      </c>
      <c r="B167" s="188" t="s">
        <v>193</v>
      </c>
      <c r="C167" s="262" t="s">
        <v>484</v>
      </c>
      <c r="D167" s="186">
        <v>0</v>
      </c>
      <c r="E167" s="186">
        <v>1</v>
      </c>
      <c r="F167" s="186">
        <v>0</v>
      </c>
      <c r="G167" s="258">
        <v>0</v>
      </c>
      <c r="H167" s="186">
        <v>0</v>
      </c>
      <c r="I167" s="186">
        <v>1</v>
      </c>
      <c r="J167" s="186">
        <v>0</v>
      </c>
    </row>
    <row r="168" spans="1:10">
      <c r="A168" s="260">
        <v>42644</v>
      </c>
      <c r="B168" s="188" t="s">
        <v>227</v>
      </c>
      <c r="C168" s="262" t="s">
        <v>484</v>
      </c>
      <c r="D168" s="186">
        <v>0</v>
      </c>
      <c r="E168" s="186">
        <v>2</v>
      </c>
      <c r="F168" s="186">
        <v>0</v>
      </c>
      <c r="G168" s="258">
        <v>0</v>
      </c>
      <c r="H168" s="186">
        <v>0</v>
      </c>
      <c r="I168" s="186">
        <v>2</v>
      </c>
      <c r="J168" s="186">
        <v>0</v>
      </c>
    </row>
    <row r="169" spans="1:10">
      <c r="A169" s="260">
        <v>42644</v>
      </c>
      <c r="B169" s="188" t="s">
        <v>227</v>
      </c>
      <c r="C169" s="262" t="s">
        <v>487</v>
      </c>
      <c r="D169" s="186">
        <v>0</v>
      </c>
      <c r="E169" s="186">
        <v>0</v>
      </c>
      <c r="F169" s="186">
        <v>0</v>
      </c>
      <c r="G169" s="258">
        <v>0</v>
      </c>
      <c r="H169" s="186">
        <v>2</v>
      </c>
      <c r="I169" s="186">
        <v>0</v>
      </c>
      <c r="J169" s="186">
        <v>0</v>
      </c>
    </row>
    <row r="170" spans="1:10">
      <c r="A170" s="260">
        <v>42644</v>
      </c>
      <c r="B170" s="188" t="s">
        <v>227</v>
      </c>
      <c r="C170" s="262" t="s">
        <v>462</v>
      </c>
      <c r="D170" s="186">
        <v>0</v>
      </c>
      <c r="E170" s="186">
        <v>0</v>
      </c>
      <c r="F170" s="186">
        <v>0</v>
      </c>
      <c r="G170" s="258">
        <v>0</v>
      </c>
      <c r="H170" s="186">
        <v>43</v>
      </c>
      <c r="I170" s="186">
        <v>0</v>
      </c>
      <c r="J170" s="186">
        <v>0</v>
      </c>
    </row>
    <row r="171" spans="1:10">
      <c r="A171" s="260">
        <v>42644</v>
      </c>
      <c r="B171" s="188" t="s">
        <v>227</v>
      </c>
      <c r="C171" s="262" t="s">
        <v>468</v>
      </c>
      <c r="D171" s="186">
        <v>0</v>
      </c>
      <c r="E171" s="186">
        <v>0</v>
      </c>
      <c r="F171" s="186">
        <v>0</v>
      </c>
      <c r="G171" s="258">
        <v>0</v>
      </c>
      <c r="H171" s="186">
        <v>11</v>
      </c>
      <c r="I171" s="186">
        <v>0</v>
      </c>
      <c r="J171" s="186">
        <v>0</v>
      </c>
    </row>
    <row r="172" spans="1:10">
      <c r="A172" s="260">
        <v>42644</v>
      </c>
      <c r="B172" s="188" t="s">
        <v>227</v>
      </c>
      <c r="C172" s="262" t="s">
        <v>469</v>
      </c>
      <c r="D172" s="186">
        <v>0</v>
      </c>
      <c r="E172" s="186">
        <v>0</v>
      </c>
      <c r="F172" s="186">
        <v>0</v>
      </c>
      <c r="G172" s="258">
        <v>0</v>
      </c>
      <c r="H172" s="186">
        <v>109</v>
      </c>
      <c r="I172" s="186">
        <v>0</v>
      </c>
      <c r="J172" s="186">
        <v>0</v>
      </c>
    </row>
    <row r="173" spans="1:10">
      <c r="A173" s="260">
        <v>42644</v>
      </c>
      <c r="B173" s="188" t="s">
        <v>227</v>
      </c>
      <c r="C173" s="262" t="s">
        <v>471</v>
      </c>
      <c r="D173" s="186">
        <v>0</v>
      </c>
      <c r="E173" s="186">
        <v>0</v>
      </c>
      <c r="F173" s="186">
        <v>0</v>
      </c>
      <c r="G173" s="258">
        <v>0</v>
      </c>
      <c r="H173" s="186">
        <v>6</v>
      </c>
      <c r="I173" s="186">
        <v>0</v>
      </c>
      <c r="J173" s="186">
        <v>0</v>
      </c>
    </row>
    <row r="174" spans="1:10">
      <c r="A174" s="188">
        <v>42645</v>
      </c>
      <c r="B174" s="186" t="s">
        <v>227</v>
      </c>
      <c r="C174" s="262" t="s">
        <v>487</v>
      </c>
      <c r="D174" s="186">
        <v>0</v>
      </c>
      <c r="E174" s="186">
        <v>0</v>
      </c>
      <c r="F174" s="186">
        <v>0</v>
      </c>
      <c r="G174" s="258">
        <v>0</v>
      </c>
      <c r="H174" s="186">
        <v>2</v>
      </c>
      <c r="I174" s="186">
        <v>0</v>
      </c>
      <c r="J174" s="186">
        <v>0</v>
      </c>
    </row>
    <row r="175" spans="1:10">
      <c r="A175" s="188">
        <v>42645</v>
      </c>
      <c r="B175" s="186" t="s">
        <v>227</v>
      </c>
      <c r="C175" s="262" t="s">
        <v>462</v>
      </c>
      <c r="D175" s="186">
        <v>0</v>
      </c>
      <c r="E175" s="186">
        <v>0</v>
      </c>
      <c r="F175" s="186">
        <v>0</v>
      </c>
      <c r="G175" s="258">
        <v>0</v>
      </c>
      <c r="H175" s="186">
        <v>81</v>
      </c>
      <c r="I175" s="186">
        <v>0</v>
      </c>
      <c r="J175" s="186">
        <v>0</v>
      </c>
    </row>
    <row r="176" spans="1:10">
      <c r="A176" s="188">
        <v>42645</v>
      </c>
      <c r="B176" s="186" t="s">
        <v>227</v>
      </c>
      <c r="C176" s="262" t="s">
        <v>468</v>
      </c>
      <c r="D176" s="186">
        <v>0</v>
      </c>
      <c r="E176" s="186">
        <v>0</v>
      </c>
      <c r="F176" s="186">
        <v>0</v>
      </c>
      <c r="G176" s="258">
        <v>0</v>
      </c>
      <c r="H176" s="186">
        <v>16</v>
      </c>
      <c r="I176" s="186">
        <v>0</v>
      </c>
      <c r="J176" s="186">
        <v>0</v>
      </c>
    </row>
    <row r="177" spans="1:10">
      <c r="A177" s="188">
        <v>42645</v>
      </c>
      <c r="B177" s="186" t="s">
        <v>227</v>
      </c>
      <c r="C177" s="262" t="s">
        <v>469</v>
      </c>
      <c r="D177" s="186">
        <v>0</v>
      </c>
      <c r="E177" s="186">
        <v>0</v>
      </c>
      <c r="F177" s="186">
        <v>0</v>
      </c>
      <c r="G177" s="258">
        <v>0</v>
      </c>
      <c r="H177" s="186">
        <v>205</v>
      </c>
      <c r="I177" s="186">
        <v>0</v>
      </c>
      <c r="J177" s="186">
        <v>0</v>
      </c>
    </row>
    <row r="178" spans="1:10">
      <c r="A178" s="188">
        <v>42645</v>
      </c>
      <c r="B178" s="186" t="s">
        <v>227</v>
      </c>
      <c r="C178" s="262" t="s">
        <v>471</v>
      </c>
      <c r="D178" s="186">
        <v>0</v>
      </c>
      <c r="E178" s="186">
        <v>0</v>
      </c>
      <c r="F178" s="186">
        <v>0</v>
      </c>
      <c r="G178" s="258">
        <v>0</v>
      </c>
      <c r="H178" s="186">
        <v>13</v>
      </c>
      <c r="I178" s="186">
        <v>0</v>
      </c>
      <c r="J178" s="186">
        <v>0</v>
      </c>
    </row>
    <row r="179" spans="1:10">
      <c r="A179" s="188">
        <v>42646</v>
      </c>
      <c r="B179" s="186" t="s">
        <v>227</v>
      </c>
      <c r="C179" s="262" t="s">
        <v>487</v>
      </c>
      <c r="D179" s="186">
        <v>0</v>
      </c>
      <c r="E179" s="186">
        <v>0</v>
      </c>
      <c r="F179" s="186">
        <v>0</v>
      </c>
      <c r="G179" s="258">
        <v>0</v>
      </c>
      <c r="H179" s="186">
        <v>2</v>
      </c>
      <c r="I179" s="186">
        <v>0</v>
      </c>
      <c r="J179" s="186">
        <v>0</v>
      </c>
    </row>
    <row r="180" spans="1:10">
      <c r="A180" s="188">
        <v>42646</v>
      </c>
      <c r="B180" s="186" t="s">
        <v>227</v>
      </c>
      <c r="C180" s="262" t="s">
        <v>462</v>
      </c>
      <c r="D180" s="186">
        <v>0</v>
      </c>
      <c r="E180" s="186">
        <v>0</v>
      </c>
      <c r="F180" s="186">
        <v>0</v>
      </c>
      <c r="G180" s="258">
        <v>0</v>
      </c>
      <c r="H180" s="186">
        <v>121</v>
      </c>
      <c r="I180" s="186">
        <v>0</v>
      </c>
      <c r="J180" s="186">
        <v>0</v>
      </c>
    </row>
    <row r="181" spans="1:10">
      <c r="A181" s="188">
        <v>42646</v>
      </c>
      <c r="B181" s="186" t="s">
        <v>227</v>
      </c>
      <c r="C181" s="262" t="s">
        <v>468</v>
      </c>
      <c r="D181" s="186">
        <v>0</v>
      </c>
      <c r="E181" s="186">
        <v>0</v>
      </c>
      <c r="F181" s="186">
        <v>0</v>
      </c>
      <c r="G181" s="258">
        <v>0</v>
      </c>
      <c r="H181" s="186">
        <v>22</v>
      </c>
      <c r="I181" s="186">
        <v>0</v>
      </c>
      <c r="J181" s="186">
        <v>0</v>
      </c>
    </row>
    <row r="182" spans="1:10">
      <c r="A182" s="188">
        <v>42646</v>
      </c>
      <c r="B182" s="186" t="s">
        <v>227</v>
      </c>
      <c r="C182" s="262" t="s">
        <v>469</v>
      </c>
      <c r="D182" s="186">
        <v>0</v>
      </c>
      <c r="E182" s="186">
        <v>0</v>
      </c>
      <c r="F182" s="186">
        <v>0</v>
      </c>
      <c r="G182" s="258">
        <v>0</v>
      </c>
      <c r="H182" s="186">
        <v>303</v>
      </c>
      <c r="I182" s="186">
        <v>0</v>
      </c>
      <c r="J182" s="186">
        <v>0</v>
      </c>
    </row>
    <row r="183" spans="1:10">
      <c r="A183" s="188">
        <v>42646</v>
      </c>
      <c r="B183" s="186" t="s">
        <v>227</v>
      </c>
      <c r="C183" s="262" t="s">
        <v>471</v>
      </c>
      <c r="D183" s="186">
        <v>0</v>
      </c>
      <c r="E183" s="186">
        <v>0</v>
      </c>
      <c r="F183" s="186">
        <v>0</v>
      </c>
      <c r="G183" s="258">
        <v>0</v>
      </c>
      <c r="H183" s="186">
        <v>15</v>
      </c>
      <c r="I183" s="186">
        <v>0</v>
      </c>
      <c r="J183" s="186">
        <v>0</v>
      </c>
    </row>
    <row r="184" spans="1:10">
      <c r="A184" s="188">
        <v>42647</v>
      </c>
      <c r="B184" s="186" t="s">
        <v>227</v>
      </c>
      <c r="C184" s="262" t="s">
        <v>487</v>
      </c>
      <c r="D184" s="186">
        <v>0</v>
      </c>
      <c r="E184" s="186">
        <v>0</v>
      </c>
      <c r="F184" s="186">
        <v>0</v>
      </c>
      <c r="G184" s="258">
        <v>0</v>
      </c>
      <c r="H184" s="186">
        <v>2</v>
      </c>
      <c r="I184" s="186">
        <v>0</v>
      </c>
      <c r="J184" s="186">
        <v>0</v>
      </c>
    </row>
    <row r="185" spans="1:10">
      <c r="A185" s="188">
        <v>42647</v>
      </c>
      <c r="B185" s="186" t="s">
        <v>227</v>
      </c>
      <c r="C185" s="262" t="s">
        <v>462</v>
      </c>
      <c r="D185" s="186">
        <v>0</v>
      </c>
      <c r="E185" s="186">
        <v>0</v>
      </c>
      <c r="F185" s="186">
        <v>0</v>
      </c>
      <c r="G185" s="258">
        <v>0</v>
      </c>
      <c r="H185" s="186">
        <v>149</v>
      </c>
      <c r="I185" s="186">
        <v>0</v>
      </c>
      <c r="J185" s="186">
        <v>0</v>
      </c>
    </row>
    <row r="186" spans="1:10">
      <c r="A186" s="188">
        <v>42647</v>
      </c>
      <c r="B186" s="186" t="s">
        <v>227</v>
      </c>
      <c r="C186" s="262" t="s">
        <v>468</v>
      </c>
      <c r="D186" s="186">
        <v>0</v>
      </c>
      <c r="E186" s="186">
        <v>0</v>
      </c>
      <c r="F186" s="186">
        <v>0</v>
      </c>
      <c r="G186" s="258">
        <v>0</v>
      </c>
      <c r="H186" s="186">
        <v>26</v>
      </c>
      <c r="I186" s="186">
        <v>0</v>
      </c>
      <c r="J186" s="186">
        <v>0</v>
      </c>
    </row>
    <row r="187" spans="1:10">
      <c r="A187" s="188">
        <v>42647</v>
      </c>
      <c r="B187" s="186" t="s">
        <v>227</v>
      </c>
      <c r="C187" s="262" t="s">
        <v>469</v>
      </c>
      <c r="D187" s="186">
        <v>0</v>
      </c>
      <c r="E187" s="186">
        <v>0</v>
      </c>
      <c r="F187" s="186">
        <v>0</v>
      </c>
      <c r="G187" s="258">
        <v>0</v>
      </c>
      <c r="H187" s="186">
        <v>371</v>
      </c>
      <c r="I187" s="186">
        <v>0</v>
      </c>
      <c r="J187" s="186">
        <v>0</v>
      </c>
    </row>
    <row r="188" spans="1:10">
      <c r="A188" s="188">
        <v>42647</v>
      </c>
      <c r="B188" s="186" t="s">
        <v>227</v>
      </c>
      <c r="C188" s="262" t="s">
        <v>471</v>
      </c>
      <c r="D188" s="186">
        <v>0</v>
      </c>
      <c r="E188" s="186">
        <v>0</v>
      </c>
      <c r="F188" s="186">
        <v>0</v>
      </c>
      <c r="G188" s="258">
        <v>0</v>
      </c>
      <c r="H188" s="186">
        <v>19</v>
      </c>
      <c r="I188" s="186">
        <v>0</v>
      </c>
      <c r="J188" s="186">
        <v>0</v>
      </c>
    </row>
    <row r="189" spans="1:10">
      <c r="A189" s="188">
        <v>42648</v>
      </c>
      <c r="B189" s="186" t="s">
        <v>227</v>
      </c>
      <c r="C189" s="262" t="s">
        <v>487</v>
      </c>
      <c r="D189" s="186">
        <v>0</v>
      </c>
      <c r="E189" s="186">
        <v>0</v>
      </c>
      <c r="F189" s="186">
        <v>0</v>
      </c>
      <c r="G189" s="258">
        <v>0</v>
      </c>
      <c r="H189" s="186">
        <v>2</v>
      </c>
      <c r="I189" s="186">
        <v>0</v>
      </c>
      <c r="J189" s="186">
        <v>0</v>
      </c>
    </row>
    <row r="190" spans="1:10">
      <c r="A190" s="188">
        <v>42648</v>
      </c>
      <c r="B190" s="186" t="s">
        <v>227</v>
      </c>
      <c r="C190" s="262" t="s">
        <v>462</v>
      </c>
      <c r="D190" s="186">
        <v>0</v>
      </c>
      <c r="E190" s="186">
        <v>0</v>
      </c>
      <c r="F190" s="186">
        <v>0</v>
      </c>
      <c r="G190" s="258">
        <v>0</v>
      </c>
      <c r="H190" s="186">
        <v>178</v>
      </c>
      <c r="I190" s="186">
        <v>0</v>
      </c>
      <c r="J190" s="186">
        <v>0</v>
      </c>
    </row>
    <row r="191" spans="1:10">
      <c r="A191" s="188">
        <v>42648</v>
      </c>
      <c r="B191" s="186" t="s">
        <v>227</v>
      </c>
      <c r="C191" s="262" t="s">
        <v>468</v>
      </c>
      <c r="D191" s="186">
        <v>0</v>
      </c>
      <c r="E191" s="186">
        <v>0</v>
      </c>
      <c r="F191" s="186">
        <v>0</v>
      </c>
      <c r="G191" s="258">
        <v>0</v>
      </c>
      <c r="H191" s="186">
        <v>29</v>
      </c>
      <c r="I191" s="186">
        <v>0</v>
      </c>
      <c r="J191" s="186">
        <v>0</v>
      </c>
    </row>
    <row r="192" spans="1:10">
      <c r="A192" s="188">
        <v>42648</v>
      </c>
      <c r="B192" s="186" t="s">
        <v>227</v>
      </c>
      <c r="C192" s="262" t="s">
        <v>469</v>
      </c>
      <c r="D192" s="186">
        <v>0</v>
      </c>
      <c r="E192" s="186">
        <v>0</v>
      </c>
      <c r="F192" s="186">
        <v>0</v>
      </c>
      <c r="G192" s="258">
        <v>0</v>
      </c>
      <c r="H192" s="186">
        <v>475</v>
      </c>
      <c r="I192" s="186">
        <v>0</v>
      </c>
      <c r="J192" s="186">
        <v>0</v>
      </c>
    </row>
    <row r="193" spans="1:10">
      <c r="A193" s="188">
        <v>42648</v>
      </c>
      <c r="B193" s="186" t="s">
        <v>227</v>
      </c>
      <c r="C193" s="262" t="s">
        <v>471</v>
      </c>
      <c r="D193" s="186">
        <v>0</v>
      </c>
      <c r="E193" s="186">
        <v>0</v>
      </c>
      <c r="F193" s="186">
        <v>0</v>
      </c>
      <c r="G193" s="258">
        <v>0</v>
      </c>
      <c r="H193" s="186">
        <v>25</v>
      </c>
      <c r="I193" s="186">
        <v>0</v>
      </c>
      <c r="J193" s="186">
        <v>0</v>
      </c>
    </row>
    <row r="194" spans="1:10">
      <c r="A194" s="188">
        <v>42649</v>
      </c>
      <c r="B194" s="186" t="s">
        <v>227</v>
      </c>
      <c r="C194" s="262" t="s">
        <v>487</v>
      </c>
      <c r="D194" s="186">
        <v>0</v>
      </c>
      <c r="E194" s="186">
        <v>0</v>
      </c>
      <c r="F194" s="186">
        <v>0</v>
      </c>
      <c r="G194" s="258">
        <v>0</v>
      </c>
      <c r="H194" s="186">
        <v>2</v>
      </c>
      <c r="I194" s="186">
        <v>0</v>
      </c>
      <c r="J194" s="186">
        <v>0</v>
      </c>
    </row>
    <row r="195" spans="1:10">
      <c r="A195" s="188">
        <v>42649</v>
      </c>
      <c r="B195" s="186" t="s">
        <v>227</v>
      </c>
      <c r="C195" s="262" t="s">
        <v>462</v>
      </c>
      <c r="D195" s="186">
        <v>0</v>
      </c>
      <c r="E195" s="186">
        <v>0</v>
      </c>
      <c r="F195" s="186">
        <v>0</v>
      </c>
      <c r="G195" s="258">
        <v>0</v>
      </c>
      <c r="H195" s="186">
        <v>205</v>
      </c>
      <c r="I195" s="186">
        <v>0</v>
      </c>
      <c r="J195" s="186">
        <v>0</v>
      </c>
    </row>
    <row r="196" spans="1:10">
      <c r="A196" s="188">
        <v>42649</v>
      </c>
      <c r="B196" s="186" t="s">
        <v>227</v>
      </c>
      <c r="C196" s="262" t="s">
        <v>479</v>
      </c>
      <c r="D196" s="186">
        <v>0</v>
      </c>
      <c r="E196" s="186">
        <v>0</v>
      </c>
      <c r="F196" s="186">
        <v>0</v>
      </c>
      <c r="G196" s="258">
        <v>0</v>
      </c>
      <c r="H196" s="186">
        <v>1</v>
      </c>
      <c r="I196" s="186">
        <v>0</v>
      </c>
      <c r="J196" s="186">
        <v>0</v>
      </c>
    </row>
    <row r="197" spans="1:10">
      <c r="A197" s="188">
        <v>42649</v>
      </c>
      <c r="B197" s="186" t="s">
        <v>227</v>
      </c>
      <c r="C197" s="262" t="s">
        <v>468</v>
      </c>
      <c r="D197" s="186">
        <v>0</v>
      </c>
      <c r="E197" s="186">
        <v>0</v>
      </c>
      <c r="F197" s="186">
        <v>0</v>
      </c>
      <c r="G197" s="258">
        <v>0</v>
      </c>
      <c r="H197" s="186">
        <v>31</v>
      </c>
      <c r="I197" s="186">
        <v>0</v>
      </c>
      <c r="J197" s="186">
        <v>0</v>
      </c>
    </row>
    <row r="198" spans="1:10">
      <c r="A198" s="188">
        <v>42649</v>
      </c>
      <c r="B198" s="186" t="s">
        <v>227</v>
      </c>
      <c r="C198" s="262" t="s">
        <v>469</v>
      </c>
      <c r="D198" s="186">
        <v>0</v>
      </c>
      <c r="E198" s="186">
        <v>0</v>
      </c>
      <c r="F198" s="186">
        <v>0</v>
      </c>
      <c r="G198" s="258">
        <v>0</v>
      </c>
      <c r="H198" s="186">
        <v>536</v>
      </c>
      <c r="I198" s="186">
        <v>0</v>
      </c>
      <c r="J198" s="186">
        <v>0</v>
      </c>
    </row>
    <row r="199" spans="1:10">
      <c r="A199" s="188">
        <v>42649</v>
      </c>
      <c r="B199" s="186" t="s">
        <v>227</v>
      </c>
      <c r="C199" s="262" t="s">
        <v>471</v>
      </c>
      <c r="D199" s="186">
        <v>0</v>
      </c>
      <c r="E199" s="186">
        <v>0</v>
      </c>
      <c r="F199" s="186">
        <v>0</v>
      </c>
      <c r="G199" s="258">
        <v>0</v>
      </c>
      <c r="H199" s="186">
        <v>27</v>
      </c>
      <c r="I199" s="186">
        <v>0</v>
      </c>
      <c r="J199" s="186">
        <v>0</v>
      </c>
    </row>
    <row r="200" spans="1:10">
      <c r="A200" s="188">
        <v>42650</v>
      </c>
      <c r="B200" s="186" t="s">
        <v>227</v>
      </c>
      <c r="C200" s="262" t="s">
        <v>487</v>
      </c>
      <c r="D200" s="186">
        <v>0</v>
      </c>
      <c r="E200" s="186">
        <v>0</v>
      </c>
      <c r="F200" s="186">
        <v>0</v>
      </c>
      <c r="G200" s="258">
        <v>0</v>
      </c>
      <c r="H200" s="186">
        <v>2</v>
      </c>
      <c r="I200" s="186">
        <v>0</v>
      </c>
      <c r="J200" s="186">
        <v>0</v>
      </c>
    </row>
    <row r="201" spans="1:10">
      <c r="A201" s="188">
        <v>42650</v>
      </c>
      <c r="B201" s="186" t="s">
        <v>227</v>
      </c>
      <c r="C201" s="262" t="s">
        <v>462</v>
      </c>
      <c r="D201" s="186">
        <v>0</v>
      </c>
      <c r="E201" s="186">
        <v>0</v>
      </c>
      <c r="F201" s="186">
        <v>0</v>
      </c>
      <c r="G201" s="258">
        <v>0</v>
      </c>
      <c r="H201" s="186">
        <v>260</v>
      </c>
      <c r="I201" s="186">
        <v>0</v>
      </c>
      <c r="J201" s="186">
        <v>0</v>
      </c>
    </row>
    <row r="202" spans="1:10">
      <c r="A202" s="188">
        <v>42650</v>
      </c>
      <c r="B202" s="186" t="s">
        <v>227</v>
      </c>
      <c r="C202" s="262" t="s">
        <v>479</v>
      </c>
      <c r="D202" s="186">
        <v>0</v>
      </c>
      <c r="E202" s="186">
        <v>0</v>
      </c>
      <c r="F202" s="186">
        <v>0</v>
      </c>
      <c r="G202" s="258">
        <v>0</v>
      </c>
      <c r="H202" s="186">
        <v>1</v>
      </c>
      <c r="I202" s="186">
        <v>0</v>
      </c>
      <c r="J202" s="186">
        <v>0</v>
      </c>
    </row>
    <row r="203" spans="1:10">
      <c r="A203" s="188">
        <v>42650</v>
      </c>
      <c r="B203" s="186" t="s">
        <v>227</v>
      </c>
      <c r="C203" s="262" t="s">
        <v>468</v>
      </c>
      <c r="D203" s="186">
        <v>0</v>
      </c>
      <c r="E203" s="186">
        <v>0</v>
      </c>
      <c r="F203" s="186">
        <v>0</v>
      </c>
      <c r="G203" s="258">
        <v>0</v>
      </c>
      <c r="H203" s="186">
        <v>36</v>
      </c>
      <c r="I203" s="186">
        <v>0</v>
      </c>
      <c r="J203" s="186">
        <v>0</v>
      </c>
    </row>
    <row r="204" spans="1:10">
      <c r="A204" s="188">
        <v>42650</v>
      </c>
      <c r="B204" s="186" t="s">
        <v>227</v>
      </c>
      <c r="C204" s="262" t="s">
        <v>469</v>
      </c>
      <c r="D204" s="186">
        <v>0</v>
      </c>
      <c r="E204" s="186">
        <v>0</v>
      </c>
      <c r="F204" s="186">
        <v>0</v>
      </c>
      <c r="G204" s="258">
        <v>0</v>
      </c>
      <c r="H204" s="186">
        <v>616</v>
      </c>
      <c r="I204" s="186">
        <v>0</v>
      </c>
      <c r="J204" s="186">
        <v>0</v>
      </c>
    </row>
    <row r="205" spans="1:10">
      <c r="A205" s="188">
        <v>42650</v>
      </c>
      <c r="B205" s="186" t="s">
        <v>227</v>
      </c>
      <c r="C205" s="262" t="s">
        <v>471</v>
      </c>
      <c r="D205" s="186">
        <v>0</v>
      </c>
      <c r="E205" s="186">
        <v>0</v>
      </c>
      <c r="F205" s="186">
        <v>0</v>
      </c>
      <c r="G205" s="258">
        <v>0</v>
      </c>
      <c r="H205" s="186">
        <v>41</v>
      </c>
      <c r="I205" s="186">
        <v>0</v>
      </c>
      <c r="J205" s="186">
        <v>0</v>
      </c>
    </row>
    <row r="206" spans="1:10">
      <c r="A206" s="260">
        <v>42644</v>
      </c>
      <c r="B206" s="186" t="s">
        <v>226</v>
      </c>
      <c r="C206" s="262" t="s">
        <v>462</v>
      </c>
      <c r="D206" s="186">
        <v>0</v>
      </c>
      <c r="E206" s="186">
        <v>0</v>
      </c>
      <c r="F206" s="186">
        <v>0</v>
      </c>
      <c r="G206" s="258">
        <v>0</v>
      </c>
      <c r="H206" s="186">
        <v>34</v>
      </c>
      <c r="I206" s="186">
        <v>0</v>
      </c>
      <c r="J206" s="186">
        <v>0</v>
      </c>
    </row>
    <row r="207" spans="1:10">
      <c r="A207" s="260">
        <v>42644</v>
      </c>
      <c r="B207" s="186" t="s">
        <v>226</v>
      </c>
      <c r="C207" s="262" t="s">
        <v>464</v>
      </c>
      <c r="D207" s="186">
        <v>0</v>
      </c>
      <c r="E207" s="186">
        <v>0</v>
      </c>
      <c r="F207" s="186">
        <v>0</v>
      </c>
      <c r="G207" s="258">
        <v>0</v>
      </c>
      <c r="H207" s="186">
        <v>22</v>
      </c>
      <c r="I207" s="186">
        <v>0</v>
      </c>
      <c r="J207" s="186">
        <v>0</v>
      </c>
    </row>
    <row r="208" spans="1:10">
      <c r="A208" s="260">
        <v>42644</v>
      </c>
      <c r="B208" s="186" t="s">
        <v>226</v>
      </c>
      <c r="C208" s="262" t="s">
        <v>465</v>
      </c>
      <c r="D208" s="186">
        <v>0</v>
      </c>
      <c r="E208" s="186">
        <v>0</v>
      </c>
      <c r="F208" s="186">
        <v>0</v>
      </c>
      <c r="G208" s="258">
        <v>0</v>
      </c>
      <c r="H208" s="186">
        <v>220</v>
      </c>
      <c r="I208" s="186">
        <v>0</v>
      </c>
      <c r="J208" s="186">
        <v>0</v>
      </c>
    </row>
    <row r="209" spans="1:10">
      <c r="A209" s="260">
        <v>42644</v>
      </c>
      <c r="B209" s="186" t="s">
        <v>226</v>
      </c>
      <c r="C209" s="262" t="s">
        <v>466</v>
      </c>
      <c r="D209" s="186">
        <v>1</v>
      </c>
      <c r="E209" s="186">
        <v>1</v>
      </c>
      <c r="F209" s="186">
        <v>0</v>
      </c>
      <c r="G209" s="258">
        <v>0</v>
      </c>
      <c r="H209" s="186">
        <v>122</v>
      </c>
      <c r="I209" s="186">
        <v>1</v>
      </c>
      <c r="J209" s="186">
        <v>0</v>
      </c>
    </row>
    <row r="210" spans="1:10">
      <c r="A210" s="260">
        <v>42644</v>
      </c>
      <c r="B210" s="186" t="s">
        <v>226</v>
      </c>
      <c r="C210" s="262" t="s">
        <v>468</v>
      </c>
      <c r="D210" s="186">
        <v>0</v>
      </c>
      <c r="E210" s="186">
        <v>0</v>
      </c>
      <c r="F210" s="186">
        <v>0</v>
      </c>
      <c r="G210" s="258">
        <v>0</v>
      </c>
      <c r="H210" s="186">
        <v>6</v>
      </c>
      <c r="I210" s="186">
        <v>0</v>
      </c>
      <c r="J210" s="186">
        <v>0</v>
      </c>
    </row>
    <row r="211" spans="1:10">
      <c r="A211" s="260">
        <v>42644</v>
      </c>
      <c r="B211" s="186" t="s">
        <v>226</v>
      </c>
      <c r="C211" s="262" t="s">
        <v>489</v>
      </c>
      <c r="D211" s="186">
        <v>0</v>
      </c>
      <c r="E211" s="186">
        <v>0</v>
      </c>
      <c r="F211" s="186">
        <v>0</v>
      </c>
      <c r="G211" s="258">
        <v>0</v>
      </c>
      <c r="H211" s="186">
        <v>1</v>
      </c>
      <c r="I211" s="186">
        <v>0</v>
      </c>
      <c r="J211" s="186">
        <v>0</v>
      </c>
    </row>
    <row r="212" spans="1:10">
      <c r="A212" s="260">
        <v>42644</v>
      </c>
      <c r="B212" s="186" t="s">
        <v>226</v>
      </c>
      <c r="C212" s="262" t="s">
        <v>469</v>
      </c>
      <c r="D212" s="186">
        <v>0</v>
      </c>
      <c r="E212" s="186">
        <v>0</v>
      </c>
      <c r="F212" s="186">
        <v>0</v>
      </c>
      <c r="G212" s="258">
        <v>0</v>
      </c>
      <c r="H212" s="186">
        <v>82</v>
      </c>
      <c r="I212" s="186">
        <v>0</v>
      </c>
      <c r="J212" s="186">
        <v>0</v>
      </c>
    </row>
    <row r="213" spans="1:10">
      <c r="A213" s="260">
        <v>42644</v>
      </c>
      <c r="B213" s="186" t="s">
        <v>226</v>
      </c>
      <c r="C213" s="262" t="s">
        <v>471</v>
      </c>
      <c r="D213" s="186">
        <v>0</v>
      </c>
      <c r="E213" s="186">
        <v>0</v>
      </c>
      <c r="F213" s="186">
        <v>0</v>
      </c>
      <c r="G213" s="258">
        <v>0</v>
      </c>
      <c r="H213" s="186">
        <v>4</v>
      </c>
      <c r="I213" s="186">
        <v>0</v>
      </c>
      <c r="J213" s="186">
        <v>0</v>
      </c>
    </row>
    <row r="214" spans="1:10">
      <c r="A214" s="188">
        <v>42645</v>
      </c>
      <c r="B214" s="186" t="s">
        <v>226</v>
      </c>
      <c r="C214" s="262" t="s">
        <v>463</v>
      </c>
      <c r="D214" s="186">
        <v>1</v>
      </c>
      <c r="E214" s="186">
        <v>1</v>
      </c>
      <c r="F214" s="186">
        <v>1</v>
      </c>
      <c r="G214" s="258">
        <v>1</v>
      </c>
      <c r="H214" s="186">
        <v>0</v>
      </c>
      <c r="I214" s="186">
        <v>1</v>
      </c>
      <c r="J214" s="186">
        <v>1</v>
      </c>
    </row>
    <row r="215" spans="1:10">
      <c r="A215" s="188">
        <v>42645</v>
      </c>
      <c r="B215" s="186" t="s">
        <v>226</v>
      </c>
      <c r="C215" s="262" t="s">
        <v>462</v>
      </c>
      <c r="D215" s="186">
        <v>0</v>
      </c>
      <c r="E215" s="186">
        <v>0</v>
      </c>
      <c r="F215" s="186">
        <v>0</v>
      </c>
      <c r="G215" s="258">
        <v>0</v>
      </c>
      <c r="H215" s="186">
        <v>75</v>
      </c>
      <c r="I215" s="186">
        <v>0</v>
      </c>
      <c r="J215" s="186">
        <v>0</v>
      </c>
    </row>
    <row r="216" spans="1:10">
      <c r="A216" s="188">
        <v>42645</v>
      </c>
      <c r="B216" s="186" t="s">
        <v>226</v>
      </c>
      <c r="C216" s="262" t="s">
        <v>464</v>
      </c>
      <c r="D216" s="186">
        <v>0</v>
      </c>
      <c r="E216" s="186">
        <v>0</v>
      </c>
      <c r="F216" s="186">
        <v>0</v>
      </c>
      <c r="G216" s="258">
        <v>0</v>
      </c>
      <c r="H216" s="186">
        <v>42</v>
      </c>
      <c r="I216" s="186">
        <v>0</v>
      </c>
      <c r="J216" s="186">
        <v>0</v>
      </c>
    </row>
    <row r="217" spans="1:10">
      <c r="A217" s="188">
        <v>42645</v>
      </c>
      <c r="B217" s="186" t="s">
        <v>226</v>
      </c>
      <c r="C217" s="262" t="s">
        <v>465</v>
      </c>
      <c r="D217" s="186">
        <v>0</v>
      </c>
      <c r="E217" s="186">
        <v>0</v>
      </c>
      <c r="F217" s="186">
        <v>0</v>
      </c>
      <c r="G217" s="258">
        <v>0</v>
      </c>
      <c r="H217" s="186">
        <v>403</v>
      </c>
      <c r="I217" s="186">
        <v>0</v>
      </c>
      <c r="J217" s="186">
        <v>0</v>
      </c>
    </row>
    <row r="218" spans="1:10">
      <c r="A218" s="188">
        <v>42645</v>
      </c>
      <c r="B218" s="186" t="s">
        <v>226</v>
      </c>
      <c r="C218" s="262" t="s">
        <v>466</v>
      </c>
      <c r="D218" s="186">
        <v>3</v>
      </c>
      <c r="E218" s="186">
        <v>4</v>
      </c>
      <c r="F218" s="186">
        <v>0</v>
      </c>
      <c r="G218" s="258">
        <v>0</v>
      </c>
      <c r="H218" s="186">
        <v>321</v>
      </c>
      <c r="I218" s="186">
        <v>4</v>
      </c>
      <c r="J218" s="186">
        <v>0</v>
      </c>
    </row>
    <row r="219" spans="1:10">
      <c r="A219" s="188">
        <v>42645</v>
      </c>
      <c r="B219" s="186" t="s">
        <v>226</v>
      </c>
      <c r="C219" s="262" t="s">
        <v>468</v>
      </c>
      <c r="D219" s="186">
        <v>0</v>
      </c>
      <c r="E219" s="186">
        <v>0</v>
      </c>
      <c r="F219" s="186">
        <v>0</v>
      </c>
      <c r="G219" s="258">
        <v>0</v>
      </c>
      <c r="H219" s="186">
        <v>14</v>
      </c>
      <c r="I219" s="186">
        <v>0</v>
      </c>
      <c r="J219" s="186">
        <v>0</v>
      </c>
    </row>
    <row r="220" spans="1:10">
      <c r="A220" s="188">
        <v>42645</v>
      </c>
      <c r="B220" s="186" t="s">
        <v>226</v>
      </c>
      <c r="C220" s="262" t="s">
        <v>489</v>
      </c>
      <c r="D220" s="186">
        <v>0</v>
      </c>
      <c r="E220" s="186">
        <v>0</v>
      </c>
      <c r="F220" s="186">
        <v>0</v>
      </c>
      <c r="G220" s="258">
        <v>0</v>
      </c>
      <c r="H220" s="186">
        <v>2</v>
      </c>
      <c r="I220" s="186">
        <v>0</v>
      </c>
      <c r="J220" s="186">
        <v>0</v>
      </c>
    </row>
    <row r="221" spans="1:10">
      <c r="A221" s="188">
        <v>42645</v>
      </c>
      <c r="B221" s="186" t="s">
        <v>226</v>
      </c>
      <c r="C221" s="262" t="s">
        <v>469</v>
      </c>
      <c r="D221" s="186">
        <v>0</v>
      </c>
      <c r="E221" s="186">
        <v>0</v>
      </c>
      <c r="F221" s="186">
        <v>0</v>
      </c>
      <c r="G221" s="258">
        <v>0</v>
      </c>
      <c r="H221" s="186">
        <v>151</v>
      </c>
      <c r="I221" s="186">
        <v>0</v>
      </c>
      <c r="J221" s="186">
        <v>0</v>
      </c>
    </row>
    <row r="222" spans="1:10">
      <c r="A222" s="188">
        <v>42645</v>
      </c>
      <c r="B222" s="186" t="s">
        <v>226</v>
      </c>
      <c r="C222" s="262" t="s">
        <v>471</v>
      </c>
      <c r="D222" s="186">
        <v>0</v>
      </c>
      <c r="E222" s="186">
        <v>0</v>
      </c>
      <c r="F222" s="186">
        <v>0</v>
      </c>
      <c r="G222" s="258">
        <v>0</v>
      </c>
      <c r="H222" s="186">
        <v>8</v>
      </c>
      <c r="I222" s="186">
        <v>0</v>
      </c>
      <c r="J222" s="186">
        <v>0</v>
      </c>
    </row>
    <row r="223" spans="1:10">
      <c r="A223" s="188">
        <v>42646</v>
      </c>
      <c r="B223" s="186" t="s">
        <v>226</v>
      </c>
      <c r="C223" s="262" t="s">
        <v>463</v>
      </c>
      <c r="D223" s="186">
        <v>0</v>
      </c>
      <c r="E223" s="186">
        <v>1</v>
      </c>
      <c r="F223" s="186">
        <v>0</v>
      </c>
      <c r="G223" s="258">
        <v>1</v>
      </c>
      <c r="H223" s="186">
        <v>0</v>
      </c>
      <c r="I223" s="186">
        <v>1</v>
      </c>
      <c r="J223" s="186">
        <v>1</v>
      </c>
    </row>
    <row r="224" spans="1:10">
      <c r="A224" s="188">
        <v>42646</v>
      </c>
      <c r="B224" s="186" t="s">
        <v>226</v>
      </c>
      <c r="C224" s="262" t="s">
        <v>462</v>
      </c>
      <c r="D224" s="186">
        <v>0</v>
      </c>
      <c r="E224" s="186">
        <v>0</v>
      </c>
      <c r="F224" s="186">
        <v>0</v>
      </c>
      <c r="G224" s="258">
        <v>0</v>
      </c>
      <c r="H224" s="186">
        <v>106</v>
      </c>
      <c r="I224" s="186">
        <v>0</v>
      </c>
      <c r="J224" s="186">
        <v>0</v>
      </c>
    </row>
    <row r="225" spans="1:10">
      <c r="A225" s="188">
        <v>42646</v>
      </c>
      <c r="B225" s="186" t="s">
        <v>226</v>
      </c>
      <c r="C225" s="262" t="s">
        <v>464</v>
      </c>
      <c r="D225" s="186">
        <v>0</v>
      </c>
      <c r="E225" s="186">
        <v>0</v>
      </c>
      <c r="F225" s="186">
        <v>0</v>
      </c>
      <c r="G225" s="258">
        <v>0</v>
      </c>
      <c r="H225" s="186">
        <v>81</v>
      </c>
      <c r="I225" s="186">
        <v>0</v>
      </c>
      <c r="J225" s="186">
        <v>0</v>
      </c>
    </row>
    <row r="226" spans="1:10">
      <c r="A226" s="188">
        <v>42646</v>
      </c>
      <c r="B226" s="186" t="s">
        <v>226</v>
      </c>
      <c r="C226" s="262" t="s">
        <v>465</v>
      </c>
      <c r="D226" s="186">
        <v>3</v>
      </c>
      <c r="E226" s="186">
        <v>3</v>
      </c>
      <c r="F226" s="186">
        <v>0</v>
      </c>
      <c r="G226" s="258">
        <v>0</v>
      </c>
      <c r="H226" s="186">
        <v>606</v>
      </c>
      <c r="I226" s="186">
        <v>3</v>
      </c>
      <c r="J226" s="186">
        <v>0</v>
      </c>
    </row>
    <row r="227" spans="1:10">
      <c r="A227" s="188">
        <v>42646</v>
      </c>
      <c r="B227" s="186" t="s">
        <v>226</v>
      </c>
      <c r="C227" s="262" t="s">
        <v>466</v>
      </c>
      <c r="D227" s="186">
        <v>2</v>
      </c>
      <c r="E227" s="186">
        <v>7</v>
      </c>
      <c r="F227" s="186">
        <v>0</v>
      </c>
      <c r="G227" s="258">
        <v>0</v>
      </c>
      <c r="H227" s="186">
        <v>402</v>
      </c>
      <c r="I227" s="186">
        <v>7</v>
      </c>
      <c r="J227" s="186">
        <v>0</v>
      </c>
    </row>
    <row r="228" spans="1:10">
      <c r="A228" s="188">
        <v>42646</v>
      </c>
      <c r="B228" s="186" t="s">
        <v>226</v>
      </c>
      <c r="C228" s="262" t="s">
        <v>468</v>
      </c>
      <c r="D228" s="186">
        <v>0</v>
      </c>
      <c r="E228" s="186">
        <v>0</v>
      </c>
      <c r="F228" s="186">
        <v>0</v>
      </c>
      <c r="G228" s="258">
        <v>0</v>
      </c>
      <c r="H228" s="186">
        <v>18</v>
      </c>
      <c r="I228" s="186">
        <v>0</v>
      </c>
      <c r="J228" s="186">
        <v>0</v>
      </c>
    </row>
    <row r="229" spans="1:10">
      <c r="A229" s="188">
        <v>42646</v>
      </c>
      <c r="B229" s="186" t="s">
        <v>226</v>
      </c>
      <c r="C229" s="262" t="s">
        <v>489</v>
      </c>
      <c r="D229" s="186">
        <v>0</v>
      </c>
      <c r="E229" s="186">
        <v>0</v>
      </c>
      <c r="F229" s="186">
        <v>0</v>
      </c>
      <c r="G229" s="258">
        <v>0</v>
      </c>
      <c r="H229" s="186">
        <v>2</v>
      </c>
      <c r="I229" s="186">
        <v>0</v>
      </c>
      <c r="J229" s="186">
        <v>0</v>
      </c>
    </row>
    <row r="230" spans="1:10">
      <c r="A230" s="188">
        <v>42646</v>
      </c>
      <c r="B230" s="186" t="s">
        <v>226</v>
      </c>
      <c r="C230" s="262" t="s">
        <v>469</v>
      </c>
      <c r="D230" s="186">
        <v>0</v>
      </c>
      <c r="E230" s="186">
        <v>0</v>
      </c>
      <c r="F230" s="186">
        <v>0</v>
      </c>
      <c r="G230" s="258">
        <v>0</v>
      </c>
      <c r="H230" s="186">
        <v>210</v>
      </c>
      <c r="I230" s="186">
        <v>0</v>
      </c>
      <c r="J230" s="186">
        <v>0</v>
      </c>
    </row>
    <row r="231" spans="1:10">
      <c r="A231" s="188">
        <v>42646</v>
      </c>
      <c r="B231" s="186" t="s">
        <v>226</v>
      </c>
      <c r="C231" s="262" t="s">
        <v>471</v>
      </c>
      <c r="D231" s="186">
        <v>0</v>
      </c>
      <c r="E231" s="186">
        <v>0</v>
      </c>
      <c r="F231" s="186">
        <v>0</v>
      </c>
      <c r="G231" s="258">
        <v>0</v>
      </c>
      <c r="H231" s="186">
        <v>13</v>
      </c>
      <c r="I231" s="186">
        <v>0</v>
      </c>
      <c r="J231" s="186">
        <v>0</v>
      </c>
    </row>
    <row r="232" spans="1:10">
      <c r="A232" s="188">
        <v>42647</v>
      </c>
      <c r="B232" s="186" t="s">
        <v>226</v>
      </c>
      <c r="C232" s="262" t="s">
        <v>463</v>
      </c>
      <c r="D232" s="186">
        <v>0</v>
      </c>
      <c r="E232" s="186">
        <v>1</v>
      </c>
      <c r="F232" s="186">
        <v>0</v>
      </c>
      <c r="G232" s="258">
        <v>1</v>
      </c>
      <c r="H232" s="186">
        <v>0</v>
      </c>
      <c r="I232" s="186">
        <v>1</v>
      </c>
      <c r="J232" s="186">
        <v>1</v>
      </c>
    </row>
    <row r="233" spans="1:10">
      <c r="A233" s="188">
        <v>42647</v>
      </c>
      <c r="B233" s="186" t="s">
        <v>226</v>
      </c>
      <c r="C233" s="262" t="s">
        <v>466</v>
      </c>
      <c r="D233" s="186">
        <v>2</v>
      </c>
      <c r="E233" s="186">
        <v>9</v>
      </c>
      <c r="F233" s="186">
        <v>1</v>
      </c>
      <c r="G233" s="258">
        <v>1</v>
      </c>
      <c r="H233" s="186">
        <v>402</v>
      </c>
      <c r="I233" s="186">
        <v>9</v>
      </c>
      <c r="J233" s="186">
        <v>1</v>
      </c>
    </row>
    <row r="234" spans="1:10">
      <c r="A234" s="188">
        <v>42647</v>
      </c>
      <c r="B234" s="186" t="s">
        <v>226</v>
      </c>
      <c r="C234" s="262" t="s">
        <v>465</v>
      </c>
      <c r="D234" s="186">
        <v>2</v>
      </c>
      <c r="E234" s="186">
        <v>6</v>
      </c>
      <c r="F234" s="186">
        <v>0</v>
      </c>
      <c r="G234" s="258">
        <v>1</v>
      </c>
      <c r="H234" s="186">
        <v>699</v>
      </c>
      <c r="I234" s="186">
        <v>6</v>
      </c>
      <c r="J234" s="186">
        <v>1</v>
      </c>
    </row>
    <row r="235" spans="1:10">
      <c r="A235" s="188">
        <v>42647</v>
      </c>
      <c r="B235" s="186" t="s">
        <v>226</v>
      </c>
      <c r="C235" s="262" t="s">
        <v>462</v>
      </c>
      <c r="D235" s="186">
        <v>0</v>
      </c>
      <c r="E235" s="186">
        <v>0</v>
      </c>
      <c r="F235" s="186">
        <v>0</v>
      </c>
      <c r="G235" s="258">
        <v>0</v>
      </c>
      <c r="H235" s="186">
        <v>153</v>
      </c>
      <c r="I235" s="186">
        <v>0</v>
      </c>
      <c r="J235" s="186">
        <v>0</v>
      </c>
    </row>
    <row r="236" spans="1:10">
      <c r="A236" s="188">
        <v>42647</v>
      </c>
      <c r="B236" s="186" t="s">
        <v>226</v>
      </c>
      <c r="C236" s="262" t="s">
        <v>464</v>
      </c>
      <c r="D236" s="186">
        <v>0</v>
      </c>
      <c r="E236" s="186">
        <v>0</v>
      </c>
      <c r="F236" s="186">
        <v>0</v>
      </c>
      <c r="G236" s="258">
        <v>0</v>
      </c>
      <c r="H236" s="186">
        <v>96</v>
      </c>
      <c r="I236" s="186">
        <v>0</v>
      </c>
      <c r="J236" s="186">
        <v>0</v>
      </c>
    </row>
    <row r="237" spans="1:10">
      <c r="A237" s="188">
        <v>42647</v>
      </c>
      <c r="B237" s="186" t="s">
        <v>226</v>
      </c>
      <c r="C237" s="262" t="s">
        <v>490</v>
      </c>
      <c r="D237" s="186">
        <v>0</v>
      </c>
      <c r="E237" s="186">
        <v>0</v>
      </c>
      <c r="F237" s="186">
        <v>0</v>
      </c>
      <c r="G237" s="258">
        <v>0</v>
      </c>
      <c r="H237" s="186">
        <v>1</v>
      </c>
      <c r="I237" s="186">
        <v>0</v>
      </c>
      <c r="J237" s="186">
        <v>0</v>
      </c>
    </row>
    <row r="238" spans="1:10">
      <c r="A238" s="188">
        <v>42647</v>
      </c>
      <c r="B238" s="186" t="s">
        <v>226</v>
      </c>
      <c r="C238" s="262" t="s">
        <v>468</v>
      </c>
      <c r="D238" s="186">
        <v>0</v>
      </c>
      <c r="E238" s="186">
        <v>0</v>
      </c>
      <c r="F238" s="186">
        <v>0</v>
      </c>
      <c r="G238" s="258">
        <v>0</v>
      </c>
      <c r="H238" s="186">
        <v>27</v>
      </c>
      <c r="I238" s="186">
        <v>0</v>
      </c>
      <c r="J238" s="186">
        <v>0</v>
      </c>
    </row>
    <row r="239" spans="1:10">
      <c r="A239" s="188">
        <v>42647</v>
      </c>
      <c r="B239" s="186" t="s">
        <v>226</v>
      </c>
      <c r="C239" s="262" t="s">
        <v>489</v>
      </c>
      <c r="D239" s="186">
        <v>0</v>
      </c>
      <c r="E239" s="186">
        <v>0</v>
      </c>
      <c r="F239" s="186">
        <v>0</v>
      </c>
      <c r="G239" s="258">
        <v>0</v>
      </c>
      <c r="H239" s="186">
        <v>2</v>
      </c>
      <c r="I239" s="186">
        <v>0</v>
      </c>
      <c r="J239" s="186">
        <v>0</v>
      </c>
    </row>
    <row r="240" spans="1:10">
      <c r="A240" s="188">
        <v>42647</v>
      </c>
      <c r="B240" s="186" t="s">
        <v>226</v>
      </c>
      <c r="C240" s="262" t="s">
        <v>469</v>
      </c>
      <c r="D240" s="186">
        <v>0</v>
      </c>
      <c r="E240" s="186">
        <v>0</v>
      </c>
      <c r="F240" s="186">
        <v>0</v>
      </c>
      <c r="G240" s="258">
        <v>0</v>
      </c>
      <c r="H240" s="186">
        <v>282</v>
      </c>
      <c r="I240" s="186">
        <v>0</v>
      </c>
      <c r="J240" s="186">
        <v>0</v>
      </c>
    </row>
    <row r="241" spans="1:10">
      <c r="A241" s="188">
        <v>42647</v>
      </c>
      <c r="B241" s="186" t="s">
        <v>226</v>
      </c>
      <c r="C241" s="262" t="s">
        <v>471</v>
      </c>
      <c r="D241" s="186">
        <v>0</v>
      </c>
      <c r="E241" s="186">
        <v>0</v>
      </c>
      <c r="F241" s="186">
        <v>0</v>
      </c>
      <c r="G241" s="258">
        <v>0</v>
      </c>
      <c r="H241" s="186">
        <v>17</v>
      </c>
      <c r="I241" s="186">
        <v>0</v>
      </c>
      <c r="J241" s="186">
        <v>0</v>
      </c>
    </row>
    <row r="242" spans="1:10">
      <c r="A242" s="188">
        <v>42648</v>
      </c>
      <c r="B242" s="186" t="s">
        <v>226</v>
      </c>
      <c r="C242" s="262" t="s">
        <v>463</v>
      </c>
      <c r="D242" s="186">
        <v>0</v>
      </c>
      <c r="E242" s="186">
        <v>1</v>
      </c>
      <c r="F242" s="186">
        <v>0</v>
      </c>
      <c r="G242" s="258">
        <v>1</v>
      </c>
      <c r="H242" s="186">
        <v>0</v>
      </c>
      <c r="I242" s="186">
        <v>1</v>
      </c>
      <c r="J242" s="186">
        <v>1</v>
      </c>
    </row>
    <row r="243" spans="1:10">
      <c r="A243" s="188">
        <v>42648</v>
      </c>
      <c r="B243" s="186" t="s">
        <v>226</v>
      </c>
      <c r="C243" s="262" t="s">
        <v>466</v>
      </c>
      <c r="D243" s="186">
        <v>0</v>
      </c>
      <c r="E243" s="186">
        <v>9</v>
      </c>
      <c r="F243" s="186">
        <v>0</v>
      </c>
      <c r="G243" s="258">
        <v>1</v>
      </c>
      <c r="H243" s="186">
        <v>402</v>
      </c>
      <c r="I243" s="186">
        <v>9</v>
      </c>
      <c r="J243" s="186">
        <v>1</v>
      </c>
    </row>
    <row r="244" spans="1:10">
      <c r="A244" s="188">
        <v>42648</v>
      </c>
      <c r="B244" s="186" t="s">
        <v>226</v>
      </c>
      <c r="C244" s="262" t="s">
        <v>465</v>
      </c>
      <c r="D244" s="186">
        <v>0</v>
      </c>
      <c r="E244" s="186">
        <v>7</v>
      </c>
      <c r="F244" s="186">
        <v>0</v>
      </c>
      <c r="G244" s="258">
        <v>1</v>
      </c>
      <c r="H244" s="186">
        <v>699</v>
      </c>
      <c r="I244" s="186">
        <v>7</v>
      </c>
      <c r="J244" s="186">
        <v>1</v>
      </c>
    </row>
    <row r="245" spans="1:10">
      <c r="A245" s="188">
        <v>42648</v>
      </c>
      <c r="B245" s="186" t="s">
        <v>226</v>
      </c>
      <c r="C245" s="262" t="s">
        <v>462</v>
      </c>
      <c r="D245" s="186">
        <v>0</v>
      </c>
      <c r="E245" s="186">
        <v>0</v>
      </c>
      <c r="F245" s="186">
        <v>0</v>
      </c>
      <c r="G245" s="258">
        <v>0</v>
      </c>
      <c r="H245" s="186">
        <v>177</v>
      </c>
      <c r="I245" s="186">
        <v>0</v>
      </c>
      <c r="J245" s="186">
        <v>0</v>
      </c>
    </row>
    <row r="246" spans="1:10">
      <c r="A246" s="188">
        <v>42648</v>
      </c>
      <c r="B246" s="186" t="s">
        <v>226</v>
      </c>
      <c r="C246" s="262" t="s">
        <v>464</v>
      </c>
      <c r="D246" s="186">
        <v>0</v>
      </c>
      <c r="E246" s="186">
        <v>0</v>
      </c>
      <c r="F246" s="186">
        <v>0</v>
      </c>
      <c r="G246" s="258">
        <v>0</v>
      </c>
      <c r="H246" s="186">
        <v>96</v>
      </c>
      <c r="I246" s="186">
        <v>0</v>
      </c>
      <c r="J246" s="186">
        <v>0</v>
      </c>
    </row>
    <row r="247" spans="1:10">
      <c r="A247" s="188">
        <v>42648</v>
      </c>
      <c r="B247" s="186" t="s">
        <v>226</v>
      </c>
      <c r="C247" s="262" t="s">
        <v>490</v>
      </c>
      <c r="D247" s="186">
        <v>0</v>
      </c>
      <c r="E247" s="186">
        <v>0</v>
      </c>
      <c r="F247" s="186">
        <v>0</v>
      </c>
      <c r="G247" s="258">
        <v>0</v>
      </c>
      <c r="H247" s="186">
        <v>1</v>
      </c>
      <c r="I247" s="186">
        <v>0</v>
      </c>
      <c r="J247" s="186">
        <v>0</v>
      </c>
    </row>
    <row r="248" spans="1:10">
      <c r="A248" s="188">
        <v>42648</v>
      </c>
      <c r="B248" s="186" t="s">
        <v>226</v>
      </c>
      <c r="C248" s="262" t="s">
        <v>468</v>
      </c>
      <c r="D248" s="186">
        <v>0</v>
      </c>
      <c r="E248" s="186">
        <v>0</v>
      </c>
      <c r="F248" s="186">
        <v>0</v>
      </c>
      <c r="G248" s="258">
        <v>0</v>
      </c>
      <c r="H248" s="186">
        <v>30</v>
      </c>
      <c r="I248" s="186">
        <v>0</v>
      </c>
      <c r="J248" s="186">
        <v>0</v>
      </c>
    </row>
    <row r="249" spans="1:10">
      <c r="A249" s="188">
        <v>42648</v>
      </c>
      <c r="B249" s="186" t="s">
        <v>226</v>
      </c>
      <c r="C249" s="262" t="s">
        <v>489</v>
      </c>
      <c r="D249" s="186">
        <v>0</v>
      </c>
      <c r="E249" s="186">
        <v>0</v>
      </c>
      <c r="F249" s="186">
        <v>0</v>
      </c>
      <c r="G249" s="258">
        <v>0</v>
      </c>
      <c r="H249" s="186">
        <v>2</v>
      </c>
      <c r="I249" s="186">
        <v>0</v>
      </c>
      <c r="J249" s="186">
        <v>0</v>
      </c>
    </row>
    <row r="250" spans="1:10">
      <c r="A250" s="188">
        <v>42648</v>
      </c>
      <c r="B250" s="186" t="s">
        <v>226</v>
      </c>
      <c r="C250" s="262" t="s">
        <v>469</v>
      </c>
      <c r="D250" s="186">
        <v>0</v>
      </c>
      <c r="E250" s="186">
        <v>0</v>
      </c>
      <c r="F250" s="186">
        <v>0</v>
      </c>
      <c r="G250" s="258">
        <v>0</v>
      </c>
      <c r="H250" s="186">
        <v>354</v>
      </c>
      <c r="I250" s="186">
        <v>0</v>
      </c>
      <c r="J250" s="186">
        <v>0</v>
      </c>
    </row>
    <row r="251" spans="1:10">
      <c r="A251" s="188">
        <v>42648</v>
      </c>
      <c r="B251" s="186" t="s">
        <v>226</v>
      </c>
      <c r="C251" s="262" t="s">
        <v>471</v>
      </c>
      <c r="D251" s="186">
        <v>0</v>
      </c>
      <c r="E251" s="186">
        <v>0</v>
      </c>
      <c r="F251" s="186">
        <v>0</v>
      </c>
      <c r="G251" s="258">
        <v>0</v>
      </c>
      <c r="H251" s="186">
        <v>19</v>
      </c>
      <c r="I251" s="186">
        <v>0</v>
      </c>
      <c r="J251" s="186">
        <v>0</v>
      </c>
    </row>
    <row r="252" spans="1:10">
      <c r="A252" s="188">
        <v>42649</v>
      </c>
      <c r="B252" s="186" t="s">
        <v>226</v>
      </c>
      <c r="C252" s="262" t="s">
        <v>463</v>
      </c>
      <c r="D252" s="186">
        <v>0</v>
      </c>
      <c r="E252" s="186">
        <v>1</v>
      </c>
      <c r="F252" s="186">
        <v>0</v>
      </c>
      <c r="G252" s="258">
        <v>1</v>
      </c>
      <c r="H252" s="186">
        <v>0</v>
      </c>
      <c r="I252" s="186">
        <v>1</v>
      </c>
      <c r="J252" s="186">
        <v>1</v>
      </c>
    </row>
    <row r="253" spans="1:10">
      <c r="A253" s="188">
        <v>42649</v>
      </c>
      <c r="B253" s="186" t="s">
        <v>226</v>
      </c>
      <c r="C253" s="262" t="s">
        <v>466</v>
      </c>
      <c r="D253" s="186">
        <v>0</v>
      </c>
      <c r="E253" s="186">
        <v>10</v>
      </c>
      <c r="F253" s="186">
        <v>0</v>
      </c>
      <c r="G253" s="258">
        <v>1</v>
      </c>
      <c r="H253" s="186">
        <v>402</v>
      </c>
      <c r="I253" s="186">
        <v>10</v>
      </c>
      <c r="J253" s="186">
        <v>1</v>
      </c>
    </row>
    <row r="254" spans="1:10">
      <c r="A254" s="188">
        <v>42649</v>
      </c>
      <c r="B254" s="186" t="s">
        <v>226</v>
      </c>
      <c r="C254" s="262" t="s">
        <v>465</v>
      </c>
      <c r="D254" s="186">
        <v>0</v>
      </c>
      <c r="E254" s="186">
        <v>7</v>
      </c>
      <c r="F254" s="186">
        <v>0</v>
      </c>
      <c r="G254" s="258">
        <v>1</v>
      </c>
      <c r="H254" s="186">
        <v>699</v>
      </c>
      <c r="I254" s="186">
        <v>7</v>
      </c>
      <c r="J254" s="186">
        <v>1</v>
      </c>
    </row>
    <row r="255" spans="1:10">
      <c r="A255" s="188">
        <v>42649</v>
      </c>
      <c r="B255" s="186" t="s">
        <v>226</v>
      </c>
      <c r="C255" s="262" t="s">
        <v>462</v>
      </c>
      <c r="D255" s="186">
        <v>0</v>
      </c>
      <c r="E255" s="186">
        <v>0</v>
      </c>
      <c r="F255" s="186">
        <v>0</v>
      </c>
      <c r="G255" s="258">
        <v>0</v>
      </c>
      <c r="H255" s="186">
        <v>208</v>
      </c>
      <c r="I255" s="186">
        <v>0</v>
      </c>
      <c r="J255" s="186">
        <v>0</v>
      </c>
    </row>
    <row r="256" spans="1:10">
      <c r="A256" s="188">
        <v>42649</v>
      </c>
      <c r="B256" s="186" t="s">
        <v>226</v>
      </c>
      <c r="C256" s="262" t="s">
        <v>464</v>
      </c>
      <c r="D256" s="186">
        <v>0</v>
      </c>
      <c r="E256" s="186">
        <v>0</v>
      </c>
      <c r="F256" s="186">
        <v>0</v>
      </c>
      <c r="G256" s="258">
        <v>0</v>
      </c>
      <c r="H256" s="186">
        <v>96</v>
      </c>
      <c r="I256" s="186">
        <v>0</v>
      </c>
      <c r="J256" s="186">
        <v>0</v>
      </c>
    </row>
    <row r="257" spans="1:10">
      <c r="A257" s="188">
        <v>42649</v>
      </c>
      <c r="B257" s="186" t="s">
        <v>226</v>
      </c>
      <c r="C257" s="262" t="s">
        <v>490</v>
      </c>
      <c r="D257" s="186">
        <v>0</v>
      </c>
      <c r="E257" s="186">
        <v>0</v>
      </c>
      <c r="F257" s="186">
        <v>0</v>
      </c>
      <c r="G257" s="258">
        <v>0</v>
      </c>
      <c r="H257" s="186">
        <v>2</v>
      </c>
      <c r="I257" s="186">
        <v>0</v>
      </c>
      <c r="J257" s="186">
        <v>0</v>
      </c>
    </row>
    <row r="258" spans="1:10">
      <c r="A258" s="188">
        <v>42649</v>
      </c>
      <c r="B258" s="186" t="s">
        <v>226</v>
      </c>
      <c r="C258" s="262" t="s">
        <v>468</v>
      </c>
      <c r="D258" s="186">
        <v>0</v>
      </c>
      <c r="E258" s="186">
        <v>0</v>
      </c>
      <c r="F258" s="186">
        <v>0</v>
      </c>
      <c r="G258" s="258">
        <v>0</v>
      </c>
      <c r="H258" s="186">
        <v>34</v>
      </c>
      <c r="I258" s="186">
        <v>0</v>
      </c>
      <c r="J258" s="186">
        <v>0</v>
      </c>
    </row>
    <row r="259" spans="1:10">
      <c r="A259" s="188">
        <v>42649</v>
      </c>
      <c r="B259" s="186" t="s">
        <v>226</v>
      </c>
      <c r="C259" s="262" t="s">
        <v>489</v>
      </c>
      <c r="D259" s="186">
        <v>0</v>
      </c>
      <c r="E259" s="186">
        <v>0</v>
      </c>
      <c r="F259" s="186">
        <v>0</v>
      </c>
      <c r="G259" s="258">
        <v>0</v>
      </c>
      <c r="H259" s="186">
        <v>2</v>
      </c>
      <c r="I259" s="186">
        <v>0</v>
      </c>
      <c r="J259" s="186">
        <v>0</v>
      </c>
    </row>
    <row r="260" spans="1:10">
      <c r="A260" s="188">
        <v>42649</v>
      </c>
      <c r="B260" s="186" t="s">
        <v>226</v>
      </c>
      <c r="C260" s="262" t="s">
        <v>469</v>
      </c>
      <c r="D260" s="186">
        <v>0</v>
      </c>
      <c r="E260" s="186">
        <v>0</v>
      </c>
      <c r="F260" s="186">
        <v>0</v>
      </c>
      <c r="G260" s="258">
        <v>0</v>
      </c>
      <c r="H260" s="186">
        <v>418</v>
      </c>
      <c r="I260" s="186">
        <v>0</v>
      </c>
      <c r="J260" s="186">
        <v>0</v>
      </c>
    </row>
    <row r="261" spans="1:10">
      <c r="A261" s="188">
        <v>42649</v>
      </c>
      <c r="B261" s="186" t="s">
        <v>226</v>
      </c>
      <c r="C261" s="262" t="s">
        <v>471</v>
      </c>
      <c r="D261" s="186">
        <v>0</v>
      </c>
      <c r="E261" s="186">
        <v>0</v>
      </c>
      <c r="F261" s="186">
        <v>0</v>
      </c>
      <c r="G261" s="258">
        <v>0</v>
      </c>
      <c r="H261" s="186">
        <v>22</v>
      </c>
      <c r="I261" s="186">
        <v>0</v>
      </c>
      <c r="J261" s="186">
        <v>0</v>
      </c>
    </row>
    <row r="262" spans="1:10">
      <c r="A262" s="188">
        <v>42650</v>
      </c>
      <c r="B262" s="186" t="s">
        <v>226</v>
      </c>
      <c r="C262" s="262" t="s">
        <v>465</v>
      </c>
      <c r="D262" s="186">
        <v>1</v>
      </c>
      <c r="E262" s="186">
        <v>8</v>
      </c>
      <c r="F262" s="186">
        <v>0</v>
      </c>
      <c r="G262" s="258">
        <v>2</v>
      </c>
      <c r="H262" s="186">
        <v>699</v>
      </c>
      <c r="I262" s="186">
        <v>8</v>
      </c>
      <c r="J262" s="186">
        <v>2</v>
      </c>
    </row>
    <row r="263" spans="1:10">
      <c r="A263" s="188">
        <v>42650</v>
      </c>
      <c r="B263" s="186" t="s">
        <v>226</v>
      </c>
      <c r="C263" s="262" t="s">
        <v>463</v>
      </c>
      <c r="D263" s="186">
        <v>0</v>
      </c>
      <c r="E263" s="186">
        <v>1</v>
      </c>
      <c r="F263" s="186">
        <v>0</v>
      </c>
      <c r="G263" s="258">
        <v>1</v>
      </c>
      <c r="H263" s="186">
        <v>0</v>
      </c>
      <c r="I263" s="186">
        <v>1</v>
      </c>
      <c r="J263" s="186">
        <v>1</v>
      </c>
    </row>
    <row r="264" spans="1:10">
      <c r="A264" s="188">
        <v>42650</v>
      </c>
      <c r="B264" s="186" t="s">
        <v>226</v>
      </c>
      <c r="C264" s="262" t="s">
        <v>489</v>
      </c>
      <c r="D264" s="186">
        <v>0</v>
      </c>
      <c r="E264" s="186">
        <v>1</v>
      </c>
      <c r="F264" s="186">
        <v>0</v>
      </c>
      <c r="G264" s="258">
        <v>1</v>
      </c>
      <c r="H264" s="186">
        <v>2</v>
      </c>
      <c r="I264" s="186">
        <v>1</v>
      </c>
      <c r="J264" s="186">
        <v>1</v>
      </c>
    </row>
    <row r="265" spans="1:10">
      <c r="A265" s="188">
        <v>42650</v>
      </c>
      <c r="B265" s="186" t="s">
        <v>226</v>
      </c>
      <c r="C265" s="262" t="s">
        <v>466</v>
      </c>
      <c r="D265" s="186">
        <v>1</v>
      </c>
      <c r="E265" s="186">
        <v>11</v>
      </c>
      <c r="F265" s="186">
        <v>0</v>
      </c>
      <c r="G265" s="258">
        <v>1</v>
      </c>
      <c r="H265" s="186">
        <v>402</v>
      </c>
      <c r="I265" s="186">
        <v>11</v>
      </c>
      <c r="J265" s="186">
        <v>1</v>
      </c>
    </row>
    <row r="266" spans="1:10">
      <c r="A266" s="188">
        <v>42650</v>
      </c>
      <c r="B266" s="186" t="s">
        <v>226</v>
      </c>
      <c r="C266" s="262" t="s">
        <v>462</v>
      </c>
      <c r="D266" s="186">
        <v>0</v>
      </c>
      <c r="E266" s="186">
        <v>0</v>
      </c>
      <c r="F266" s="186">
        <v>0</v>
      </c>
      <c r="G266" s="258">
        <v>0</v>
      </c>
      <c r="H266" s="186">
        <v>236</v>
      </c>
      <c r="I266" s="186">
        <v>0</v>
      </c>
      <c r="J266" s="186">
        <v>0</v>
      </c>
    </row>
    <row r="267" spans="1:10">
      <c r="A267" s="188">
        <v>42650</v>
      </c>
      <c r="B267" s="186" t="s">
        <v>226</v>
      </c>
      <c r="C267" s="262" t="s">
        <v>464</v>
      </c>
      <c r="D267" s="186">
        <v>0</v>
      </c>
      <c r="E267" s="186">
        <v>0</v>
      </c>
      <c r="F267" s="186">
        <v>0</v>
      </c>
      <c r="G267" s="258">
        <v>0</v>
      </c>
      <c r="H267" s="186">
        <v>96</v>
      </c>
      <c r="I267" s="186">
        <v>0</v>
      </c>
      <c r="J267" s="186">
        <v>0</v>
      </c>
    </row>
    <row r="268" spans="1:10">
      <c r="A268" s="188">
        <v>42650</v>
      </c>
      <c r="B268" s="186" t="s">
        <v>226</v>
      </c>
      <c r="C268" s="262" t="s">
        <v>490</v>
      </c>
      <c r="D268" s="186">
        <v>0</v>
      </c>
      <c r="E268" s="186">
        <v>0</v>
      </c>
      <c r="F268" s="186">
        <v>0</v>
      </c>
      <c r="G268" s="258">
        <v>0</v>
      </c>
      <c r="H268" s="186">
        <v>2</v>
      </c>
      <c r="I268" s="186">
        <v>0</v>
      </c>
      <c r="J268" s="186">
        <v>0</v>
      </c>
    </row>
    <row r="269" spans="1:10">
      <c r="A269" s="188">
        <v>42650</v>
      </c>
      <c r="B269" s="186" t="s">
        <v>226</v>
      </c>
      <c r="C269" s="262" t="s">
        <v>468</v>
      </c>
      <c r="D269" s="186">
        <v>0</v>
      </c>
      <c r="E269" s="186">
        <v>0</v>
      </c>
      <c r="F269" s="186">
        <v>0</v>
      </c>
      <c r="G269" s="258">
        <v>0</v>
      </c>
      <c r="H269" s="186">
        <v>34</v>
      </c>
      <c r="I269" s="186">
        <v>0</v>
      </c>
      <c r="J269" s="186">
        <v>0</v>
      </c>
    </row>
    <row r="270" spans="1:10">
      <c r="A270" s="188">
        <v>42650</v>
      </c>
      <c r="B270" s="186" t="s">
        <v>226</v>
      </c>
      <c r="C270" s="262" t="s">
        <v>469</v>
      </c>
      <c r="D270" s="186">
        <v>0</v>
      </c>
      <c r="E270" s="186">
        <v>0</v>
      </c>
      <c r="F270" s="186">
        <v>0</v>
      </c>
      <c r="G270" s="258">
        <v>0</v>
      </c>
      <c r="H270" s="186">
        <v>471</v>
      </c>
      <c r="I270" s="186">
        <v>0</v>
      </c>
      <c r="J270" s="186">
        <v>0</v>
      </c>
    </row>
    <row r="271" spans="1:10">
      <c r="A271" s="188">
        <v>42650</v>
      </c>
      <c r="B271" s="186" t="s">
        <v>226</v>
      </c>
      <c r="C271" s="262" t="s">
        <v>471</v>
      </c>
      <c r="D271" s="186">
        <v>0</v>
      </c>
      <c r="E271" s="186">
        <v>0</v>
      </c>
      <c r="F271" s="186">
        <v>0</v>
      </c>
      <c r="G271" s="258">
        <v>0</v>
      </c>
      <c r="H271" s="186">
        <v>28</v>
      </c>
      <c r="I271" s="186">
        <v>0</v>
      </c>
      <c r="J271" s="186">
        <v>0</v>
      </c>
    </row>
    <row r="272" spans="1:10">
      <c r="A272" s="260">
        <v>42644</v>
      </c>
      <c r="B272" s="186" t="s">
        <v>554</v>
      </c>
      <c r="C272" s="262" t="s">
        <v>466</v>
      </c>
      <c r="D272" s="186">
        <v>8</v>
      </c>
      <c r="E272" s="186">
        <v>8</v>
      </c>
      <c r="F272" s="186">
        <v>6</v>
      </c>
      <c r="G272" s="258">
        <v>6</v>
      </c>
      <c r="H272" s="186">
        <v>22</v>
      </c>
      <c r="I272" s="186">
        <v>8</v>
      </c>
      <c r="J272" s="186">
        <v>6</v>
      </c>
    </row>
    <row r="273" spans="1:10">
      <c r="A273" s="260">
        <v>42644</v>
      </c>
      <c r="B273" s="186" t="s">
        <v>554</v>
      </c>
      <c r="C273" s="262" t="s">
        <v>464</v>
      </c>
      <c r="D273" s="186">
        <v>0</v>
      </c>
      <c r="E273" s="186">
        <v>0</v>
      </c>
      <c r="F273" s="186">
        <v>0</v>
      </c>
      <c r="G273" s="258">
        <v>0</v>
      </c>
      <c r="H273" s="186">
        <v>2</v>
      </c>
      <c r="I273" s="186">
        <v>0</v>
      </c>
      <c r="J273" s="186">
        <v>0</v>
      </c>
    </row>
    <row r="274" spans="1:10">
      <c r="A274" s="260">
        <v>42644</v>
      </c>
      <c r="B274" s="186" t="s">
        <v>554</v>
      </c>
      <c r="C274" s="262" t="s">
        <v>465</v>
      </c>
      <c r="D274" s="186">
        <v>0</v>
      </c>
      <c r="E274" s="186">
        <v>0</v>
      </c>
      <c r="F274" s="186">
        <v>0</v>
      </c>
      <c r="G274" s="258">
        <v>0</v>
      </c>
      <c r="H274" s="186">
        <v>13</v>
      </c>
      <c r="I274" s="186">
        <v>0</v>
      </c>
      <c r="J274" s="186">
        <v>0</v>
      </c>
    </row>
    <row r="275" spans="1:10">
      <c r="A275" s="260">
        <v>42644</v>
      </c>
      <c r="B275" s="186" t="s">
        <v>554</v>
      </c>
      <c r="C275" s="262" t="s">
        <v>479</v>
      </c>
      <c r="D275" s="186">
        <v>0</v>
      </c>
      <c r="E275" s="186">
        <v>0</v>
      </c>
      <c r="F275" s="186">
        <v>0</v>
      </c>
      <c r="G275" s="258">
        <v>0</v>
      </c>
      <c r="H275" s="186">
        <v>5</v>
      </c>
      <c r="I275" s="186">
        <v>0</v>
      </c>
      <c r="J275" s="186">
        <v>0</v>
      </c>
    </row>
    <row r="276" spans="1:10">
      <c r="A276" s="260">
        <v>42644</v>
      </c>
      <c r="B276" s="186" t="s">
        <v>554</v>
      </c>
      <c r="C276" s="262" t="s">
        <v>468</v>
      </c>
      <c r="D276" s="186">
        <v>0</v>
      </c>
      <c r="E276" s="186">
        <v>0</v>
      </c>
      <c r="F276" s="186">
        <v>0</v>
      </c>
      <c r="G276" s="258">
        <v>0</v>
      </c>
      <c r="H276" s="186">
        <v>2</v>
      </c>
      <c r="I276" s="186">
        <v>0</v>
      </c>
      <c r="J276" s="186">
        <v>0</v>
      </c>
    </row>
    <row r="277" spans="1:10">
      <c r="A277" s="260">
        <v>42644</v>
      </c>
      <c r="B277" s="186" t="s">
        <v>554</v>
      </c>
      <c r="C277" s="262" t="s">
        <v>489</v>
      </c>
      <c r="D277" s="186">
        <v>0</v>
      </c>
      <c r="E277" s="186">
        <v>0</v>
      </c>
      <c r="F277" s="186">
        <v>0</v>
      </c>
      <c r="G277" s="258">
        <v>0</v>
      </c>
      <c r="H277" s="186">
        <v>3</v>
      </c>
      <c r="I277" s="186">
        <v>0</v>
      </c>
      <c r="J277" s="186">
        <v>0</v>
      </c>
    </row>
    <row r="278" spans="1:10">
      <c r="A278" s="260">
        <v>42644</v>
      </c>
      <c r="B278" s="186" t="s">
        <v>554</v>
      </c>
      <c r="C278" s="262" t="s">
        <v>469</v>
      </c>
      <c r="D278" s="186">
        <v>0</v>
      </c>
      <c r="E278" s="186">
        <v>0</v>
      </c>
      <c r="F278" s="186">
        <v>0</v>
      </c>
      <c r="G278" s="258">
        <v>0</v>
      </c>
      <c r="H278" s="186">
        <v>15</v>
      </c>
      <c r="I278" s="186">
        <v>0</v>
      </c>
      <c r="J278" s="186">
        <v>0</v>
      </c>
    </row>
    <row r="279" spans="1:10">
      <c r="A279" s="260">
        <v>42644</v>
      </c>
      <c r="B279" s="186" t="s">
        <v>554</v>
      </c>
      <c r="C279" s="262" t="s">
        <v>510</v>
      </c>
      <c r="D279" s="186">
        <v>0</v>
      </c>
      <c r="E279" s="186">
        <v>0</v>
      </c>
      <c r="F279" s="186">
        <v>0</v>
      </c>
      <c r="G279" s="258">
        <v>0</v>
      </c>
      <c r="H279" s="186">
        <v>30</v>
      </c>
      <c r="I279" s="186">
        <v>0</v>
      </c>
      <c r="J279" s="186">
        <v>0</v>
      </c>
    </row>
    <row r="280" spans="1:10">
      <c r="A280" s="188">
        <v>42645</v>
      </c>
      <c r="B280" s="186" t="s">
        <v>554</v>
      </c>
      <c r="C280" s="262" t="s">
        <v>466</v>
      </c>
      <c r="D280" s="186">
        <v>2</v>
      </c>
      <c r="E280" s="186">
        <v>11</v>
      </c>
      <c r="F280" s="186">
        <v>1</v>
      </c>
      <c r="G280" s="258">
        <v>7</v>
      </c>
      <c r="H280" s="186">
        <v>27</v>
      </c>
      <c r="I280" s="186">
        <v>11</v>
      </c>
      <c r="J280" s="186">
        <v>7</v>
      </c>
    </row>
    <row r="281" spans="1:10">
      <c r="A281" s="188">
        <v>42645</v>
      </c>
      <c r="B281" s="186" t="s">
        <v>554</v>
      </c>
      <c r="C281" s="262" t="s">
        <v>465</v>
      </c>
      <c r="D281" s="186">
        <v>1</v>
      </c>
      <c r="E281" s="186">
        <v>1</v>
      </c>
      <c r="F281" s="186">
        <v>1</v>
      </c>
      <c r="G281" s="258">
        <v>1</v>
      </c>
      <c r="H281" s="186">
        <v>18</v>
      </c>
      <c r="I281" s="186">
        <v>1</v>
      </c>
      <c r="J281" s="186">
        <v>1</v>
      </c>
    </row>
    <row r="282" spans="1:10">
      <c r="A282" s="188">
        <v>42645</v>
      </c>
      <c r="B282" s="186" t="s">
        <v>554</v>
      </c>
      <c r="C282" s="262" t="s">
        <v>464</v>
      </c>
      <c r="D282" s="186">
        <v>0</v>
      </c>
      <c r="E282" s="186">
        <v>0</v>
      </c>
      <c r="F282" s="186">
        <v>0</v>
      </c>
      <c r="G282" s="258">
        <v>0</v>
      </c>
      <c r="H282" s="186">
        <v>2</v>
      </c>
      <c r="I282" s="186">
        <v>0</v>
      </c>
      <c r="J282" s="186">
        <v>0</v>
      </c>
    </row>
    <row r="283" spans="1:10">
      <c r="A283" s="188">
        <v>42645</v>
      </c>
      <c r="B283" s="186" t="s">
        <v>554</v>
      </c>
      <c r="C283" s="262" t="s">
        <v>479</v>
      </c>
      <c r="D283" s="186">
        <v>0</v>
      </c>
      <c r="E283" s="186">
        <v>0</v>
      </c>
      <c r="F283" s="186">
        <v>0</v>
      </c>
      <c r="G283" s="258">
        <v>0</v>
      </c>
      <c r="H283" s="186">
        <v>5</v>
      </c>
      <c r="I283" s="186">
        <v>0</v>
      </c>
      <c r="J283" s="186">
        <v>0</v>
      </c>
    </row>
    <row r="284" spans="1:10">
      <c r="A284" s="188">
        <v>42645</v>
      </c>
      <c r="B284" s="186" t="s">
        <v>554</v>
      </c>
      <c r="C284" s="262" t="s">
        <v>468</v>
      </c>
      <c r="D284" s="186">
        <v>0</v>
      </c>
      <c r="E284" s="186">
        <v>0</v>
      </c>
      <c r="F284" s="186">
        <v>0</v>
      </c>
      <c r="G284" s="258">
        <v>0</v>
      </c>
      <c r="H284" s="186">
        <v>2</v>
      </c>
      <c r="I284" s="186">
        <v>0</v>
      </c>
      <c r="J284" s="186">
        <v>0</v>
      </c>
    </row>
    <row r="285" spans="1:10">
      <c r="A285" s="188">
        <v>42645</v>
      </c>
      <c r="B285" s="186" t="s">
        <v>554</v>
      </c>
      <c r="C285" s="262" t="s">
        <v>489</v>
      </c>
      <c r="D285" s="186">
        <v>0</v>
      </c>
      <c r="E285" s="186">
        <v>0</v>
      </c>
      <c r="F285" s="186">
        <v>0</v>
      </c>
      <c r="G285" s="258">
        <v>0</v>
      </c>
      <c r="H285" s="186">
        <v>3</v>
      </c>
      <c r="I285" s="186">
        <v>0</v>
      </c>
      <c r="J285" s="186">
        <v>0</v>
      </c>
    </row>
    <row r="286" spans="1:10">
      <c r="A286" s="188">
        <v>42645</v>
      </c>
      <c r="B286" s="186" t="s">
        <v>554</v>
      </c>
      <c r="C286" s="262" t="s">
        <v>469</v>
      </c>
      <c r="D286" s="186">
        <v>0</v>
      </c>
      <c r="E286" s="186">
        <v>0</v>
      </c>
      <c r="F286" s="186">
        <v>0</v>
      </c>
      <c r="G286" s="258">
        <v>0</v>
      </c>
      <c r="H286" s="186">
        <v>16</v>
      </c>
      <c r="I286" s="186">
        <v>0</v>
      </c>
      <c r="J286" s="186">
        <v>0</v>
      </c>
    </row>
    <row r="287" spans="1:10">
      <c r="A287" s="188">
        <v>42645</v>
      </c>
      <c r="B287" s="186" t="s">
        <v>554</v>
      </c>
      <c r="C287" s="262" t="s">
        <v>510</v>
      </c>
      <c r="D287" s="186">
        <v>0</v>
      </c>
      <c r="E287" s="186">
        <v>0</v>
      </c>
      <c r="F287" s="186">
        <v>0</v>
      </c>
      <c r="G287" s="258">
        <v>0</v>
      </c>
      <c r="H287" s="186">
        <v>32</v>
      </c>
      <c r="I287" s="186">
        <v>0</v>
      </c>
      <c r="J287" s="186">
        <v>0</v>
      </c>
    </row>
    <row r="288" spans="1:10">
      <c r="A288" s="188">
        <v>42646</v>
      </c>
      <c r="B288" s="186" t="s">
        <v>554</v>
      </c>
      <c r="C288" s="262" t="s">
        <v>466</v>
      </c>
      <c r="D288" s="186">
        <v>0</v>
      </c>
      <c r="E288" s="186">
        <v>11</v>
      </c>
      <c r="F288" s="186">
        <v>0</v>
      </c>
      <c r="G288" s="258">
        <v>7</v>
      </c>
      <c r="H288" s="186">
        <v>27</v>
      </c>
      <c r="I288" s="186">
        <v>11</v>
      </c>
      <c r="J288" s="186">
        <v>7</v>
      </c>
    </row>
    <row r="289" spans="1:10">
      <c r="A289" s="188">
        <v>42646</v>
      </c>
      <c r="B289" s="186" t="s">
        <v>554</v>
      </c>
      <c r="C289" s="262" t="s">
        <v>465</v>
      </c>
      <c r="D289" s="186">
        <v>0</v>
      </c>
      <c r="E289" s="186">
        <v>1</v>
      </c>
      <c r="F289" s="186">
        <v>0</v>
      </c>
      <c r="G289" s="258">
        <v>1</v>
      </c>
      <c r="H289" s="186">
        <v>21</v>
      </c>
      <c r="I289" s="186">
        <v>1</v>
      </c>
      <c r="J289" s="186">
        <v>1</v>
      </c>
    </row>
    <row r="290" spans="1:10">
      <c r="A290" s="188">
        <v>42646</v>
      </c>
      <c r="B290" s="186" t="s">
        <v>554</v>
      </c>
      <c r="C290" s="262" t="s">
        <v>462</v>
      </c>
      <c r="D290" s="186">
        <v>0</v>
      </c>
      <c r="E290" s="186">
        <v>0</v>
      </c>
      <c r="F290" s="186">
        <v>0</v>
      </c>
      <c r="G290" s="258">
        <v>0</v>
      </c>
      <c r="H290" s="186">
        <v>3</v>
      </c>
      <c r="I290" s="186">
        <v>0</v>
      </c>
      <c r="J290" s="186">
        <v>0</v>
      </c>
    </row>
    <row r="291" spans="1:10">
      <c r="A291" s="188">
        <v>42646</v>
      </c>
      <c r="B291" s="186" t="s">
        <v>554</v>
      </c>
      <c r="C291" s="262" t="s">
        <v>464</v>
      </c>
      <c r="D291" s="186">
        <v>0</v>
      </c>
      <c r="E291" s="186">
        <v>0</v>
      </c>
      <c r="F291" s="186">
        <v>0</v>
      </c>
      <c r="G291" s="258">
        <v>0</v>
      </c>
      <c r="H291" s="186">
        <v>2</v>
      </c>
      <c r="I291" s="186">
        <v>0</v>
      </c>
      <c r="J291" s="186">
        <v>0</v>
      </c>
    </row>
    <row r="292" spans="1:10">
      <c r="A292" s="188">
        <v>42646</v>
      </c>
      <c r="B292" s="186" t="s">
        <v>554</v>
      </c>
      <c r="C292" s="262" t="s">
        <v>479</v>
      </c>
      <c r="D292" s="186">
        <v>0</v>
      </c>
      <c r="E292" s="186">
        <v>0</v>
      </c>
      <c r="F292" s="186">
        <v>0</v>
      </c>
      <c r="G292" s="258">
        <v>0</v>
      </c>
      <c r="H292" s="186">
        <v>9</v>
      </c>
      <c r="I292" s="186">
        <v>0</v>
      </c>
      <c r="J292" s="186">
        <v>0</v>
      </c>
    </row>
    <row r="293" spans="1:10">
      <c r="A293" s="188">
        <v>42646</v>
      </c>
      <c r="B293" s="186" t="s">
        <v>554</v>
      </c>
      <c r="C293" s="262" t="s">
        <v>468</v>
      </c>
      <c r="D293" s="186">
        <v>0</v>
      </c>
      <c r="E293" s="186">
        <v>0</v>
      </c>
      <c r="F293" s="186">
        <v>0</v>
      </c>
      <c r="G293" s="258">
        <v>0</v>
      </c>
      <c r="H293" s="186">
        <v>2</v>
      </c>
      <c r="I293" s="186">
        <v>0</v>
      </c>
      <c r="J293" s="186">
        <v>0</v>
      </c>
    </row>
    <row r="294" spans="1:10">
      <c r="A294" s="188">
        <v>42646</v>
      </c>
      <c r="B294" s="186" t="s">
        <v>554</v>
      </c>
      <c r="C294" s="262" t="s">
        <v>489</v>
      </c>
      <c r="D294" s="186">
        <v>0</v>
      </c>
      <c r="E294" s="186">
        <v>0</v>
      </c>
      <c r="F294" s="186">
        <v>0</v>
      </c>
      <c r="G294" s="258">
        <v>0</v>
      </c>
      <c r="H294" s="186">
        <v>3</v>
      </c>
      <c r="I294" s="186">
        <v>0</v>
      </c>
      <c r="J294" s="186">
        <v>0</v>
      </c>
    </row>
    <row r="295" spans="1:10">
      <c r="A295" s="188">
        <v>42646</v>
      </c>
      <c r="B295" s="186" t="s">
        <v>554</v>
      </c>
      <c r="C295" s="262" t="s">
        <v>469</v>
      </c>
      <c r="D295" s="186">
        <v>0</v>
      </c>
      <c r="E295" s="186">
        <v>0</v>
      </c>
      <c r="F295" s="186">
        <v>0</v>
      </c>
      <c r="G295" s="258">
        <v>0</v>
      </c>
      <c r="H295" s="186">
        <v>17</v>
      </c>
      <c r="I295" s="186">
        <v>0</v>
      </c>
      <c r="J295" s="186">
        <v>0</v>
      </c>
    </row>
    <row r="296" spans="1:10">
      <c r="A296" s="188">
        <v>42646</v>
      </c>
      <c r="B296" s="186" t="s">
        <v>558</v>
      </c>
      <c r="C296" s="262" t="s">
        <v>510</v>
      </c>
      <c r="D296" s="186">
        <v>0</v>
      </c>
      <c r="E296" s="186">
        <v>0</v>
      </c>
      <c r="F296" s="186">
        <v>0</v>
      </c>
      <c r="G296" s="258">
        <v>0</v>
      </c>
      <c r="H296" s="186">
        <v>35</v>
      </c>
      <c r="I296" s="186">
        <v>0</v>
      </c>
      <c r="J296" s="186">
        <v>0</v>
      </c>
    </row>
    <row r="297" spans="1:10">
      <c r="A297" s="188">
        <v>42647</v>
      </c>
      <c r="B297" s="186" t="s">
        <v>559</v>
      </c>
      <c r="C297" s="262" t="s">
        <v>466</v>
      </c>
      <c r="D297" s="186">
        <v>0</v>
      </c>
      <c r="E297" s="186">
        <v>11</v>
      </c>
      <c r="F297" s="186">
        <v>0</v>
      </c>
      <c r="G297" s="258">
        <v>7</v>
      </c>
      <c r="H297" s="186">
        <v>27</v>
      </c>
      <c r="I297" s="186">
        <v>11</v>
      </c>
      <c r="J297" s="186">
        <v>7</v>
      </c>
    </row>
    <row r="298" spans="1:10">
      <c r="A298" s="188">
        <v>42647</v>
      </c>
      <c r="B298" s="186" t="s">
        <v>559</v>
      </c>
      <c r="C298" s="262" t="s">
        <v>465</v>
      </c>
      <c r="D298" s="186">
        <v>0</v>
      </c>
      <c r="E298" s="186">
        <v>1</v>
      </c>
      <c r="F298" s="186">
        <v>0</v>
      </c>
      <c r="G298" s="258">
        <v>1</v>
      </c>
      <c r="H298" s="186">
        <v>22</v>
      </c>
      <c r="I298" s="186">
        <v>1</v>
      </c>
      <c r="J298" s="186">
        <v>1</v>
      </c>
    </row>
    <row r="299" spans="1:10">
      <c r="A299" s="188">
        <v>42647</v>
      </c>
      <c r="B299" s="186" t="s">
        <v>559</v>
      </c>
      <c r="C299" s="262" t="s">
        <v>462</v>
      </c>
      <c r="D299" s="186">
        <v>0</v>
      </c>
      <c r="E299" s="186">
        <v>0</v>
      </c>
      <c r="F299" s="186">
        <v>0</v>
      </c>
      <c r="G299" s="258">
        <v>0</v>
      </c>
      <c r="H299" s="186">
        <v>6</v>
      </c>
      <c r="I299" s="186">
        <v>0</v>
      </c>
      <c r="J299" s="186">
        <v>0</v>
      </c>
    </row>
    <row r="300" spans="1:10">
      <c r="A300" s="188">
        <v>42647</v>
      </c>
      <c r="B300" s="186" t="s">
        <v>559</v>
      </c>
      <c r="C300" s="262" t="s">
        <v>464</v>
      </c>
      <c r="D300" s="186">
        <v>0</v>
      </c>
      <c r="E300" s="186">
        <v>0</v>
      </c>
      <c r="F300" s="186">
        <v>0</v>
      </c>
      <c r="G300" s="258">
        <v>0</v>
      </c>
      <c r="H300" s="186">
        <v>2</v>
      </c>
      <c r="I300" s="186">
        <v>0</v>
      </c>
      <c r="J300" s="186">
        <v>0</v>
      </c>
    </row>
    <row r="301" spans="1:10">
      <c r="A301" s="188">
        <v>42647</v>
      </c>
      <c r="B301" s="186" t="s">
        <v>559</v>
      </c>
      <c r="C301" s="262" t="s">
        <v>479</v>
      </c>
      <c r="D301" s="186">
        <v>0</v>
      </c>
      <c r="E301" s="186">
        <v>0</v>
      </c>
      <c r="F301" s="186">
        <v>0</v>
      </c>
      <c r="G301" s="258">
        <v>0</v>
      </c>
      <c r="H301" s="186">
        <v>13</v>
      </c>
      <c r="I301" s="186">
        <v>0</v>
      </c>
      <c r="J301" s="186">
        <v>0</v>
      </c>
    </row>
    <row r="302" spans="1:10">
      <c r="A302" s="188">
        <v>42647</v>
      </c>
      <c r="B302" s="186" t="s">
        <v>559</v>
      </c>
      <c r="C302" s="262" t="s">
        <v>468</v>
      </c>
      <c r="D302" s="186">
        <v>0</v>
      </c>
      <c r="E302" s="186">
        <v>0</v>
      </c>
      <c r="F302" s="186">
        <v>0</v>
      </c>
      <c r="G302" s="258">
        <v>0</v>
      </c>
      <c r="H302" s="186">
        <v>2</v>
      </c>
      <c r="I302" s="186">
        <v>0</v>
      </c>
      <c r="J302" s="186">
        <v>0</v>
      </c>
    </row>
    <row r="303" spans="1:10">
      <c r="A303" s="188">
        <v>42647</v>
      </c>
      <c r="B303" s="186" t="s">
        <v>559</v>
      </c>
      <c r="C303" s="262" t="s">
        <v>489</v>
      </c>
      <c r="D303" s="186">
        <v>0</v>
      </c>
      <c r="E303" s="186">
        <v>0</v>
      </c>
      <c r="F303" s="186">
        <v>0</v>
      </c>
      <c r="G303" s="258">
        <v>0</v>
      </c>
      <c r="H303" s="186">
        <v>3</v>
      </c>
      <c r="I303" s="186">
        <v>0</v>
      </c>
      <c r="J303" s="186">
        <v>0</v>
      </c>
    </row>
    <row r="304" spans="1:10">
      <c r="A304" s="188">
        <v>42647</v>
      </c>
      <c r="B304" s="186" t="s">
        <v>559</v>
      </c>
      <c r="C304" s="262" t="s">
        <v>469</v>
      </c>
      <c r="D304" s="186">
        <v>0</v>
      </c>
      <c r="E304" s="186">
        <v>0</v>
      </c>
      <c r="F304" s="186">
        <v>0</v>
      </c>
      <c r="G304" s="258">
        <v>0</v>
      </c>
      <c r="H304" s="186">
        <v>19</v>
      </c>
      <c r="I304" s="186">
        <v>0</v>
      </c>
      <c r="J304" s="186">
        <v>0</v>
      </c>
    </row>
    <row r="305" spans="1:10">
      <c r="A305" s="188">
        <v>42647</v>
      </c>
      <c r="B305" s="186" t="s">
        <v>559</v>
      </c>
      <c r="C305" s="262" t="s">
        <v>510</v>
      </c>
      <c r="D305" s="186">
        <v>0</v>
      </c>
      <c r="E305" s="186">
        <v>0</v>
      </c>
      <c r="F305" s="186">
        <v>0</v>
      </c>
      <c r="G305" s="258">
        <v>0</v>
      </c>
      <c r="H305" s="186">
        <v>39</v>
      </c>
      <c r="I305" s="186">
        <v>0</v>
      </c>
      <c r="J305" s="186">
        <v>0</v>
      </c>
    </row>
    <row r="306" spans="1:10">
      <c r="A306" s="188">
        <v>42648</v>
      </c>
      <c r="B306" s="186" t="s">
        <v>554</v>
      </c>
      <c r="C306" s="262" t="s">
        <v>466</v>
      </c>
      <c r="D306" s="186">
        <v>3</v>
      </c>
      <c r="E306" s="186">
        <v>15</v>
      </c>
      <c r="F306" s="186">
        <v>3</v>
      </c>
      <c r="G306" s="258">
        <v>11</v>
      </c>
      <c r="H306" s="186">
        <v>27</v>
      </c>
      <c r="I306" s="186">
        <v>15</v>
      </c>
      <c r="J306" s="186">
        <v>11</v>
      </c>
    </row>
    <row r="307" spans="1:10">
      <c r="A307" s="188">
        <v>42648</v>
      </c>
      <c r="B307" s="186" t="s">
        <v>554</v>
      </c>
      <c r="C307" s="262" t="s">
        <v>465</v>
      </c>
      <c r="D307" s="186">
        <v>1</v>
      </c>
      <c r="E307" s="186">
        <v>2</v>
      </c>
      <c r="F307" s="186">
        <v>0</v>
      </c>
      <c r="G307" s="258">
        <v>1</v>
      </c>
      <c r="H307" s="186">
        <v>22</v>
      </c>
      <c r="I307" s="186">
        <v>2</v>
      </c>
      <c r="J307" s="186">
        <v>1</v>
      </c>
    </row>
    <row r="308" spans="1:10">
      <c r="A308" s="188">
        <v>42648</v>
      </c>
      <c r="B308" s="186" t="s">
        <v>554</v>
      </c>
      <c r="C308" s="262" t="s">
        <v>462</v>
      </c>
      <c r="D308" s="186">
        <v>0</v>
      </c>
      <c r="E308" s="186">
        <v>0</v>
      </c>
      <c r="F308" s="186">
        <v>0</v>
      </c>
      <c r="G308" s="258">
        <v>0</v>
      </c>
      <c r="H308" s="186">
        <v>6</v>
      </c>
      <c r="I308" s="186">
        <v>0</v>
      </c>
      <c r="J308" s="186">
        <v>0</v>
      </c>
    </row>
    <row r="309" spans="1:10">
      <c r="A309" s="188">
        <v>42648</v>
      </c>
      <c r="B309" s="186" t="s">
        <v>554</v>
      </c>
      <c r="C309" s="262" t="s">
        <v>464</v>
      </c>
      <c r="D309" s="186">
        <v>0</v>
      </c>
      <c r="E309" s="186">
        <v>0</v>
      </c>
      <c r="F309" s="186">
        <v>0</v>
      </c>
      <c r="G309" s="258">
        <v>0</v>
      </c>
      <c r="H309" s="186">
        <v>2</v>
      </c>
      <c r="I309" s="186">
        <v>0</v>
      </c>
      <c r="J309" s="186">
        <v>0</v>
      </c>
    </row>
    <row r="310" spans="1:10">
      <c r="A310" s="188">
        <v>42648</v>
      </c>
      <c r="B310" s="186" t="s">
        <v>554</v>
      </c>
      <c r="C310" s="262" t="s">
        <v>479</v>
      </c>
      <c r="D310" s="186">
        <v>0</v>
      </c>
      <c r="E310" s="186">
        <v>0</v>
      </c>
      <c r="F310" s="186">
        <v>0</v>
      </c>
      <c r="G310" s="258">
        <v>0</v>
      </c>
      <c r="H310" s="186">
        <v>16</v>
      </c>
      <c r="I310" s="186">
        <v>0</v>
      </c>
      <c r="J310" s="186">
        <v>0</v>
      </c>
    </row>
    <row r="311" spans="1:10">
      <c r="A311" s="188">
        <v>42648</v>
      </c>
      <c r="B311" s="186" t="s">
        <v>554</v>
      </c>
      <c r="C311" s="262" t="s">
        <v>468</v>
      </c>
      <c r="D311" s="186">
        <v>0</v>
      </c>
      <c r="E311" s="186">
        <v>0</v>
      </c>
      <c r="F311" s="186">
        <v>0</v>
      </c>
      <c r="G311" s="258">
        <v>0</v>
      </c>
      <c r="H311" s="186">
        <v>2</v>
      </c>
      <c r="I311" s="186">
        <v>0</v>
      </c>
      <c r="J311" s="186">
        <v>0</v>
      </c>
    </row>
    <row r="312" spans="1:10">
      <c r="A312" s="188">
        <v>42648</v>
      </c>
      <c r="B312" s="186" t="s">
        <v>554</v>
      </c>
      <c r="C312" s="262" t="s">
        <v>489</v>
      </c>
      <c r="D312" s="186">
        <v>0</v>
      </c>
      <c r="E312" s="186">
        <v>0</v>
      </c>
      <c r="F312" s="186">
        <v>0</v>
      </c>
      <c r="G312" s="258">
        <v>0</v>
      </c>
      <c r="H312" s="186">
        <v>3</v>
      </c>
      <c r="I312" s="186">
        <v>0</v>
      </c>
      <c r="J312" s="186">
        <v>0</v>
      </c>
    </row>
    <row r="313" spans="1:10">
      <c r="A313" s="188">
        <v>42648</v>
      </c>
      <c r="B313" s="186" t="s">
        <v>554</v>
      </c>
      <c r="C313" s="262" t="s">
        <v>469</v>
      </c>
      <c r="D313" s="186">
        <v>0</v>
      </c>
      <c r="E313" s="186">
        <v>0</v>
      </c>
      <c r="F313" s="186">
        <v>0</v>
      </c>
      <c r="G313" s="258">
        <v>0</v>
      </c>
      <c r="H313" s="186">
        <v>22</v>
      </c>
      <c r="I313" s="186">
        <v>0</v>
      </c>
      <c r="J313" s="186">
        <v>0</v>
      </c>
    </row>
    <row r="314" spans="1:10">
      <c r="A314" s="188">
        <v>42648</v>
      </c>
      <c r="B314" s="186" t="s">
        <v>554</v>
      </c>
      <c r="C314" s="262" t="s">
        <v>470</v>
      </c>
      <c r="D314" s="186">
        <v>0</v>
      </c>
      <c r="E314" s="186">
        <v>0</v>
      </c>
      <c r="F314" s="186">
        <v>0</v>
      </c>
      <c r="G314" s="258">
        <v>0</v>
      </c>
      <c r="H314" s="186">
        <v>0</v>
      </c>
      <c r="I314" s="186">
        <v>0</v>
      </c>
      <c r="J314" s="186">
        <v>0</v>
      </c>
    </row>
    <row r="315" spans="1:10">
      <c r="A315" s="188">
        <v>42648</v>
      </c>
      <c r="B315" s="186" t="s">
        <v>554</v>
      </c>
      <c r="C315" s="262" t="s">
        <v>510</v>
      </c>
      <c r="D315" s="186">
        <v>0</v>
      </c>
      <c r="E315" s="186">
        <v>0</v>
      </c>
      <c r="F315" s="186">
        <v>0</v>
      </c>
      <c r="G315" s="258">
        <v>0</v>
      </c>
      <c r="H315" s="186">
        <v>43</v>
      </c>
      <c r="I315" s="186">
        <v>0</v>
      </c>
      <c r="J315" s="186">
        <v>0</v>
      </c>
    </row>
    <row r="316" spans="1:10">
      <c r="A316" s="188">
        <v>42649</v>
      </c>
      <c r="B316" s="186" t="s">
        <v>554</v>
      </c>
      <c r="C316" s="262" t="s">
        <v>466</v>
      </c>
      <c r="D316" s="186">
        <v>0</v>
      </c>
      <c r="E316" s="186">
        <v>15</v>
      </c>
      <c r="F316" s="186">
        <v>0</v>
      </c>
      <c r="G316" s="258">
        <v>11</v>
      </c>
      <c r="H316" s="186">
        <v>27</v>
      </c>
      <c r="I316" s="186">
        <v>15</v>
      </c>
      <c r="J316" s="186">
        <v>11</v>
      </c>
    </row>
    <row r="317" spans="1:10">
      <c r="A317" s="188">
        <v>42649</v>
      </c>
      <c r="B317" s="186" t="s">
        <v>554</v>
      </c>
      <c r="C317" s="262" t="s">
        <v>465</v>
      </c>
      <c r="D317" s="186">
        <v>0</v>
      </c>
      <c r="E317" s="186">
        <v>3</v>
      </c>
      <c r="F317" s="186">
        <v>0</v>
      </c>
      <c r="G317" s="258">
        <v>2</v>
      </c>
      <c r="H317" s="186">
        <v>22</v>
      </c>
      <c r="I317" s="186">
        <v>3</v>
      </c>
      <c r="J317" s="186">
        <v>2</v>
      </c>
    </row>
    <row r="318" spans="1:10">
      <c r="A318" s="188">
        <v>42649</v>
      </c>
      <c r="B318" s="186" t="s">
        <v>554</v>
      </c>
      <c r="C318" s="262" t="s">
        <v>462</v>
      </c>
      <c r="D318" s="186">
        <v>0</v>
      </c>
      <c r="E318" s="186">
        <v>0</v>
      </c>
      <c r="F318" s="186">
        <v>0</v>
      </c>
      <c r="G318" s="258">
        <v>0</v>
      </c>
      <c r="H318" s="186">
        <v>9</v>
      </c>
      <c r="I318" s="186">
        <v>0</v>
      </c>
      <c r="J318" s="186">
        <v>0</v>
      </c>
    </row>
    <row r="319" spans="1:10">
      <c r="A319" s="188">
        <v>42649</v>
      </c>
      <c r="B319" s="186" t="s">
        <v>554</v>
      </c>
      <c r="C319" s="262" t="s">
        <v>464</v>
      </c>
      <c r="D319" s="186">
        <v>0</v>
      </c>
      <c r="E319" s="186">
        <v>0</v>
      </c>
      <c r="F319" s="186">
        <v>0</v>
      </c>
      <c r="G319" s="258">
        <v>0</v>
      </c>
      <c r="H319" s="186">
        <v>2</v>
      </c>
      <c r="I319" s="186">
        <v>0</v>
      </c>
      <c r="J319" s="186">
        <v>0</v>
      </c>
    </row>
    <row r="320" spans="1:10">
      <c r="A320" s="188">
        <v>42649</v>
      </c>
      <c r="B320" s="186" t="s">
        <v>554</v>
      </c>
      <c r="C320" s="262" t="s">
        <v>479</v>
      </c>
      <c r="D320" s="186">
        <v>0</v>
      </c>
      <c r="E320" s="186">
        <v>0</v>
      </c>
      <c r="F320" s="186">
        <v>0</v>
      </c>
      <c r="G320" s="258">
        <v>0</v>
      </c>
      <c r="H320" s="186">
        <v>18</v>
      </c>
      <c r="I320" s="186">
        <v>0</v>
      </c>
      <c r="J320" s="186">
        <v>0</v>
      </c>
    </row>
    <row r="321" spans="1:10">
      <c r="A321" s="188">
        <v>42649</v>
      </c>
      <c r="B321" s="186" t="s">
        <v>554</v>
      </c>
      <c r="C321" s="262" t="s">
        <v>468</v>
      </c>
      <c r="D321" s="186">
        <v>0</v>
      </c>
      <c r="E321" s="186">
        <v>0</v>
      </c>
      <c r="F321" s="186">
        <v>0</v>
      </c>
      <c r="G321" s="258">
        <v>0</v>
      </c>
      <c r="H321" s="186">
        <v>2</v>
      </c>
      <c r="I321" s="186">
        <v>0</v>
      </c>
      <c r="J321" s="186">
        <v>0</v>
      </c>
    </row>
    <row r="322" spans="1:10">
      <c r="A322" s="188">
        <v>42649</v>
      </c>
      <c r="B322" s="186" t="s">
        <v>554</v>
      </c>
      <c r="C322" s="262" t="s">
        <v>489</v>
      </c>
      <c r="D322" s="186">
        <v>0</v>
      </c>
      <c r="E322" s="186">
        <v>0</v>
      </c>
      <c r="F322" s="186">
        <v>0</v>
      </c>
      <c r="G322" s="258">
        <v>0</v>
      </c>
      <c r="H322" s="186">
        <v>3</v>
      </c>
      <c r="I322" s="186">
        <v>0</v>
      </c>
      <c r="J322" s="186">
        <v>0</v>
      </c>
    </row>
    <row r="323" spans="1:10">
      <c r="A323" s="188">
        <v>42649</v>
      </c>
      <c r="B323" s="186" t="s">
        <v>554</v>
      </c>
      <c r="C323" s="262" t="s">
        <v>469</v>
      </c>
      <c r="D323" s="186">
        <v>0</v>
      </c>
      <c r="E323" s="186">
        <v>0</v>
      </c>
      <c r="F323" s="186">
        <v>0</v>
      </c>
      <c r="G323" s="258">
        <v>0</v>
      </c>
      <c r="H323" s="186">
        <v>25</v>
      </c>
      <c r="I323" s="186">
        <v>0</v>
      </c>
      <c r="J323" s="186">
        <v>0</v>
      </c>
    </row>
    <row r="324" spans="1:10">
      <c r="A324" s="188">
        <v>42649</v>
      </c>
      <c r="B324" s="186" t="s">
        <v>554</v>
      </c>
      <c r="C324" s="262" t="s">
        <v>470</v>
      </c>
      <c r="D324" s="186">
        <v>0</v>
      </c>
      <c r="E324" s="186">
        <v>0</v>
      </c>
      <c r="F324" s="186">
        <v>0</v>
      </c>
      <c r="G324" s="258">
        <v>0</v>
      </c>
      <c r="H324" s="186">
        <v>0</v>
      </c>
      <c r="I324" s="186">
        <v>0</v>
      </c>
      <c r="J324" s="186">
        <v>0</v>
      </c>
    </row>
    <row r="325" spans="1:10">
      <c r="A325" s="188">
        <v>42649</v>
      </c>
      <c r="B325" s="186" t="s">
        <v>554</v>
      </c>
      <c r="C325" s="262" t="s">
        <v>510</v>
      </c>
      <c r="D325" s="186">
        <v>0</v>
      </c>
      <c r="E325" s="186">
        <v>0</v>
      </c>
      <c r="F325" s="186">
        <v>0</v>
      </c>
      <c r="G325" s="258">
        <v>0</v>
      </c>
      <c r="H325" s="186">
        <v>45</v>
      </c>
      <c r="I325" s="186">
        <v>0</v>
      </c>
      <c r="J325" s="186">
        <v>0</v>
      </c>
    </row>
    <row r="326" spans="1:10">
      <c r="A326" s="188">
        <v>42650</v>
      </c>
      <c r="B326" s="186" t="s">
        <v>554</v>
      </c>
      <c r="C326" s="262" t="s">
        <v>466</v>
      </c>
      <c r="D326" s="186">
        <v>0</v>
      </c>
      <c r="E326" s="186">
        <v>15</v>
      </c>
      <c r="F326" s="186">
        <v>0</v>
      </c>
      <c r="G326" s="258">
        <v>11</v>
      </c>
      <c r="H326" s="186">
        <v>27</v>
      </c>
      <c r="I326" s="186">
        <v>15</v>
      </c>
      <c r="J326" s="186">
        <v>11</v>
      </c>
    </row>
    <row r="327" spans="1:10">
      <c r="A327" s="188">
        <v>42650</v>
      </c>
      <c r="B327" s="186" t="s">
        <v>554</v>
      </c>
      <c r="C327" s="262" t="s">
        <v>465</v>
      </c>
      <c r="D327" s="186">
        <v>0</v>
      </c>
      <c r="E327" s="186">
        <v>3</v>
      </c>
      <c r="F327" s="186">
        <v>0</v>
      </c>
      <c r="G327" s="258">
        <v>2</v>
      </c>
      <c r="H327" s="186">
        <v>22</v>
      </c>
      <c r="I327" s="186">
        <v>3</v>
      </c>
      <c r="J327" s="186">
        <v>2</v>
      </c>
    </row>
    <row r="328" spans="1:10">
      <c r="A328" s="188">
        <v>42650</v>
      </c>
      <c r="B328" s="186" t="s">
        <v>554</v>
      </c>
      <c r="C328" s="262" t="s">
        <v>462</v>
      </c>
      <c r="D328" s="186">
        <v>0</v>
      </c>
      <c r="E328" s="186">
        <v>0</v>
      </c>
      <c r="F328" s="186">
        <v>0</v>
      </c>
      <c r="G328" s="258">
        <v>0</v>
      </c>
      <c r="H328" s="186">
        <v>10</v>
      </c>
      <c r="I328" s="186">
        <v>0</v>
      </c>
      <c r="J328" s="186">
        <v>0</v>
      </c>
    </row>
    <row r="329" spans="1:10">
      <c r="A329" s="188">
        <v>42650</v>
      </c>
      <c r="B329" s="186" t="s">
        <v>554</v>
      </c>
      <c r="C329" s="262" t="s">
        <v>464</v>
      </c>
      <c r="D329" s="186">
        <v>0</v>
      </c>
      <c r="E329" s="186">
        <v>0</v>
      </c>
      <c r="F329" s="186">
        <v>0</v>
      </c>
      <c r="G329" s="258">
        <v>0</v>
      </c>
      <c r="H329" s="186">
        <v>2</v>
      </c>
      <c r="I329" s="186">
        <v>0</v>
      </c>
      <c r="J329" s="186">
        <v>0</v>
      </c>
    </row>
    <row r="330" spans="1:10">
      <c r="A330" s="188">
        <v>42650</v>
      </c>
      <c r="B330" s="186" t="s">
        <v>554</v>
      </c>
      <c r="C330" s="262" t="s">
        <v>479</v>
      </c>
      <c r="D330" s="186">
        <v>0</v>
      </c>
      <c r="E330" s="186">
        <v>0</v>
      </c>
      <c r="F330" s="186">
        <v>0</v>
      </c>
      <c r="G330" s="258">
        <v>0</v>
      </c>
      <c r="H330" s="186">
        <v>20</v>
      </c>
      <c r="I330" s="186">
        <v>0</v>
      </c>
      <c r="J330" s="186">
        <v>0</v>
      </c>
    </row>
    <row r="331" spans="1:10">
      <c r="A331" s="188">
        <v>42650</v>
      </c>
      <c r="B331" s="186" t="s">
        <v>554</v>
      </c>
      <c r="C331" s="262" t="s">
        <v>480</v>
      </c>
      <c r="D331" s="186">
        <v>0</v>
      </c>
      <c r="E331" s="186">
        <v>0</v>
      </c>
      <c r="F331" s="186">
        <v>0</v>
      </c>
      <c r="G331" s="258">
        <v>0</v>
      </c>
      <c r="H331" s="186">
        <v>1</v>
      </c>
      <c r="I331" s="186">
        <v>0</v>
      </c>
      <c r="J331" s="186">
        <v>0</v>
      </c>
    </row>
    <row r="332" spans="1:10">
      <c r="A332" s="188">
        <v>42650</v>
      </c>
      <c r="B332" s="186" t="s">
        <v>554</v>
      </c>
      <c r="C332" s="262" t="s">
        <v>468</v>
      </c>
      <c r="D332" s="186">
        <v>0</v>
      </c>
      <c r="E332" s="186">
        <v>0</v>
      </c>
      <c r="F332" s="186">
        <v>0</v>
      </c>
      <c r="G332" s="258">
        <v>0</v>
      </c>
      <c r="H332" s="186">
        <v>2</v>
      </c>
      <c r="I332" s="186">
        <v>0</v>
      </c>
      <c r="J332" s="186">
        <v>0</v>
      </c>
    </row>
    <row r="333" spans="1:10">
      <c r="A333" s="188">
        <v>42650</v>
      </c>
      <c r="B333" s="186" t="s">
        <v>554</v>
      </c>
      <c r="C333" s="262" t="s">
        <v>489</v>
      </c>
      <c r="D333" s="186">
        <v>0</v>
      </c>
      <c r="E333" s="186">
        <v>0</v>
      </c>
      <c r="F333" s="186">
        <v>0</v>
      </c>
      <c r="G333" s="258">
        <v>0</v>
      </c>
      <c r="H333" s="186">
        <v>3</v>
      </c>
      <c r="I333" s="186">
        <v>0</v>
      </c>
      <c r="J333" s="186">
        <v>0</v>
      </c>
    </row>
    <row r="334" spans="1:10">
      <c r="A334" s="188">
        <v>42650</v>
      </c>
      <c r="B334" s="186" t="s">
        <v>554</v>
      </c>
      <c r="C334" s="262" t="s">
        <v>469</v>
      </c>
      <c r="D334" s="186">
        <v>0</v>
      </c>
      <c r="E334" s="186">
        <v>0</v>
      </c>
      <c r="F334" s="186">
        <v>0</v>
      </c>
      <c r="G334" s="258">
        <v>0</v>
      </c>
      <c r="H334" s="186">
        <v>27</v>
      </c>
      <c r="I334" s="186">
        <v>0</v>
      </c>
      <c r="J334" s="186">
        <v>0</v>
      </c>
    </row>
    <row r="335" spans="1:10">
      <c r="A335" s="188">
        <v>42650</v>
      </c>
      <c r="B335" s="186" t="s">
        <v>554</v>
      </c>
      <c r="C335" s="262" t="s">
        <v>470</v>
      </c>
      <c r="D335" s="186">
        <v>0</v>
      </c>
      <c r="E335" s="186">
        <v>0</v>
      </c>
      <c r="F335" s="186">
        <v>0</v>
      </c>
      <c r="G335" s="258">
        <v>0</v>
      </c>
      <c r="H335" s="186">
        <v>0</v>
      </c>
      <c r="I335" s="186">
        <v>0</v>
      </c>
      <c r="J335" s="186">
        <v>0</v>
      </c>
    </row>
    <row r="336" spans="1:10">
      <c r="A336" s="188">
        <v>42650</v>
      </c>
      <c r="B336" s="186" t="s">
        <v>554</v>
      </c>
      <c r="C336" s="262" t="s">
        <v>510</v>
      </c>
      <c r="D336" s="186">
        <v>0</v>
      </c>
      <c r="E336" s="186">
        <v>0</v>
      </c>
      <c r="F336" s="186">
        <v>0</v>
      </c>
      <c r="G336" s="258">
        <v>0</v>
      </c>
      <c r="H336" s="186">
        <v>46</v>
      </c>
      <c r="I336" s="186">
        <v>0</v>
      </c>
      <c r="J336" s="186">
        <v>0</v>
      </c>
    </row>
    <row r="337" spans="1:10">
      <c r="A337" s="188">
        <v>42651</v>
      </c>
      <c r="B337" s="186" t="s">
        <v>554</v>
      </c>
      <c r="C337" s="262" t="s">
        <v>466</v>
      </c>
      <c r="D337" s="186">
        <v>0</v>
      </c>
      <c r="E337" s="186">
        <v>16</v>
      </c>
      <c r="F337" s="186">
        <v>0</v>
      </c>
      <c r="G337" s="258">
        <v>11</v>
      </c>
      <c r="H337" s="186">
        <v>27</v>
      </c>
      <c r="I337" s="186">
        <v>16</v>
      </c>
      <c r="J337" s="186">
        <v>11</v>
      </c>
    </row>
    <row r="338" spans="1:10">
      <c r="A338" s="188">
        <v>42651</v>
      </c>
      <c r="B338" s="186" t="s">
        <v>554</v>
      </c>
      <c r="C338" s="262" t="s">
        <v>465</v>
      </c>
      <c r="D338" s="186">
        <v>0</v>
      </c>
      <c r="E338" s="186">
        <v>3</v>
      </c>
      <c r="F338" s="186">
        <v>0</v>
      </c>
      <c r="G338" s="258">
        <v>2</v>
      </c>
      <c r="H338" s="186">
        <v>25</v>
      </c>
      <c r="I338" s="186">
        <v>3</v>
      </c>
      <c r="J338" s="186">
        <v>2</v>
      </c>
    </row>
    <row r="339" spans="1:10">
      <c r="A339" s="188">
        <v>42651</v>
      </c>
      <c r="B339" s="186" t="s">
        <v>554</v>
      </c>
      <c r="C339" s="262" t="s">
        <v>461</v>
      </c>
      <c r="D339" s="186">
        <v>0</v>
      </c>
      <c r="E339" s="186">
        <v>0</v>
      </c>
      <c r="F339" s="186">
        <v>0</v>
      </c>
      <c r="G339" s="258">
        <v>0</v>
      </c>
      <c r="H339" s="186">
        <v>4</v>
      </c>
      <c r="I339" s="186">
        <v>0</v>
      </c>
      <c r="J339" s="186">
        <v>0</v>
      </c>
    </row>
    <row r="340" spans="1:10">
      <c r="A340" s="188">
        <v>42651</v>
      </c>
      <c r="B340" s="186" t="s">
        <v>554</v>
      </c>
      <c r="C340" s="262" t="s">
        <v>462</v>
      </c>
      <c r="D340" s="186">
        <v>0</v>
      </c>
      <c r="E340" s="186">
        <v>0</v>
      </c>
      <c r="F340" s="186">
        <v>0</v>
      </c>
      <c r="G340" s="258">
        <v>0</v>
      </c>
      <c r="H340" s="186">
        <v>11</v>
      </c>
      <c r="I340" s="186">
        <v>0</v>
      </c>
      <c r="J340" s="186">
        <v>0</v>
      </c>
    </row>
    <row r="341" spans="1:10">
      <c r="A341" s="188">
        <v>42651</v>
      </c>
      <c r="B341" s="186" t="s">
        <v>554</v>
      </c>
      <c r="C341" s="262" t="s">
        <v>464</v>
      </c>
      <c r="D341" s="186">
        <v>0</v>
      </c>
      <c r="E341" s="186">
        <v>0</v>
      </c>
      <c r="F341" s="186">
        <v>0</v>
      </c>
      <c r="G341" s="258">
        <v>0</v>
      </c>
      <c r="H341" s="186">
        <v>3</v>
      </c>
      <c r="I341" s="186">
        <v>0</v>
      </c>
      <c r="J341" s="186">
        <v>0</v>
      </c>
    </row>
    <row r="342" spans="1:10">
      <c r="A342" s="188">
        <v>42651</v>
      </c>
      <c r="B342" s="186" t="s">
        <v>554</v>
      </c>
      <c r="C342" s="262" t="s">
        <v>460</v>
      </c>
      <c r="D342" s="186">
        <v>0</v>
      </c>
      <c r="E342" s="186">
        <v>0</v>
      </c>
      <c r="F342" s="186">
        <v>0</v>
      </c>
      <c r="G342" s="258">
        <v>0</v>
      </c>
      <c r="H342" s="186">
        <v>9</v>
      </c>
      <c r="I342" s="186">
        <v>0</v>
      </c>
      <c r="J342" s="186">
        <v>0</v>
      </c>
    </row>
    <row r="343" spans="1:10">
      <c r="A343" s="188">
        <v>42651</v>
      </c>
      <c r="B343" s="186" t="s">
        <v>554</v>
      </c>
      <c r="C343" s="262" t="s">
        <v>479</v>
      </c>
      <c r="D343" s="186">
        <v>0</v>
      </c>
      <c r="E343" s="186">
        <v>0</v>
      </c>
      <c r="F343" s="186">
        <v>0</v>
      </c>
      <c r="G343" s="258">
        <v>0</v>
      </c>
      <c r="H343" s="186">
        <v>21</v>
      </c>
      <c r="I343" s="186">
        <v>0</v>
      </c>
      <c r="J343" s="186">
        <v>0</v>
      </c>
    </row>
    <row r="344" spans="1:10">
      <c r="A344" s="188">
        <v>42651</v>
      </c>
      <c r="B344" s="186" t="s">
        <v>554</v>
      </c>
      <c r="C344" s="262" t="s">
        <v>480</v>
      </c>
      <c r="D344" s="186">
        <v>0</v>
      </c>
      <c r="E344" s="186">
        <v>0</v>
      </c>
      <c r="F344" s="186">
        <v>0</v>
      </c>
      <c r="G344" s="258">
        <v>0</v>
      </c>
      <c r="H344" s="186">
        <v>1</v>
      </c>
      <c r="I344" s="186">
        <v>0</v>
      </c>
      <c r="J344" s="186">
        <v>0</v>
      </c>
    </row>
    <row r="345" spans="1:10">
      <c r="A345" s="188">
        <v>42651</v>
      </c>
      <c r="B345" s="186" t="s">
        <v>554</v>
      </c>
      <c r="C345" s="262" t="s">
        <v>468</v>
      </c>
      <c r="D345" s="186">
        <v>0</v>
      </c>
      <c r="E345" s="186">
        <v>0</v>
      </c>
      <c r="F345" s="186">
        <v>0</v>
      </c>
      <c r="G345" s="258">
        <v>0</v>
      </c>
      <c r="H345" s="186">
        <v>2</v>
      </c>
      <c r="I345" s="186">
        <v>0</v>
      </c>
      <c r="J345" s="186">
        <v>0</v>
      </c>
    </row>
    <row r="346" spans="1:10">
      <c r="A346" s="188">
        <v>42651</v>
      </c>
      <c r="B346" s="186" t="s">
        <v>554</v>
      </c>
      <c r="C346" s="262" t="s">
        <v>489</v>
      </c>
      <c r="D346" s="186">
        <v>0</v>
      </c>
      <c r="E346" s="186">
        <v>0</v>
      </c>
      <c r="F346" s="186">
        <v>0</v>
      </c>
      <c r="G346" s="258">
        <v>0</v>
      </c>
      <c r="H346" s="186">
        <v>4</v>
      </c>
      <c r="I346" s="186">
        <v>0</v>
      </c>
      <c r="J346" s="186">
        <v>0</v>
      </c>
    </row>
    <row r="347" spans="1:10">
      <c r="A347" s="188">
        <v>42651</v>
      </c>
      <c r="B347" s="186" t="s">
        <v>554</v>
      </c>
      <c r="C347" s="262" t="s">
        <v>469</v>
      </c>
      <c r="D347" s="186">
        <v>0</v>
      </c>
      <c r="E347" s="186">
        <v>0</v>
      </c>
      <c r="F347" s="186">
        <v>0</v>
      </c>
      <c r="G347" s="258">
        <v>0</v>
      </c>
      <c r="H347" s="186">
        <v>27</v>
      </c>
      <c r="I347" s="186">
        <v>0</v>
      </c>
      <c r="J347" s="186">
        <v>0</v>
      </c>
    </row>
    <row r="348" spans="1:10">
      <c r="A348" s="188">
        <v>42651</v>
      </c>
      <c r="B348" s="186" t="s">
        <v>554</v>
      </c>
      <c r="C348" s="262" t="s">
        <v>470</v>
      </c>
      <c r="D348" s="186">
        <v>0</v>
      </c>
      <c r="E348" s="186">
        <v>0</v>
      </c>
      <c r="F348" s="186">
        <v>0</v>
      </c>
      <c r="G348" s="258">
        <v>0</v>
      </c>
      <c r="H348" s="186">
        <v>2</v>
      </c>
      <c r="I348" s="186">
        <v>0</v>
      </c>
      <c r="J348" s="186">
        <v>0</v>
      </c>
    </row>
    <row r="349" spans="1:10">
      <c r="A349" s="188">
        <v>42651</v>
      </c>
      <c r="B349" s="186" t="s">
        <v>554</v>
      </c>
      <c r="C349" s="262" t="s">
        <v>510</v>
      </c>
      <c r="D349" s="186">
        <v>0</v>
      </c>
      <c r="E349" s="186">
        <v>0</v>
      </c>
      <c r="F349" s="186">
        <v>0</v>
      </c>
      <c r="G349" s="258">
        <v>0</v>
      </c>
      <c r="H349" s="186">
        <v>47</v>
      </c>
      <c r="I349" s="186">
        <v>0</v>
      </c>
      <c r="J349" s="186">
        <v>0</v>
      </c>
    </row>
    <row r="350" spans="1:10">
      <c r="A350" s="188">
        <v>42651</v>
      </c>
      <c r="B350" s="186" t="s">
        <v>226</v>
      </c>
      <c r="C350" s="262" t="s">
        <v>465</v>
      </c>
      <c r="D350" s="186">
        <v>1</v>
      </c>
      <c r="E350" s="186">
        <v>9</v>
      </c>
      <c r="F350" s="186">
        <v>0</v>
      </c>
      <c r="G350" s="258">
        <v>2</v>
      </c>
      <c r="H350" s="186">
        <v>699</v>
      </c>
      <c r="I350" s="186">
        <v>9</v>
      </c>
      <c r="J350" s="186">
        <v>2</v>
      </c>
    </row>
    <row r="351" spans="1:10">
      <c r="A351" s="188">
        <v>42651</v>
      </c>
      <c r="B351" s="186" t="s">
        <v>226</v>
      </c>
      <c r="C351" s="262" t="s">
        <v>463</v>
      </c>
      <c r="D351" s="186">
        <v>0</v>
      </c>
      <c r="E351" s="186">
        <v>1</v>
      </c>
      <c r="F351" s="186">
        <v>0</v>
      </c>
      <c r="G351" s="258">
        <v>1</v>
      </c>
      <c r="H351" s="186">
        <v>0</v>
      </c>
      <c r="I351" s="186">
        <v>1</v>
      </c>
      <c r="J351" s="186">
        <v>1</v>
      </c>
    </row>
    <row r="352" spans="1:10">
      <c r="A352" s="188">
        <v>42651</v>
      </c>
      <c r="B352" s="186" t="s">
        <v>226</v>
      </c>
      <c r="C352" s="262" t="s">
        <v>489</v>
      </c>
      <c r="D352" s="186">
        <v>0</v>
      </c>
      <c r="E352" s="186">
        <v>1</v>
      </c>
      <c r="F352" s="186">
        <v>0</v>
      </c>
      <c r="G352" s="258">
        <v>1</v>
      </c>
      <c r="H352" s="186">
        <v>2</v>
      </c>
      <c r="I352" s="186">
        <v>1</v>
      </c>
      <c r="J352" s="186">
        <v>1</v>
      </c>
    </row>
    <row r="353" spans="1:10">
      <c r="A353" s="188">
        <v>42651</v>
      </c>
      <c r="B353" s="186" t="s">
        <v>226</v>
      </c>
      <c r="C353" s="262" t="s">
        <v>466</v>
      </c>
      <c r="D353" s="186">
        <v>0</v>
      </c>
      <c r="E353" s="186">
        <v>11</v>
      </c>
      <c r="F353" s="186">
        <v>0</v>
      </c>
      <c r="G353" s="258">
        <v>1</v>
      </c>
      <c r="H353" s="186">
        <v>402</v>
      </c>
      <c r="I353" s="186">
        <v>11</v>
      </c>
      <c r="J353" s="186">
        <v>1</v>
      </c>
    </row>
    <row r="354" spans="1:10">
      <c r="A354" s="188">
        <v>42651</v>
      </c>
      <c r="B354" s="186" t="s">
        <v>226</v>
      </c>
      <c r="C354" s="262" t="s">
        <v>462</v>
      </c>
      <c r="D354" s="186">
        <v>0</v>
      </c>
      <c r="E354" s="186">
        <v>0</v>
      </c>
      <c r="F354" s="186">
        <v>0</v>
      </c>
      <c r="G354" s="258">
        <v>0</v>
      </c>
      <c r="H354" s="186">
        <v>261</v>
      </c>
      <c r="I354" s="186">
        <v>0</v>
      </c>
      <c r="J354" s="186">
        <v>0</v>
      </c>
    </row>
    <row r="355" spans="1:10">
      <c r="A355" s="188">
        <v>42651</v>
      </c>
      <c r="B355" s="186" t="s">
        <v>226</v>
      </c>
      <c r="C355" s="262" t="s">
        <v>464</v>
      </c>
      <c r="D355" s="186">
        <v>0</v>
      </c>
      <c r="E355" s="186">
        <v>0</v>
      </c>
      <c r="F355" s="186">
        <v>0</v>
      </c>
      <c r="G355" s="258">
        <v>0</v>
      </c>
      <c r="H355" s="186">
        <v>96</v>
      </c>
      <c r="I355" s="186">
        <v>0</v>
      </c>
      <c r="J355" s="186">
        <v>0</v>
      </c>
    </row>
    <row r="356" spans="1:10">
      <c r="A356" s="188">
        <v>42651</v>
      </c>
      <c r="B356" s="186" t="s">
        <v>226</v>
      </c>
      <c r="C356" s="262" t="s">
        <v>490</v>
      </c>
      <c r="D356" s="186">
        <v>0</v>
      </c>
      <c r="E356" s="186">
        <v>0</v>
      </c>
      <c r="F356" s="186">
        <v>0</v>
      </c>
      <c r="G356" s="258">
        <v>0</v>
      </c>
      <c r="H356" s="186">
        <v>61</v>
      </c>
      <c r="I356" s="186">
        <v>0</v>
      </c>
      <c r="J356" s="186">
        <v>0</v>
      </c>
    </row>
    <row r="357" spans="1:10">
      <c r="A357" s="188">
        <v>42651</v>
      </c>
      <c r="B357" s="186" t="s">
        <v>226</v>
      </c>
      <c r="C357" s="262" t="s">
        <v>479</v>
      </c>
      <c r="D357" s="186">
        <v>0</v>
      </c>
      <c r="E357" s="186">
        <v>0</v>
      </c>
      <c r="F357" s="186">
        <v>0</v>
      </c>
      <c r="G357" s="258">
        <v>0</v>
      </c>
      <c r="H357" s="186">
        <v>66</v>
      </c>
      <c r="I357" s="186">
        <v>0</v>
      </c>
      <c r="J357" s="186">
        <v>0</v>
      </c>
    </row>
    <row r="358" spans="1:10">
      <c r="A358" s="188">
        <v>42651</v>
      </c>
      <c r="B358" s="186" t="s">
        <v>226</v>
      </c>
      <c r="C358" s="262" t="s">
        <v>468</v>
      </c>
      <c r="D358" s="186">
        <v>0</v>
      </c>
      <c r="E358" s="186">
        <v>0</v>
      </c>
      <c r="F358" s="186">
        <v>0</v>
      </c>
      <c r="G358" s="258">
        <v>0</v>
      </c>
      <c r="H358" s="186">
        <v>35</v>
      </c>
      <c r="I358" s="186">
        <v>0</v>
      </c>
      <c r="J358" s="186">
        <v>0</v>
      </c>
    </row>
    <row r="359" spans="1:10">
      <c r="A359" s="188">
        <v>42651</v>
      </c>
      <c r="B359" s="186" t="s">
        <v>226</v>
      </c>
      <c r="C359" s="262" t="s">
        <v>469</v>
      </c>
      <c r="D359" s="186">
        <v>0</v>
      </c>
      <c r="E359" s="186">
        <v>0</v>
      </c>
      <c r="F359" s="186">
        <v>0</v>
      </c>
      <c r="G359" s="258">
        <v>0</v>
      </c>
      <c r="H359" s="186">
        <v>553</v>
      </c>
      <c r="I359" s="186">
        <v>0</v>
      </c>
      <c r="J359" s="186">
        <v>0</v>
      </c>
    </row>
    <row r="360" spans="1:10">
      <c r="A360" s="188">
        <v>42651</v>
      </c>
      <c r="B360" s="186" t="s">
        <v>226</v>
      </c>
      <c r="C360" s="262" t="s">
        <v>471</v>
      </c>
      <c r="D360" s="186">
        <v>0</v>
      </c>
      <c r="E360" s="186">
        <v>0</v>
      </c>
      <c r="F360" s="186">
        <v>0</v>
      </c>
      <c r="G360" s="258">
        <v>0</v>
      </c>
      <c r="H360" s="186">
        <v>31</v>
      </c>
      <c r="I360" s="186">
        <v>0</v>
      </c>
      <c r="J360" s="186">
        <v>0</v>
      </c>
    </row>
    <row r="361" spans="1:10">
      <c r="A361" s="188">
        <v>42651</v>
      </c>
      <c r="B361" s="186" t="s">
        <v>474</v>
      </c>
      <c r="C361" s="262" t="s">
        <v>465</v>
      </c>
      <c r="D361" s="186">
        <v>0</v>
      </c>
      <c r="E361" s="186">
        <v>2</v>
      </c>
      <c r="F361" s="186">
        <v>0</v>
      </c>
      <c r="G361" s="258">
        <v>1</v>
      </c>
      <c r="H361" s="186">
        <v>236</v>
      </c>
      <c r="I361" s="186">
        <v>2</v>
      </c>
      <c r="J361" s="186">
        <v>1</v>
      </c>
    </row>
    <row r="362" spans="1:10">
      <c r="A362" s="188">
        <v>42651</v>
      </c>
      <c r="B362" s="186" t="s">
        <v>474</v>
      </c>
      <c r="C362" s="262" t="s">
        <v>466</v>
      </c>
      <c r="D362" s="186">
        <v>1</v>
      </c>
      <c r="E362" s="186">
        <v>10</v>
      </c>
      <c r="F362" s="186">
        <v>0</v>
      </c>
      <c r="G362" s="258">
        <v>1</v>
      </c>
      <c r="H362" s="186">
        <v>579</v>
      </c>
      <c r="I362" s="186">
        <v>10</v>
      </c>
      <c r="J362" s="186">
        <v>1</v>
      </c>
    </row>
    <row r="363" spans="1:10">
      <c r="A363" s="188">
        <v>42651</v>
      </c>
      <c r="B363" s="186" t="s">
        <v>474</v>
      </c>
      <c r="C363" s="262" t="s">
        <v>462</v>
      </c>
      <c r="D363" s="186">
        <v>0</v>
      </c>
      <c r="E363" s="186">
        <v>0</v>
      </c>
      <c r="F363" s="186">
        <v>0</v>
      </c>
      <c r="G363" s="258">
        <v>0</v>
      </c>
      <c r="H363" s="186">
        <v>40</v>
      </c>
      <c r="I363" s="186">
        <v>0</v>
      </c>
      <c r="J363" s="186">
        <v>0</v>
      </c>
    </row>
    <row r="364" spans="1:10">
      <c r="A364" s="188">
        <v>42651</v>
      </c>
      <c r="B364" s="186" t="s">
        <v>474</v>
      </c>
      <c r="C364" s="262" t="s">
        <v>464</v>
      </c>
      <c r="D364" s="186">
        <v>0</v>
      </c>
      <c r="E364" s="186">
        <v>0</v>
      </c>
      <c r="F364" s="186">
        <v>0</v>
      </c>
      <c r="G364" s="258">
        <v>0</v>
      </c>
      <c r="H364" s="186">
        <v>46</v>
      </c>
      <c r="I364" s="186">
        <v>0</v>
      </c>
      <c r="J364" s="186">
        <v>0</v>
      </c>
    </row>
    <row r="365" spans="1:10">
      <c r="A365" s="188">
        <v>42651</v>
      </c>
      <c r="B365" s="186" t="s">
        <v>474</v>
      </c>
      <c r="C365" s="262" t="s">
        <v>472</v>
      </c>
      <c r="D365" s="186">
        <v>0</v>
      </c>
      <c r="E365" s="186">
        <v>0</v>
      </c>
      <c r="F365" s="186">
        <v>0</v>
      </c>
      <c r="G365" s="258">
        <v>0</v>
      </c>
      <c r="H365" s="186">
        <v>1</v>
      </c>
      <c r="I365" s="186">
        <v>0</v>
      </c>
      <c r="J365" s="186">
        <v>0</v>
      </c>
    </row>
    <row r="366" spans="1:10">
      <c r="A366" s="188">
        <v>42651</v>
      </c>
      <c r="B366" s="186" t="s">
        <v>474</v>
      </c>
      <c r="C366" s="262" t="s">
        <v>479</v>
      </c>
      <c r="D366" s="186">
        <v>0</v>
      </c>
      <c r="E366" s="186">
        <v>0</v>
      </c>
      <c r="F366" s="186">
        <v>0</v>
      </c>
      <c r="G366" s="258">
        <v>0</v>
      </c>
      <c r="H366" s="186">
        <v>1</v>
      </c>
      <c r="I366" s="186">
        <v>0</v>
      </c>
      <c r="J366" s="186">
        <v>0</v>
      </c>
    </row>
    <row r="367" spans="1:10">
      <c r="A367" s="188">
        <v>42651</v>
      </c>
      <c r="B367" s="186" t="s">
        <v>474</v>
      </c>
      <c r="C367" s="262" t="s">
        <v>480</v>
      </c>
      <c r="D367" s="186">
        <v>0</v>
      </c>
      <c r="E367" s="186">
        <v>1</v>
      </c>
      <c r="F367" s="186">
        <v>0</v>
      </c>
      <c r="G367" s="258">
        <v>0</v>
      </c>
      <c r="H367" s="186">
        <v>36</v>
      </c>
      <c r="I367" s="186">
        <v>1</v>
      </c>
      <c r="J367" s="186">
        <v>0</v>
      </c>
    </row>
    <row r="368" spans="1:10">
      <c r="A368" s="188">
        <v>42651</v>
      </c>
      <c r="B368" s="186" t="s">
        <v>474</v>
      </c>
      <c r="C368" s="262" t="s">
        <v>468</v>
      </c>
      <c r="D368" s="186">
        <v>0</v>
      </c>
      <c r="E368" s="186">
        <v>0</v>
      </c>
      <c r="F368" s="186">
        <v>0</v>
      </c>
      <c r="G368" s="258">
        <v>0</v>
      </c>
      <c r="H368" s="186">
        <v>3</v>
      </c>
      <c r="I368" s="186">
        <v>0</v>
      </c>
      <c r="J368" s="186">
        <v>0</v>
      </c>
    </row>
    <row r="369" spans="1:10">
      <c r="A369" s="188">
        <v>42651</v>
      </c>
      <c r="B369" s="186" t="s">
        <v>474</v>
      </c>
      <c r="C369" s="262" t="s">
        <v>469</v>
      </c>
      <c r="D369" s="186">
        <v>0</v>
      </c>
      <c r="E369" s="186">
        <v>0</v>
      </c>
      <c r="F369" s="186">
        <v>0</v>
      </c>
      <c r="G369" s="258">
        <v>0</v>
      </c>
      <c r="H369" s="186">
        <v>71</v>
      </c>
      <c r="I369" s="186">
        <v>0</v>
      </c>
      <c r="J369" s="186">
        <v>0</v>
      </c>
    </row>
    <row r="370" spans="1:10">
      <c r="A370" s="188">
        <v>42651</v>
      </c>
      <c r="B370" s="186" t="s">
        <v>474</v>
      </c>
      <c r="C370" s="262" t="s">
        <v>470</v>
      </c>
      <c r="D370" s="186">
        <v>0</v>
      </c>
      <c r="E370" s="186">
        <v>0</v>
      </c>
      <c r="F370" s="186">
        <v>0</v>
      </c>
      <c r="G370" s="258">
        <v>0</v>
      </c>
      <c r="H370" s="186">
        <v>149</v>
      </c>
      <c r="I370" s="186">
        <v>0</v>
      </c>
      <c r="J370" s="186">
        <v>0</v>
      </c>
    </row>
    <row r="371" spans="1:10">
      <c r="A371" s="188">
        <v>42651</v>
      </c>
      <c r="B371" s="186" t="s">
        <v>474</v>
      </c>
      <c r="C371" s="262" t="s">
        <v>471</v>
      </c>
      <c r="D371" s="186">
        <v>0</v>
      </c>
      <c r="E371" s="186">
        <v>0</v>
      </c>
      <c r="F371" s="186">
        <v>0</v>
      </c>
      <c r="G371" s="258">
        <v>0</v>
      </c>
      <c r="H371" s="186">
        <v>3</v>
      </c>
      <c r="I371" s="186">
        <v>0</v>
      </c>
      <c r="J371" s="186">
        <v>0</v>
      </c>
    </row>
    <row r="372" spans="1:10">
      <c r="A372" s="188">
        <v>42651</v>
      </c>
      <c r="B372" s="186" t="s">
        <v>459</v>
      </c>
      <c r="C372" s="262" t="s">
        <v>460</v>
      </c>
      <c r="D372" s="186">
        <v>3</v>
      </c>
      <c r="E372" s="186">
        <v>27</v>
      </c>
      <c r="F372" s="186">
        <v>0</v>
      </c>
      <c r="G372" s="258">
        <v>3</v>
      </c>
      <c r="H372" s="186">
        <v>2049</v>
      </c>
      <c r="I372" s="186">
        <v>27</v>
      </c>
      <c r="J372" s="186">
        <v>3</v>
      </c>
    </row>
    <row r="373" spans="1:10">
      <c r="A373" s="188">
        <v>42651</v>
      </c>
      <c r="B373" s="186" t="s">
        <v>459</v>
      </c>
      <c r="C373" s="262" t="s">
        <v>466</v>
      </c>
      <c r="D373" s="186">
        <v>0</v>
      </c>
      <c r="E373" s="186">
        <v>8</v>
      </c>
      <c r="F373" s="186">
        <v>0</v>
      </c>
      <c r="G373" s="258">
        <v>2</v>
      </c>
      <c r="H373" s="186">
        <v>263</v>
      </c>
      <c r="I373" s="186">
        <v>8</v>
      </c>
      <c r="J373" s="186">
        <v>2</v>
      </c>
    </row>
    <row r="374" spans="1:10">
      <c r="A374" s="188">
        <v>42651</v>
      </c>
      <c r="B374" s="186" t="s">
        <v>459</v>
      </c>
      <c r="C374" s="262" t="s">
        <v>467</v>
      </c>
      <c r="D374" s="186">
        <v>2</v>
      </c>
      <c r="E374" s="186">
        <v>12</v>
      </c>
      <c r="F374" s="186">
        <v>0</v>
      </c>
      <c r="G374" s="258">
        <v>1</v>
      </c>
      <c r="H374" s="186">
        <v>1325</v>
      </c>
      <c r="I374" s="186">
        <v>12</v>
      </c>
      <c r="J374" s="186">
        <v>1</v>
      </c>
    </row>
    <row r="375" spans="1:10">
      <c r="A375" s="188">
        <v>42651</v>
      </c>
      <c r="B375" s="186" t="s">
        <v>459</v>
      </c>
      <c r="C375" s="262" t="s">
        <v>461</v>
      </c>
      <c r="D375" s="186">
        <v>0</v>
      </c>
      <c r="E375" s="186">
        <v>0</v>
      </c>
      <c r="F375" s="186">
        <v>0</v>
      </c>
      <c r="G375" s="258">
        <v>0</v>
      </c>
      <c r="H375" s="186">
        <v>4085</v>
      </c>
      <c r="I375" s="186">
        <v>0</v>
      </c>
      <c r="J375" s="186">
        <v>0</v>
      </c>
    </row>
    <row r="376" spans="1:10">
      <c r="A376" s="188">
        <v>42651</v>
      </c>
      <c r="B376" s="186" t="s">
        <v>459</v>
      </c>
      <c r="C376" s="262" t="s">
        <v>462</v>
      </c>
      <c r="D376" s="186">
        <v>0</v>
      </c>
      <c r="E376" s="186">
        <v>0</v>
      </c>
      <c r="F376" s="186">
        <v>0</v>
      </c>
      <c r="G376" s="258">
        <v>0</v>
      </c>
      <c r="H376" s="186">
        <v>336</v>
      </c>
      <c r="I376" s="186">
        <v>0</v>
      </c>
      <c r="J376" s="186">
        <v>0</v>
      </c>
    </row>
    <row r="377" spans="1:10">
      <c r="A377" s="188">
        <v>42651</v>
      </c>
      <c r="B377" s="186" t="s">
        <v>459</v>
      </c>
      <c r="C377" s="262" t="s">
        <v>463</v>
      </c>
      <c r="D377" s="186">
        <v>0</v>
      </c>
      <c r="E377" s="186">
        <v>1</v>
      </c>
      <c r="F377" s="186">
        <v>0</v>
      </c>
      <c r="G377" s="258">
        <v>0</v>
      </c>
      <c r="H377" s="186">
        <v>5</v>
      </c>
      <c r="I377" s="186">
        <v>1</v>
      </c>
      <c r="J377" s="186">
        <v>0</v>
      </c>
    </row>
    <row r="378" spans="1:10">
      <c r="A378" s="188">
        <v>42651</v>
      </c>
      <c r="B378" s="186" t="s">
        <v>459</v>
      </c>
      <c r="C378" s="262" t="s">
        <v>464</v>
      </c>
      <c r="D378" s="186">
        <v>0</v>
      </c>
      <c r="E378" s="186">
        <v>0</v>
      </c>
      <c r="F378" s="186">
        <v>0</v>
      </c>
      <c r="G378" s="258">
        <v>0</v>
      </c>
      <c r="H378" s="186">
        <v>312</v>
      </c>
      <c r="I378" s="186">
        <v>0</v>
      </c>
      <c r="J378" s="186">
        <v>0</v>
      </c>
    </row>
    <row r="379" spans="1:10">
      <c r="A379" s="188">
        <v>42651</v>
      </c>
      <c r="B379" s="186" t="s">
        <v>459</v>
      </c>
      <c r="C379" s="262" t="s">
        <v>465</v>
      </c>
      <c r="D379" s="186">
        <v>0</v>
      </c>
      <c r="E379" s="186">
        <v>2</v>
      </c>
      <c r="F379" s="186">
        <v>0</v>
      </c>
      <c r="G379" s="258">
        <v>0</v>
      </c>
      <c r="H379" s="186">
        <v>176</v>
      </c>
      <c r="I379" s="186">
        <v>2</v>
      </c>
      <c r="J379" s="186">
        <v>0</v>
      </c>
    </row>
    <row r="380" spans="1:10">
      <c r="A380" s="188">
        <v>42651</v>
      </c>
      <c r="B380" s="186" t="s">
        <v>459</v>
      </c>
      <c r="C380" s="262" t="s">
        <v>472</v>
      </c>
      <c r="D380" s="186">
        <v>0</v>
      </c>
      <c r="E380" s="186">
        <v>0</v>
      </c>
      <c r="F380" s="186">
        <v>0</v>
      </c>
      <c r="G380" s="258">
        <v>0</v>
      </c>
      <c r="H380" s="186">
        <v>1</v>
      </c>
      <c r="I380" s="186">
        <v>0</v>
      </c>
      <c r="J380" s="186">
        <v>0</v>
      </c>
    </row>
    <row r="381" spans="1:10">
      <c r="A381" s="188">
        <v>42651</v>
      </c>
      <c r="B381" s="186" t="s">
        <v>459</v>
      </c>
      <c r="C381" s="262" t="s">
        <v>508</v>
      </c>
      <c r="D381" s="186">
        <v>0</v>
      </c>
      <c r="E381" s="186">
        <v>0</v>
      </c>
      <c r="F381" s="186">
        <v>0</v>
      </c>
      <c r="G381" s="258">
        <v>0</v>
      </c>
      <c r="H381" s="186">
        <v>42</v>
      </c>
      <c r="I381" s="186">
        <v>0</v>
      </c>
      <c r="J381" s="186">
        <v>0</v>
      </c>
    </row>
    <row r="382" spans="1:10">
      <c r="A382" s="188">
        <v>42651</v>
      </c>
      <c r="B382" s="186" t="s">
        <v>459</v>
      </c>
      <c r="C382" s="262" t="s">
        <v>468</v>
      </c>
      <c r="D382" s="186">
        <v>0</v>
      </c>
      <c r="E382" s="186">
        <v>0</v>
      </c>
      <c r="F382" s="186">
        <v>0</v>
      </c>
      <c r="G382" s="258">
        <v>0</v>
      </c>
      <c r="H382" s="186">
        <v>36</v>
      </c>
      <c r="I382" s="186">
        <v>0</v>
      </c>
      <c r="J382" s="186">
        <v>0</v>
      </c>
    </row>
    <row r="383" spans="1:10">
      <c r="A383" s="188">
        <v>42651</v>
      </c>
      <c r="B383" s="186" t="s">
        <v>459</v>
      </c>
      <c r="C383" s="262" t="s">
        <v>469</v>
      </c>
      <c r="D383" s="186">
        <v>0</v>
      </c>
      <c r="E383" s="186">
        <v>0</v>
      </c>
      <c r="F383" s="186">
        <v>0</v>
      </c>
      <c r="G383" s="258">
        <v>0</v>
      </c>
      <c r="H383" s="186">
        <v>697</v>
      </c>
      <c r="I383" s="186">
        <v>0</v>
      </c>
      <c r="J383" s="186">
        <v>0</v>
      </c>
    </row>
    <row r="384" spans="1:10">
      <c r="A384" s="188">
        <v>42651</v>
      </c>
      <c r="B384" s="186" t="s">
        <v>459</v>
      </c>
      <c r="C384" s="262" t="s">
        <v>470</v>
      </c>
      <c r="D384" s="186">
        <v>0</v>
      </c>
      <c r="E384" s="186">
        <v>1</v>
      </c>
      <c r="F384" s="186">
        <v>0</v>
      </c>
      <c r="G384" s="258">
        <v>0</v>
      </c>
      <c r="H384" s="186">
        <v>789</v>
      </c>
      <c r="I384" s="186">
        <v>1</v>
      </c>
      <c r="J384" s="186">
        <v>0</v>
      </c>
    </row>
    <row r="385" spans="1:10">
      <c r="A385" s="188">
        <v>42651</v>
      </c>
      <c r="B385" s="186" t="s">
        <v>459</v>
      </c>
      <c r="C385" s="262" t="s">
        <v>471</v>
      </c>
      <c r="D385" s="186">
        <v>0</v>
      </c>
      <c r="E385" s="186">
        <v>0</v>
      </c>
      <c r="F385" s="186">
        <v>0</v>
      </c>
      <c r="G385" s="258">
        <v>0</v>
      </c>
      <c r="H385" s="186">
        <v>40</v>
      </c>
      <c r="I385" s="186">
        <v>0</v>
      </c>
      <c r="J385" s="186">
        <v>0</v>
      </c>
    </row>
    <row r="386" spans="1:10">
      <c r="A386" s="188">
        <v>42651</v>
      </c>
      <c r="B386" s="186" t="s">
        <v>227</v>
      </c>
      <c r="C386" s="262" t="s">
        <v>484</v>
      </c>
      <c r="D386" s="186">
        <v>0</v>
      </c>
      <c r="E386" s="186">
        <v>0</v>
      </c>
      <c r="F386" s="186">
        <v>0</v>
      </c>
      <c r="G386" s="258">
        <v>0</v>
      </c>
      <c r="H386" s="186">
        <v>6</v>
      </c>
      <c r="I386" s="186">
        <v>0</v>
      </c>
      <c r="J386" s="186">
        <v>0</v>
      </c>
    </row>
    <row r="387" spans="1:10">
      <c r="A387" s="188">
        <v>42651</v>
      </c>
      <c r="B387" s="186" t="s">
        <v>227</v>
      </c>
      <c r="C387" s="262" t="s">
        <v>487</v>
      </c>
      <c r="D387" s="186">
        <v>0</v>
      </c>
      <c r="E387" s="186">
        <v>0</v>
      </c>
      <c r="F387" s="186">
        <v>0</v>
      </c>
      <c r="G387" s="258">
        <v>0</v>
      </c>
      <c r="H387" s="186">
        <v>14</v>
      </c>
      <c r="I387" s="186">
        <v>0</v>
      </c>
      <c r="J387" s="186">
        <v>0</v>
      </c>
    </row>
    <row r="388" spans="1:10">
      <c r="A388" s="188">
        <v>42651</v>
      </c>
      <c r="B388" s="186" t="s">
        <v>227</v>
      </c>
      <c r="C388" s="262" t="s">
        <v>462</v>
      </c>
      <c r="D388" s="186">
        <v>0</v>
      </c>
      <c r="E388" s="186">
        <v>0</v>
      </c>
      <c r="F388" s="186">
        <v>0</v>
      </c>
      <c r="G388" s="258">
        <v>0</v>
      </c>
      <c r="H388" s="186">
        <v>290</v>
      </c>
      <c r="I388" s="186">
        <v>0</v>
      </c>
      <c r="J388" s="186">
        <v>0</v>
      </c>
    </row>
    <row r="389" spans="1:10">
      <c r="A389" s="188">
        <v>42651</v>
      </c>
      <c r="B389" s="186" t="s">
        <v>227</v>
      </c>
      <c r="C389" s="262" t="s">
        <v>464</v>
      </c>
      <c r="D389" s="186">
        <v>0</v>
      </c>
      <c r="E389" s="186">
        <v>0</v>
      </c>
      <c r="F389" s="186">
        <v>0</v>
      </c>
      <c r="G389" s="258">
        <v>0</v>
      </c>
      <c r="H389" s="186">
        <v>8</v>
      </c>
      <c r="I389" s="186">
        <v>0</v>
      </c>
      <c r="J389" s="186">
        <v>0</v>
      </c>
    </row>
    <row r="390" spans="1:10">
      <c r="A390" s="188">
        <v>42651</v>
      </c>
      <c r="B390" s="186" t="s">
        <v>227</v>
      </c>
      <c r="C390" s="262" t="s">
        <v>465</v>
      </c>
      <c r="D390" s="186">
        <v>0</v>
      </c>
      <c r="E390" s="186">
        <v>0</v>
      </c>
      <c r="F390" s="186">
        <v>0</v>
      </c>
      <c r="G390" s="258">
        <v>0</v>
      </c>
      <c r="H390" s="186">
        <v>24</v>
      </c>
      <c r="I390" s="186">
        <v>0</v>
      </c>
      <c r="J390" s="186">
        <v>0</v>
      </c>
    </row>
    <row r="391" spans="1:10">
      <c r="A391" s="188">
        <v>42651</v>
      </c>
      <c r="B391" s="186" t="s">
        <v>227</v>
      </c>
      <c r="C391" s="262" t="s">
        <v>479</v>
      </c>
      <c r="D391" s="186">
        <v>0</v>
      </c>
      <c r="E391" s="186">
        <v>0</v>
      </c>
      <c r="F391" s="186">
        <v>0</v>
      </c>
      <c r="G391" s="258">
        <v>0</v>
      </c>
      <c r="H391" s="186">
        <v>16</v>
      </c>
      <c r="I391" s="186">
        <v>0</v>
      </c>
      <c r="J391" s="186">
        <v>0</v>
      </c>
    </row>
    <row r="392" spans="1:10">
      <c r="A392" s="188">
        <v>42651</v>
      </c>
      <c r="B392" s="186" t="s">
        <v>227</v>
      </c>
      <c r="C392" s="262" t="s">
        <v>508</v>
      </c>
      <c r="D392" s="186">
        <v>0</v>
      </c>
      <c r="E392" s="186">
        <v>0</v>
      </c>
      <c r="F392" s="186">
        <v>0</v>
      </c>
      <c r="G392" s="258">
        <v>0</v>
      </c>
      <c r="H392" s="186">
        <v>6</v>
      </c>
      <c r="I392" s="186">
        <v>0</v>
      </c>
      <c r="J392" s="186">
        <v>0</v>
      </c>
    </row>
    <row r="393" spans="1:10">
      <c r="A393" s="188">
        <v>42651</v>
      </c>
      <c r="B393" s="186" t="s">
        <v>227</v>
      </c>
      <c r="C393" s="262" t="s">
        <v>468</v>
      </c>
      <c r="D393" s="186">
        <v>0</v>
      </c>
      <c r="E393" s="186">
        <v>0</v>
      </c>
      <c r="F393" s="186">
        <v>0</v>
      </c>
      <c r="G393" s="258">
        <v>0</v>
      </c>
      <c r="H393" s="186">
        <v>37</v>
      </c>
      <c r="I393" s="186">
        <v>0</v>
      </c>
      <c r="J393" s="186">
        <v>0</v>
      </c>
    </row>
    <row r="394" spans="1:10">
      <c r="A394" s="188">
        <v>42651</v>
      </c>
      <c r="B394" s="186" t="s">
        <v>227</v>
      </c>
      <c r="C394" s="262" t="s">
        <v>469</v>
      </c>
      <c r="D394" s="186">
        <v>0</v>
      </c>
      <c r="E394" s="186">
        <v>0</v>
      </c>
      <c r="F394" s="186">
        <v>0</v>
      </c>
      <c r="G394" s="258">
        <v>0</v>
      </c>
      <c r="H394" s="186">
        <v>671</v>
      </c>
      <c r="I394" s="186">
        <v>0</v>
      </c>
      <c r="J394" s="186">
        <v>0</v>
      </c>
    </row>
    <row r="395" spans="1:10">
      <c r="A395" s="188">
        <v>42651</v>
      </c>
      <c r="B395" s="186" t="s">
        <v>227</v>
      </c>
      <c r="C395" s="262" t="s">
        <v>470</v>
      </c>
      <c r="D395" s="186">
        <v>0</v>
      </c>
      <c r="E395" s="186">
        <v>0</v>
      </c>
      <c r="F395" s="186">
        <v>0</v>
      </c>
      <c r="G395" s="258">
        <v>0</v>
      </c>
      <c r="H395" s="186">
        <v>22</v>
      </c>
      <c r="I395" s="186">
        <v>0</v>
      </c>
      <c r="J395" s="186">
        <v>0</v>
      </c>
    </row>
    <row r="396" spans="1:10">
      <c r="A396" s="188">
        <v>42651</v>
      </c>
      <c r="B396" s="186" t="s">
        <v>227</v>
      </c>
      <c r="C396" s="262" t="s">
        <v>471</v>
      </c>
      <c r="D396" s="186">
        <v>0</v>
      </c>
      <c r="E396" s="186">
        <v>0</v>
      </c>
      <c r="F396" s="186">
        <v>0</v>
      </c>
      <c r="G396" s="258">
        <v>0</v>
      </c>
      <c r="H396" s="186">
        <v>44</v>
      </c>
      <c r="I396" s="186">
        <v>0</v>
      </c>
      <c r="J396" s="186">
        <v>0</v>
      </c>
    </row>
    <row r="397" spans="1:10">
      <c r="A397" s="188">
        <v>42651</v>
      </c>
      <c r="B397" s="186" t="s">
        <v>193</v>
      </c>
      <c r="C397" s="262" t="s">
        <v>484</v>
      </c>
      <c r="D397" s="186">
        <v>0</v>
      </c>
      <c r="E397" s="186">
        <v>3</v>
      </c>
      <c r="F397" s="186">
        <v>0</v>
      </c>
      <c r="G397" s="258">
        <v>1</v>
      </c>
      <c r="H397" s="186">
        <v>0</v>
      </c>
      <c r="I397" s="186">
        <v>3</v>
      </c>
      <c r="J397" s="186">
        <v>1</v>
      </c>
    </row>
    <row r="398" spans="1:10">
      <c r="A398" s="188">
        <v>42652</v>
      </c>
      <c r="B398" s="186" t="s">
        <v>459</v>
      </c>
      <c r="C398" s="262" t="s">
        <v>460</v>
      </c>
      <c r="D398" s="186">
        <v>4</v>
      </c>
      <c r="E398" s="186">
        <v>32</v>
      </c>
      <c r="F398" s="186">
        <v>0</v>
      </c>
      <c r="G398" s="258">
        <v>3</v>
      </c>
      <c r="H398" s="186">
        <v>2209</v>
      </c>
      <c r="I398" s="186">
        <v>32</v>
      </c>
      <c r="J398" s="186">
        <v>3</v>
      </c>
    </row>
    <row r="399" spans="1:10">
      <c r="A399" s="188">
        <v>42652</v>
      </c>
      <c r="B399" s="186" t="s">
        <v>459</v>
      </c>
      <c r="C399" s="262" t="s">
        <v>466</v>
      </c>
      <c r="D399" s="186">
        <v>1</v>
      </c>
      <c r="E399" s="186">
        <v>10</v>
      </c>
      <c r="F399" s="186">
        <v>0</v>
      </c>
      <c r="G399" s="258">
        <v>2</v>
      </c>
      <c r="H399" s="186">
        <v>263</v>
      </c>
      <c r="I399" s="186">
        <v>10</v>
      </c>
      <c r="J399" s="186">
        <v>2</v>
      </c>
    </row>
    <row r="400" spans="1:10">
      <c r="A400" s="188">
        <v>42652</v>
      </c>
      <c r="B400" s="186" t="s">
        <v>459</v>
      </c>
      <c r="C400" s="262" t="s">
        <v>467</v>
      </c>
      <c r="D400" s="186">
        <v>2</v>
      </c>
      <c r="E400" s="186">
        <v>14</v>
      </c>
      <c r="F400" s="186">
        <v>0</v>
      </c>
      <c r="G400" s="258">
        <v>2</v>
      </c>
      <c r="H400" s="186">
        <v>1419</v>
      </c>
      <c r="I400" s="186">
        <v>14</v>
      </c>
      <c r="J400" s="186">
        <v>2</v>
      </c>
    </row>
    <row r="401" spans="1:10">
      <c r="A401" s="188">
        <v>42652</v>
      </c>
      <c r="B401" s="186" t="s">
        <v>459</v>
      </c>
      <c r="C401" s="262" t="s">
        <v>461</v>
      </c>
      <c r="D401" s="186">
        <v>0</v>
      </c>
      <c r="E401" s="186">
        <v>0</v>
      </c>
      <c r="F401" s="186">
        <v>0</v>
      </c>
      <c r="G401" s="258">
        <v>0</v>
      </c>
      <c r="H401" s="186">
        <v>4311</v>
      </c>
      <c r="I401" s="186">
        <v>0</v>
      </c>
      <c r="J401" s="186">
        <v>0</v>
      </c>
    </row>
    <row r="402" spans="1:10">
      <c r="A402" s="188">
        <v>42652</v>
      </c>
      <c r="B402" s="186" t="s">
        <v>459</v>
      </c>
      <c r="C402" s="262" t="s">
        <v>462</v>
      </c>
      <c r="D402" s="186">
        <v>0</v>
      </c>
      <c r="E402" s="186">
        <v>0</v>
      </c>
      <c r="F402" s="186">
        <v>0</v>
      </c>
      <c r="G402" s="258">
        <v>0</v>
      </c>
      <c r="H402" s="186">
        <v>355</v>
      </c>
      <c r="I402" s="186">
        <v>0</v>
      </c>
      <c r="J402" s="186">
        <v>0</v>
      </c>
    </row>
    <row r="403" spans="1:10">
      <c r="A403" s="188">
        <v>42652</v>
      </c>
      <c r="B403" s="186" t="s">
        <v>459</v>
      </c>
      <c r="C403" s="262" t="s">
        <v>463</v>
      </c>
      <c r="D403" s="186">
        <v>0</v>
      </c>
      <c r="E403" s="186">
        <v>1</v>
      </c>
      <c r="F403" s="186">
        <v>0</v>
      </c>
      <c r="G403" s="258">
        <v>0</v>
      </c>
      <c r="H403" s="186">
        <v>5</v>
      </c>
      <c r="I403" s="186">
        <v>1</v>
      </c>
      <c r="J403" s="186">
        <v>0</v>
      </c>
    </row>
    <row r="404" spans="1:10">
      <c r="A404" s="188">
        <v>42652</v>
      </c>
      <c r="B404" s="186" t="s">
        <v>459</v>
      </c>
      <c r="C404" s="262" t="s">
        <v>464</v>
      </c>
      <c r="D404" s="186">
        <v>0</v>
      </c>
      <c r="E404" s="186">
        <v>0</v>
      </c>
      <c r="F404" s="186">
        <v>0</v>
      </c>
      <c r="G404" s="258">
        <v>0</v>
      </c>
      <c r="H404" s="186">
        <v>328</v>
      </c>
      <c r="I404" s="186">
        <v>0</v>
      </c>
      <c r="J404" s="186">
        <v>0</v>
      </c>
    </row>
    <row r="405" spans="1:10">
      <c r="A405" s="188">
        <v>42652</v>
      </c>
      <c r="B405" s="186" t="s">
        <v>459</v>
      </c>
      <c r="C405" s="262" t="s">
        <v>465</v>
      </c>
      <c r="D405" s="186">
        <v>0</v>
      </c>
      <c r="E405" s="186">
        <v>2</v>
      </c>
      <c r="F405" s="186">
        <v>0</v>
      </c>
      <c r="G405" s="258">
        <v>0</v>
      </c>
      <c r="H405" s="186">
        <v>176</v>
      </c>
      <c r="I405" s="186">
        <v>2</v>
      </c>
      <c r="J405" s="186">
        <v>0</v>
      </c>
    </row>
    <row r="406" spans="1:10">
      <c r="A406" s="188">
        <v>42652</v>
      </c>
      <c r="B406" s="186" t="s">
        <v>459</v>
      </c>
      <c r="C406" s="262" t="s">
        <v>472</v>
      </c>
      <c r="D406" s="186">
        <v>0</v>
      </c>
      <c r="E406" s="186">
        <v>0</v>
      </c>
      <c r="F406" s="186">
        <v>0</v>
      </c>
      <c r="G406" s="258">
        <v>0</v>
      </c>
      <c r="H406" s="186">
        <v>1</v>
      </c>
      <c r="I406" s="186">
        <v>0</v>
      </c>
      <c r="J406" s="186">
        <v>0</v>
      </c>
    </row>
    <row r="407" spans="1:10">
      <c r="A407" s="188">
        <v>42652</v>
      </c>
      <c r="B407" s="186" t="s">
        <v>459</v>
      </c>
      <c r="C407" s="262" t="s">
        <v>508</v>
      </c>
      <c r="D407" s="186">
        <v>3</v>
      </c>
      <c r="E407" s="186">
        <v>3</v>
      </c>
      <c r="F407" s="186">
        <v>0</v>
      </c>
      <c r="G407" s="258">
        <v>0</v>
      </c>
      <c r="H407" s="186">
        <v>79</v>
      </c>
      <c r="I407" s="186">
        <v>3</v>
      </c>
      <c r="J407" s="186">
        <v>0</v>
      </c>
    </row>
    <row r="408" spans="1:10">
      <c r="A408" s="188">
        <v>42652</v>
      </c>
      <c r="B408" s="186" t="s">
        <v>459</v>
      </c>
      <c r="C408" s="262" t="s">
        <v>468</v>
      </c>
      <c r="D408" s="186">
        <v>0</v>
      </c>
      <c r="E408" s="186">
        <v>0</v>
      </c>
      <c r="F408" s="186">
        <v>0</v>
      </c>
      <c r="G408" s="258">
        <v>0</v>
      </c>
      <c r="H408" s="186">
        <v>40</v>
      </c>
      <c r="I408" s="186">
        <v>0</v>
      </c>
      <c r="J408" s="186">
        <v>0</v>
      </c>
    </row>
    <row r="409" spans="1:10">
      <c r="A409" s="188">
        <v>42652</v>
      </c>
      <c r="B409" s="186" t="s">
        <v>459</v>
      </c>
      <c r="C409" s="262" t="s">
        <v>469</v>
      </c>
      <c r="D409" s="186">
        <v>0</v>
      </c>
      <c r="E409" s="186">
        <v>0</v>
      </c>
      <c r="F409" s="186">
        <v>0</v>
      </c>
      <c r="G409" s="258">
        <v>0</v>
      </c>
      <c r="H409" s="186">
        <v>758</v>
      </c>
      <c r="I409" s="186">
        <v>0</v>
      </c>
      <c r="J409" s="186">
        <v>0</v>
      </c>
    </row>
    <row r="410" spans="1:10">
      <c r="A410" s="188">
        <v>42652</v>
      </c>
      <c r="B410" s="186" t="s">
        <v>459</v>
      </c>
      <c r="C410" s="262" t="s">
        <v>470</v>
      </c>
      <c r="D410" s="186">
        <v>1</v>
      </c>
      <c r="E410" s="186">
        <v>2</v>
      </c>
      <c r="F410" s="186">
        <v>0</v>
      </c>
      <c r="G410" s="258">
        <v>0</v>
      </c>
      <c r="H410" s="186">
        <v>830</v>
      </c>
      <c r="I410" s="186">
        <v>2</v>
      </c>
      <c r="J410" s="186">
        <v>0</v>
      </c>
    </row>
    <row r="411" spans="1:10">
      <c r="A411" s="188">
        <v>42652</v>
      </c>
      <c r="B411" s="186" t="s">
        <v>459</v>
      </c>
      <c r="C411" s="262" t="s">
        <v>471</v>
      </c>
      <c r="D411" s="186">
        <v>0</v>
      </c>
      <c r="E411" s="186">
        <v>0</v>
      </c>
      <c r="F411" s="186">
        <v>0</v>
      </c>
      <c r="G411" s="258">
        <v>0</v>
      </c>
      <c r="H411" s="186">
        <v>48</v>
      </c>
      <c r="I411" s="186">
        <v>0</v>
      </c>
      <c r="J411" s="186">
        <v>0</v>
      </c>
    </row>
    <row r="412" spans="1:10">
      <c r="A412" s="188">
        <v>42652</v>
      </c>
      <c r="B412" s="186" t="s">
        <v>474</v>
      </c>
      <c r="C412" s="262" t="s">
        <v>465</v>
      </c>
      <c r="D412" s="186">
        <v>0</v>
      </c>
      <c r="E412" s="186">
        <v>3</v>
      </c>
      <c r="F412" s="186">
        <v>0</v>
      </c>
      <c r="G412" s="258">
        <v>1</v>
      </c>
      <c r="H412" s="186">
        <v>236</v>
      </c>
      <c r="I412" s="186">
        <v>3</v>
      </c>
      <c r="J412" s="186">
        <v>1</v>
      </c>
    </row>
    <row r="413" spans="1:10">
      <c r="A413" s="188">
        <v>42652</v>
      </c>
      <c r="B413" s="186" t="s">
        <v>474</v>
      </c>
      <c r="C413" s="262" t="s">
        <v>466</v>
      </c>
      <c r="D413" s="186">
        <v>0</v>
      </c>
      <c r="E413" s="186">
        <v>10</v>
      </c>
      <c r="F413" s="186">
        <v>0</v>
      </c>
      <c r="G413" s="258">
        <v>1</v>
      </c>
      <c r="H413" s="186">
        <v>579</v>
      </c>
      <c r="I413" s="186">
        <v>10</v>
      </c>
      <c r="J413" s="186">
        <v>1</v>
      </c>
    </row>
    <row r="414" spans="1:10">
      <c r="A414" s="188">
        <v>42652</v>
      </c>
      <c r="B414" s="186" t="s">
        <v>474</v>
      </c>
      <c r="C414" s="262" t="s">
        <v>462</v>
      </c>
      <c r="D414" s="186">
        <v>0</v>
      </c>
      <c r="E414" s="186">
        <v>0</v>
      </c>
      <c r="F414" s="186">
        <v>0</v>
      </c>
      <c r="G414" s="258">
        <v>0</v>
      </c>
      <c r="H414" s="186">
        <v>40</v>
      </c>
      <c r="I414" s="186">
        <v>0</v>
      </c>
      <c r="J414" s="186">
        <v>0</v>
      </c>
    </row>
    <row r="415" spans="1:10">
      <c r="A415" s="188">
        <v>42652</v>
      </c>
      <c r="B415" s="186" t="s">
        <v>474</v>
      </c>
      <c r="C415" s="262" t="s">
        <v>464</v>
      </c>
      <c r="D415" s="186">
        <v>0</v>
      </c>
      <c r="E415" s="186">
        <v>0</v>
      </c>
      <c r="F415" s="186">
        <v>0</v>
      </c>
      <c r="G415" s="258">
        <v>0</v>
      </c>
      <c r="H415" s="186">
        <v>46</v>
      </c>
      <c r="I415" s="186">
        <v>0</v>
      </c>
      <c r="J415" s="186">
        <v>0</v>
      </c>
    </row>
    <row r="416" spans="1:10">
      <c r="A416" s="188">
        <v>42652</v>
      </c>
      <c r="B416" s="186" t="s">
        <v>474</v>
      </c>
      <c r="C416" s="262" t="s">
        <v>472</v>
      </c>
      <c r="D416" s="186">
        <v>0</v>
      </c>
      <c r="E416" s="186">
        <v>0</v>
      </c>
      <c r="F416" s="186">
        <v>0</v>
      </c>
      <c r="G416" s="258">
        <v>0</v>
      </c>
      <c r="H416" s="186">
        <v>1</v>
      </c>
      <c r="I416" s="186">
        <v>0</v>
      </c>
      <c r="J416" s="186">
        <v>0</v>
      </c>
    </row>
    <row r="417" spans="1:10">
      <c r="A417" s="188">
        <v>42652</v>
      </c>
      <c r="B417" s="186" t="s">
        <v>474</v>
      </c>
      <c r="C417" s="262" t="s">
        <v>479</v>
      </c>
      <c r="D417" s="186">
        <v>0</v>
      </c>
      <c r="E417" s="186">
        <v>0</v>
      </c>
      <c r="F417" s="186">
        <v>0</v>
      </c>
      <c r="G417" s="258">
        <v>0</v>
      </c>
      <c r="H417" s="186">
        <v>1</v>
      </c>
      <c r="I417" s="186">
        <v>0</v>
      </c>
      <c r="J417" s="186">
        <v>0</v>
      </c>
    </row>
    <row r="418" spans="1:10">
      <c r="A418" s="188">
        <v>42652</v>
      </c>
      <c r="B418" s="186" t="s">
        <v>474</v>
      </c>
      <c r="C418" s="262" t="s">
        <v>480</v>
      </c>
      <c r="D418" s="186">
        <v>0</v>
      </c>
      <c r="E418" s="186">
        <v>1</v>
      </c>
      <c r="F418" s="186">
        <v>0</v>
      </c>
      <c r="G418" s="258">
        <v>0</v>
      </c>
      <c r="H418" s="186">
        <v>36</v>
      </c>
      <c r="I418" s="186">
        <v>1</v>
      </c>
      <c r="J418" s="186">
        <v>0</v>
      </c>
    </row>
    <row r="419" spans="1:10">
      <c r="A419" s="188">
        <v>42652</v>
      </c>
      <c r="B419" s="186" t="s">
        <v>474</v>
      </c>
      <c r="C419" s="262" t="s">
        <v>468</v>
      </c>
      <c r="D419" s="186">
        <v>0</v>
      </c>
      <c r="E419" s="186">
        <v>0</v>
      </c>
      <c r="F419" s="186">
        <v>0</v>
      </c>
      <c r="G419" s="258">
        <v>0</v>
      </c>
      <c r="H419" s="186">
        <v>3</v>
      </c>
      <c r="I419" s="186">
        <v>0</v>
      </c>
      <c r="J419" s="186">
        <v>0</v>
      </c>
    </row>
    <row r="420" spans="1:10">
      <c r="A420" s="188">
        <v>42652</v>
      </c>
      <c r="B420" s="186" t="s">
        <v>474</v>
      </c>
      <c r="C420" s="262" t="s">
        <v>469</v>
      </c>
      <c r="D420" s="186">
        <v>0</v>
      </c>
      <c r="E420" s="186">
        <v>0</v>
      </c>
      <c r="F420" s="186">
        <v>0</v>
      </c>
      <c r="G420" s="258">
        <v>0</v>
      </c>
      <c r="H420" s="186">
        <v>71</v>
      </c>
      <c r="I420" s="186">
        <v>0</v>
      </c>
      <c r="J420" s="186">
        <v>0</v>
      </c>
    </row>
    <row r="421" spans="1:10">
      <c r="A421" s="188">
        <v>42652</v>
      </c>
      <c r="B421" s="186" t="s">
        <v>474</v>
      </c>
      <c r="C421" s="262" t="s">
        <v>470</v>
      </c>
      <c r="D421" s="186">
        <v>0</v>
      </c>
      <c r="E421" s="186">
        <v>0</v>
      </c>
      <c r="F421" s="186">
        <v>0</v>
      </c>
      <c r="G421" s="258">
        <v>0</v>
      </c>
      <c r="H421" s="186">
        <v>149</v>
      </c>
      <c r="I421" s="186">
        <v>0</v>
      </c>
      <c r="J421" s="186">
        <v>0</v>
      </c>
    </row>
    <row r="422" spans="1:10">
      <c r="A422" s="188">
        <v>42652</v>
      </c>
      <c r="B422" s="186" t="s">
        <v>474</v>
      </c>
      <c r="C422" s="262" t="s">
        <v>471</v>
      </c>
      <c r="D422" s="186">
        <v>0</v>
      </c>
      <c r="E422" s="186">
        <v>0</v>
      </c>
      <c r="F422" s="186">
        <v>0</v>
      </c>
      <c r="G422" s="258">
        <v>0</v>
      </c>
      <c r="H422" s="186">
        <v>3</v>
      </c>
      <c r="I422" s="186">
        <v>0</v>
      </c>
      <c r="J422" s="186">
        <v>0</v>
      </c>
    </row>
    <row r="423" spans="1:10">
      <c r="A423" s="188">
        <v>42652</v>
      </c>
      <c r="B423" s="186" t="s">
        <v>193</v>
      </c>
      <c r="C423" s="262" t="s">
        <v>484</v>
      </c>
      <c r="D423" s="186">
        <v>0</v>
      </c>
      <c r="E423" s="186">
        <v>3</v>
      </c>
      <c r="F423" s="186">
        <v>0</v>
      </c>
      <c r="G423" s="258">
        <v>1</v>
      </c>
      <c r="H423" s="186">
        <v>0</v>
      </c>
      <c r="I423" s="186">
        <v>3</v>
      </c>
      <c r="J423" s="186">
        <v>1</v>
      </c>
    </row>
    <row r="424" spans="1:10">
      <c r="A424" s="188">
        <v>42652</v>
      </c>
      <c r="B424" s="186" t="s">
        <v>227</v>
      </c>
      <c r="C424" s="262" t="s">
        <v>484</v>
      </c>
      <c r="D424" s="186">
        <v>0</v>
      </c>
      <c r="E424" s="186">
        <v>0</v>
      </c>
      <c r="F424" s="186">
        <v>0</v>
      </c>
      <c r="G424" s="258">
        <v>0</v>
      </c>
      <c r="H424" s="186">
        <v>14</v>
      </c>
      <c r="I424" s="186">
        <v>0</v>
      </c>
      <c r="J424" s="186">
        <v>0</v>
      </c>
    </row>
    <row r="425" spans="1:10">
      <c r="A425" s="188">
        <v>42652</v>
      </c>
      <c r="B425" s="186" t="s">
        <v>227</v>
      </c>
      <c r="C425" s="262" t="s">
        <v>487</v>
      </c>
      <c r="D425" s="186">
        <v>0</v>
      </c>
      <c r="E425" s="186">
        <v>0</v>
      </c>
      <c r="F425" s="186">
        <v>0</v>
      </c>
      <c r="G425" s="258">
        <v>0</v>
      </c>
      <c r="H425" s="186">
        <v>30</v>
      </c>
      <c r="I425" s="186">
        <v>0</v>
      </c>
      <c r="J425" s="186">
        <v>0</v>
      </c>
    </row>
    <row r="426" spans="1:10">
      <c r="A426" s="188">
        <v>42652</v>
      </c>
      <c r="B426" s="186" t="s">
        <v>227</v>
      </c>
      <c r="C426" s="262" t="s">
        <v>462</v>
      </c>
      <c r="D426" s="186">
        <v>0</v>
      </c>
      <c r="E426" s="186">
        <v>0</v>
      </c>
      <c r="F426" s="186">
        <v>0</v>
      </c>
      <c r="G426" s="258">
        <v>0</v>
      </c>
      <c r="H426" s="186">
        <v>306</v>
      </c>
      <c r="I426" s="186">
        <v>0</v>
      </c>
      <c r="J426" s="186">
        <v>0</v>
      </c>
    </row>
    <row r="427" spans="1:10">
      <c r="A427" s="188">
        <v>42652</v>
      </c>
      <c r="B427" s="186" t="s">
        <v>227</v>
      </c>
      <c r="C427" s="262" t="s">
        <v>464</v>
      </c>
      <c r="D427" s="186">
        <v>0</v>
      </c>
      <c r="E427" s="186">
        <v>0</v>
      </c>
      <c r="F427" s="186">
        <v>0</v>
      </c>
      <c r="G427" s="258">
        <v>0</v>
      </c>
      <c r="H427" s="186">
        <v>17</v>
      </c>
      <c r="I427" s="186">
        <v>0</v>
      </c>
      <c r="J427" s="186">
        <v>0</v>
      </c>
    </row>
    <row r="428" spans="1:10">
      <c r="A428" s="188">
        <v>42652</v>
      </c>
      <c r="B428" s="186" t="s">
        <v>227</v>
      </c>
      <c r="C428" s="262" t="s">
        <v>465</v>
      </c>
      <c r="D428" s="186">
        <v>1</v>
      </c>
      <c r="E428" s="186">
        <v>1</v>
      </c>
      <c r="F428" s="186">
        <v>0</v>
      </c>
      <c r="G428" s="258">
        <v>0</v>
      </c>
      <c r="H428" s="186">
        <v>55</v>
      </c>
      <c r="I428" s="186">
        <v>1</v>
      </c>
      <c r="J428" s="186">
        <v>0</v>
      </c>
    </row>
    <row r="429" spans="1:10">
      <c r="A429" s="188">
        <v>42652</v>
      </c>
      <c r="B429" s="186" t="s">
        <v>227</v>
      </c>
      <c r="C429" s="262" t="s">
        <v>479</v>
      </c>
      <c r="D429" s="186">
        <v>0</v>
      </c>
      <c r="E429" s="186">
        <v>0</v>
      </c>
      <c r="F429" s="186">
        <v>0</v>
      </c>
      <c r="G429" s="258">
        <v>0</v>
      </c>
      <c r="H429" s="186">
        <v>36</v>
      </c>
      <c r="I429" s="186">
        <v>0</v>
      </c>
      <c r="J429" s="186">
        <v>0</v>
      </c>
    </row>
    <row r="430" spans="1:10">
      <c r="A430" s="188">
        <v>42652</v>
      </c>
      <c r="B430" s="186" t="s">
        <v>227</v>
      </c>
      <c r="C430" s="262" t="s">
        <v>508</v>
      </c>
      <c r="D430" s="186">
        <v>0</v>
      </c>
      <c r="E430" s="186">
        <v>0</v>
      </c>
      <c r="F430" s="186">
        <v>0</v>
      </c>
      <c r="G430" s="258">
        <v>0</v>
      </c>
      <c r="H430" s="186">
        <v>15</v>
      </c>
      <c r="I430" s="186">
        <v>0</v>
      </c>
      <c r="J430" s="186">
        <v>0</v>
      </c>
    </row>
    <row r="431" spans="1:10">
      <c r="A431" s="188">
        <v>42652</v>
      </c>
      <c r="B431" s="186" t="s">
        <v>227</v>
      </c>
      <c r="C431" s="262" t="s">
        <v>468</v>
      </c>
      <c r="D431" s="186">
        <v>0</v>
      </c>
      <c r="E431" s="186">
        <v>0</v>
      </c>
      <c r="F431" s="186">
        <v>0</v>
      </c>
      <c r="G431" s="258">
        <v>0</v>
      </c>
      <c r="H431" s="186">
        <v>38</v>
      </c>
      <c r="I431" s="186">
        <v>0</v>
      </c>
      <c r="J431" s="186">
        <v>0</v>
      </c>
    </row>
    <row r="432" spans="1:10">
      <c r="A432" s="188">
        <v>42652</v>
      </c>
      <c r="B432" s="186" t="s">
        <v>227</v>
      </c>
      <c r="C432" s="262" t="s">
        <v>469</v>
      </c>
      <c r="D432" s="186">
        <v>0</v>
      </c>
      <c r="E432" s="186">
        <v>0</v>
      </c>
      <c r="F432" s="186">
        <v>0</v>
      </c>
      <c r="G432" s="258">
        <v>0</v>
      </c>
      <c r="H432" s="186">
        <v>711</v>
      </c>
      <c r="I432" s="186">
        <v>0</v>
      </c>
      <c r="J432" s="186">
        <v>0</v>
      </c>
    </row>
    <row r="433" spans="1:10">
      <c r="A433" s="188">
        <v>42652</v>
      </c>
      <c r="B433" s="186" t="s">
        <v>227</v>
      </c>
      <c r="C433" s="262" t="s">
        <v>470</v>
      </c>
      <c r="D433" s="186">
        <v>0</v>
      </c>
      <c r="E433" s="186">
        <v>0</v>
      </c>
      <c r="F433" s="186">
        <v>0</v>
      </c>
      <c r="G433" s="258">
        <v>0</v>
      </c>
      <c r="H433" s="186">
        <v>38</v>
      </c>
      <c r="I433" s="186">
        <v>0</v>
      </c>
      <c r="J433" s="186">
        <v>0</v>
      </c>
    </row>
    <row r="434" spans="1:10">
      <c r="A434" s="188">
        <v>42652</v>
      </c>
      <c r="B434" s="186" t="s">
        <v>227</v>
      </c>
      <c r="C434" s="262" t="s">
        <v>471</v>
      </c>
      <c r="D434" s="186">
        <v>0</v>
      </c>
      <c r="E434" s="186">
        <v>0</v>
      </c>
      <c r="F434" s="186">
        <v>0</v>
      </c>
      <c r="G434" s="258">
        <v>0</v>
      </c>
      <c r="H434" s="186">
        <v>47</v>
      </c>
      <c r="I434" s="186">
        <v>0</v>
      </c>
      <c r="J434" s="186">
        <v>0</v>
      </c>
    </row>
    <row r="435" spans="1:10">
      <c r="A435" s="188">
        <v>42652</v>
      </c>
      <c r="B435" s="186" t="s">
        <v>226</v>
      </c>
      <c r="C435" s="262" t="s">
        <v>465</v>
      </c>
      <c r="D435" s="186">
        <v>0</v>
      </c>
      <c r="E435" s="186">
        <v>10</v>
      </c>
      <c r="F435" s="186">
        <v>0</v>
      </c>
      <c r="G435" s="258">
        <v>2</v>
      </c>
      <c r="H435" s="186">
        <v>819</v>
      </c>
      <c r="I435" s="186">
        <v>10</v>
      </c>
      <c r="J435" s="186">
        <v>2</v>
      </c>
    </row>
    <row r="436" spans="1:10">
      <c r="A436" s="188">
        <v>42652</v>
      </c>
      <c r="B436" s="186" t="s">
        <v>226</v>
      </c>
      <c r="C436" s="262" t="s">
        <v>463</v>
      </c>
      <c r="D436" s="186">
        <v>0</v>
      </c>
      <c r="E436" s="186">
        <v>1</v>
      </c>
      <c r="F436" s="186">
        <v>0</v>
      </c>
      <c r="G436" s="258">
        <v>1</v>
      </c>
      <c r="H436" s="186">
        <v>0</v>
      </c>
      <c r="I436" s="186">
        <v>1</v>
      </c>
      <c r="J436" s="186">
        <v>1</v>
      </c>
    </row>
    <row r="437" spans="1:10">
      <c r="A437" s="188">
        <v>42652</v>
      </c>
      <c r="B437" s="186" t="s">
        <v>226</v>
      </c>
      <c r="C437" s="262" t="s">
        <v>489</v>
      </c>
      <c r="D437" s="186">
        <v>0</v>
      </c>
      <c r="E437" s="186">
        <v>1</v>
      </c>
      <c r="F437" s="186">
        <v>0</v>
      </c>
      <c r="G437" s="258">
        <v>1</v>
      </c>
      <c r="H437" s="186">
        <v>41</v>
      </c>
      <c r="I437" s="186">
        <v>1</v>
      </c>
      <c r="J437" s="186">
        <v>1</v>
      </c>
    </row>
    <row r="438" spans="1:10">
      <c r="A438" s="188">
        <v>42652</v>
      </c>
      <c r="B438" s="186" t="s">
        <v>226</v>
      </c>
      <c r="C438" s="262" t="s">
        <v>466</v>
      </c>
      <c r="D438" s="186">
        <v>0</v>
      </c>
      <c r="E438" s="186">
        <v>12</v>
      </c>
      <c r="F438" s="186">
        <v>0</v>
      </c>
      <c r="G438" s="258">
        <v>1</v>
      </c>
      <c r="H438" s="186">
        <v>402</v>
      </c>
      <c r="I438" s="186">
        <v>12</v>
      </c>
      <c r="J438" s="186">
        <v>1</v>
      </c>
    </row>
    <row r="439" spans="1:10">
      <c r="A439" s="188">
        <v>42652</v>
      </c>
      <c r="B439" s="186" t="s">
        <v>226</v>
      </c>
      <c r="C439" s="262" t="s">
        <v>461</v>
      </c>
      <c r="D439" s="186">
        <v>0</v>
      </c>
      <c r="E439" s="186">
        <v>0</v>
      </c>
      <c r="F439" s="186">
        <v>0</v>
      </c>
      <c r="G439" s="258">
        <v>0</v>
      </c>
      <c r="H439" s="186">
        <v>225</v>
      </c>
      <c r="I439" s="186">
        <v>0</v>
      </c>
      <c r="J439" s="186">
        <v>0</v>
      </c>
    </row>
    <row r="440" spans="1:10">
      <c r="A440" s="188">
        <v>42652</v>
      </c>
      <c r="B440" s="186" t="s">
        <v>226</v>
      </c>
      <c r="C440" s="262" t="s">
        <v>462</v>
      </c>
      <c r="D440" s="186">
        <v>0</v>
      </c>
      <c r="E440" s="186">
        <v>0</v>
      </c>
      <c r="F440" s="186">
        <v>0</v>
      </c>
      <c r="G440" s="258">
        <v>0</v>
      </c>
      <c r="H440" s="186">
        <v>277</v>
      </c>
      <c r="I440" s="186">
        <v>0</v>
      </c>
      <c r="J440" s="186">
        <v>0</v>
      </c>
    </row>
    <row r="441" spans="1:10">
      <c r="A441" s="188">
        <v>42652</v>
      </c>
      <c r="B441" s="186" t="s">
        <v>226</v>
      </c>
      <c r="C441" s="262" t="s">
        <v>464</v>
      </c>
      <c r="D441" s="186">
        <v>0</v>
      </c>
      <c r="E441" s="186">
        <v>0</v>
      </c>
      <c r="F441" s="186">
        <v>0</v>
      </c>
      <c r="G441" s="258">
        <v>0</v>
      </c>
      <c r="H441" s="186">
        <v>117</v>
      </c>
      <c r="I441" s="186">
        <v>0</v>
      </c>
      <c r="J441" s="186">
        <v>0</v>
      </c>
    </row>
    <row r="442" spans="1:10">
      <c r="A442" s="188">
        <v>42652</v>
      </c>
      <c r="B442" s="186" t="s">
        <v>226</v>
      </c>
      <c r="C442" s="262" t="s">
        <v>490</v>
      </c>
      <c r="D442" s="186">
        <v>0</v>
      </c>
      <c r="E442" s="186">
        <v>0</v>
      </c>
      <c r="F442" s="186">
        <v>0</v>
      </c>
      <c r="G442" s="258">
        <v>0</v>
      </c>
      <c r="H442" s="186">
        <v>105</v>
      </c>
      <c r="I442" s="186">
        <v>0</v>
      </c>
      <c r="J442" s="186">
        <v>0</v>
      </c>
    </row>
    <row r="443" spans="1:10">
      <c r="A443" s="188">
        <v>42652</v>
      </c>
      <c r="B443" s="186" t="s">
        <v>226</v>
      </c>
      <c r="C443" s="262" t="s">
        <v>479</v>
      </c>
      <c r="D443" s="186">
        <v>0</v>
      </c>
      <c r="E443" s="186">
        <v>0</v>
      </c>
      <c r="F443" s="186">
        <v>0</v>
      </c>
      <c r="G443" s="258">
        <v>0</v>
      </c>
      <c r="H443" s="186">
        <v>122</v>
      </c>
      <c r="I443" s="186">
        <v>0</v>
      </c>
      <c r="J443" s="186">
        <v>0</v>
      </c>
    </row>
    <row r="444" spans="1:10">
      <c r="A444" s="188">
        <v>42652</v>
      </c>
      <c r="B444" s="186" t="s">
        <v>226</v>
      </c>
      <c r="C444" s="262" t="s">
        <v>468</v>
      </c>
      <c r="D444" s="186">
        <v>0</v>
      </c>
      <c r="E444" s="186">
        <v>0</v>
      </c>
      <c r="F444" s="186">
        <v>0</v>
      </c>
      <c r="G444" s="258">
        <v>0</v>
      </c>
      <c r="H444" s="186">
        <v>39</v>
      </c>
      <c r="I444" s="186">
        <v>0</v>
      </c>
      <c r="J444" s="186">
        <v>0</v>
      </c>
    </row>
    <row r="445" spans="1:10">
      <c r="A445" s="188">
        <v>42652</v>
      </c>
      <c r="B445" s="186" t="s">
        <v>226</v>
      </c>
      <c r="C445" s="262" t="s">
        <v>469</v>
      </c>
      <c r="D445" s="186">
        <v>0</v>
      </c>
      <c r="E445" s="186">
        <v>0</v>
      </c>
      <c r="F445" s="186">
        <v>0</v>
      </c>
      <c r="G445" s="258">
        <v>0</v>
      </c>
      <c r="H445" s="186">
        <v>606</v>
      </c>
      <c r="I445" s="186">
        <v>0</v>
      </c>
      <c r="J445" s="186">
        <v>0</v>
      </c>
    </row>
    <row r="446" spans="1:10">
      <c r="A446" s="188">
        <v>42652</v>
      </c>
      <c r="B446" s="186" t="s">
        <v>226</v>
      </c>
      <c r="C446" s="262" t="s">
        <v>470</v>
      </c>
      <c r="D446" s="186">
        <v>0</v>
      </c>
      <c r="E446" s="186">
        <v>0</v>
      </c>
      <c r="F446" s="186">
        <v>0</v>
      </c>
      <c r="G446" s="258">
        <v>0</v>
      </c>
      <c r="H446" s="186">
        <v>46</v>
      </c>
      <c r="I446" s="186">
        <v>0</v>
      </c>
      <c r="J446" s="186">
        <v>0</v>
      </c>
    </row>
    <row r="447" spans="1:10">
      <c r="A447" s="188">
        <v>42652</v>
      </c>
      <c r="B447" s="186" t="s">
        <v>226</v>
      </c>
      <c r="C447" s="262" t="s">
        <v>471</v>
      </c>
      <c r="D447" s="186">
        <v>0</v>
      </c>
      <c r="E447" s="186">
        <v>0</v>
      </c>
      <c r="F447" s="186">
        <v>0</v>
      </c>
      <c r="G447" s="258">
        <v>0</v>
      </c>
      <c r="H447" s="186">
        <v>36</v>
      </c>
      <c r="I447" s="186">
        <v>0</v>
      </c>
      <c r="J447" s="186">
        <v>0</v>
      </c>
    </row>
    <row r="448" spans="1:10">
      <c r="A448" s="188">
        <v>42652</v>
      </c>
      <c r="B448" s="186" t="s">
        <v>554</v>
      </c>
      <c r="C448" s="186" t="s">
        <v>466</v>
      </c>
      <c r="D448" s="186">
        <v>0</v>
      </c>
      <c r="E448" s="186">
        <v>16</v>
      </c>
      <c r="F448" s="186">
        <v>0</v>
      </c>
      <c r="G448" s="258">
        <v>11</v>
      </c>
      <c r="H448" s="186">
        <v>27</v>
      </c>
      <c r="I448" s="186">
        <v>16</v>
      </c>
      <c r="J448" s="186">
        <v>11</v>
      </c>
    </row>
    <row r="449" spans="1:10">
      <c r="A449" s="188">
        <v>42652</v>
      </c>
      <c r="B449" s="186" t="s">
        <v>554</v>
      </c>
      <c r="C449" s="186" t="s">
        <v>465</v>
      </c>
      <c r="D449" s="186">
        <v>1</v>
      </c>
      <c r="E449" s="186">
        <v>4</v>
      </c>
      <c r="F449" s="186">
        <v>0</v>
      </c>
      <c r="G449" s="258">
        <v>2</v>
      </c>
      <c r="H449" s="186">
        <v>26</v>
      </c>
      <c r="I449" s="186">
        <v>4</v>
      </c>
      <c r="J449" s="186">
        <v>2</v>
      </c>
    </row>
    <row r="450" spans="1:10">
      <c r="A450" s="188">
        <v>42652</v>
      </c>
      <c r="B450" s="186" t="s">
        <v>554</v>
      </c>
      <c r="C450" s="186" t="s">
        <v>461</v>
      </c>
      <c r="D450" s="186">
        <v>0</v>
      </c>
      <c r="E450" s="186">
        <v>0</v>
      </c>
      <c r="F450" s="186">
        <v>0</v>
      </c>
      <c r="G450" s="258">
        <v>0</v>
      </c>
      <c r="H450" s="186">
        <v>53</v>
      </c>
      <c r="I450" s="186">
        <v>0</v>
      </c>
      <c r="J450" s="186">
        <v>0</v>
      </c>
    </row>
    <row r="451" spans="1:10">
      <c r="A451" s="188">
        <v>42652</v>
      </c>
      <c r="B451" s="186" t="s">
        <v>554</v>
      </c>
      <c r="C451" s="186" t="s">
        <v>462</v>
      </c>
      <c r="D451" s="186">
        <v>0</v>
      </c>
      <c r="E451" s="186">
        <v>0</v>
      </c>
      <c r="F451" s="186">
        <v>0</v>
      </c>
      <c r="G451" s="258">
        <v>0</v>
      </c>
      <c r="H451" s="186">
        <v>24</v>
      </c>
      <c r="I451" s="186">
        <v>0</v>
      </c>
      <c r="J451" s="186">
        <v>0</v>
      </c>
    </row>
    <row r="452" spans="1:10">
      <c r="A452" s="188">
        <v>42652</v>
      </c>
      <c r="B452" s="186" t="s">
        <v>554</v>
      </c>
      <c r="C452" s="186" t="s">
        <v>463</v>
      </c>
      <c r="D452" s="186">
        <v>0</v>
      </c>
      <c r="E452" s="186">
        <v>0</v>
      </c>
      <c r="F452" s="186">
        <v>0</v>
      </c>
      <c r="G452" s="258">
        <v>0</v>
      </c>
      <c r="H452" s="186">
        <v>81</v>
      </c>
      <c r="I452" s="186">
        <v>0</v>
      </c>
      <c r="J452" s="186">
        <v>0</v>
      </c>
    </row>
    <row r="453" spans="1:10">
      <c r="A453" s="188">
        <v>42652</v>
      </c>
      <c r="B453" s="186" t="s">
        <v>554</v>
      </c>
      <c r="C453" s="186" t="s">
        <v>464</v>
      </c>
      <c r="D453" s="186">
        <v>0</v>
      </c>
      <c r="E453" s="186">
        <v>0</v>
      </c>
      <c r="F453" s="186">
        <v>0</v>
      </c>
      <c r="G453" s="258">
        <v>0</v>
      </c>
      <c r="H453" s="186">
        <v>18</v>
      </c>
      <c r="I453" s="186">
        <v>0</v>
      </c>
      <c r="J453" s="186">
        <v>0</v>
      </c>
    </row>
    <row r="454" spans="1:10">
      <c r="A454" s="188">
        <v>42652</v>
      </c>
      <c r="B454" s="186" t="s">
        <v>554</v>
      </c>
      <c r="C454" s="186" t="s">
        <v>460</v>
      </c>
      <c r="D454" s="186">
        <v>0</v>
      </c>
      <c r="E454" s="186">
        <v>0</v>
      </c>
      <c r="F454" s="186">
        <v>0</v>
      </c>
      <c r="G454" s="258">
        <v>0</v>
      </c>
      <c r="H454" s="186">
        <v>9</v>
      </c>
      <c r="I454" s="186">
        <v>0</v>
      </c>
      <c r="J454" s="186">
        <v>0</v>
      </c>
    </row>
    <row r="455" spans="1:10">
      <c r="A455" s="188">
        <v>42652</v>
      </c>
      <c r="B455" s="186" t="s">
        <v>554</v>
      </c>
      <c r="C455" s="186" t="s">
        <v>472</v>
      </c>
      <c r="D455" s="186">
        <v>0</v>
      </c>
      <c r="E455" s="186">
        <v>0</v>
      </c>
      <c r="F455" s="186">
        <v>0</v>
      </c>
      <c r="G455" s="258">
        <v>0</v>
      </c>
      <c r="H455" s="186">
        <v>1</v>
      </c>
      <c r="I455" s="186">
        <v>0</v>
      </c>
      <c r="J455" s="186">
        <v>0</v>
      </c>
    </row>
    <row r="456" spans="1:10">
      <c r="A456" s="188">
        <v>42652</v>
      </c>
      <c r="B456" s="186" t="s">
        <v>554</v>
      </c>
      <c r="C456" s="186" t="s">
        <v>479</v>
      </c>
      <c r="D456" s="186">
        <v>0</v>
      </c>
      <c r="E456" s="186">
        <v>0</v>
      </c>
      <c r="F456" s="186">
        <v>0</v>
      </c>
      <c r="G456" s="258">
        <v>0</v>
      </c>
      <c r="H456" s="186">
        <v>36</v>
      </c>
      <c r="I456" s="186">
        <v>0</v>
      </c>
      <c r="J456" s="186">
        <v>0</v>
      </c>
    </row>
    <row r="457" spans="1:10">
      <c r="A457" s="188">
        <v>42652</v>
      </c>
      <c r="B457" s="186" t="s">
        <v>554</v>
      </c>
      <c r="C457" s="186" t="s">
        <v>480</v>
      </c>
      <c r="D457" s="186">
        <v>0</v>
      </c>
      <c r="E457" s="186">
        <v>0</v>
      </c>
      <c r="F457" s="186">
        <v>0</v>
      </c>
      <c r="G457" s="258">
        <v>0</v>
      </c>
      <c r="H457" s="186">
        <v>9</v>
      </c>
      <c r="I457" s="186">
        <v>0</v>
      </c>
      <c r="J457" s="186">
        <v>0</v>
      </c>
    </row>
    <row r="458" spans="1:10">
      <c r="A458" s="188">
        <v>42652</v>
      </c>
      <c r="B458" s="186" t="s">
        <v>554</v>
      </c>
      <c r="C458" s="186" t="s">
        <v>468</v>
      </c>
      <c r="D458" s="186">
        <v>0</v>
      </c>
      <c r="E458" s="186">
        <v>0</v>
      </c>
      <c r="F458" s="186">
        <v>0</v>
      </c>
      <c r="G458" s="258">
        <v>0</v>
      </c>
      <c r="H458" s="186">
        <v>4</v>
      </c>
      <c r="I458" s="186">
        <v>0</v>
      </c>
      <c r="J458" s="186">
        <v>0</v>
      </c>
    </row>
    <row r="459" spans="1:10">
      <c r="A459" s="188">
        <v>42652</v>
      </c>
      <c r="B459" s="186" t="s">
        <v>554</v>
      </c>
      <c r="C459" s="186" t="s">
        <v>489</v>
      </c>
      <c r="D459" s="186">
        <v>0</v>
      </c>
      <c r="E459" s="186">
        <v>0</v>
      </c>
      <c r="F459" s="186">
        <v>0</v>
      </c>
      <c r="G459" s="258">
        <v>0</v>
      </c>
      <c r="H459" s="186">
        <v>30</v>
      </c>
      <c r="I459" s="186">
        <v>0</v>
      </c>
      <c r="J459" s="186">
        <v>0</v>
      </c>
    </row>
    <row r="460" spans="1:10">
      <c r="A460" s="188">
        <v>42652</v>
      </c>
      <c r="B460" s="186" t="s">
        <v>554</v>
      </c>
      <c r="C460" s="186" t="s">
        <v>469</v>
      </c>
      <c r="D460" s="186">
        <v>0</v>
      </c>
      <c r="E460" s="186">
        <v>0</v>
      </c>
      <c r="F460" s="186">
        <v>0</v>
      </c>
      <c r="G460" s="258">
        <v>0</v>
      </c>
      <c r="H460" s="186">
        <v>47</v>
      </c>
      <c r="I460" s="186">
        <v>0</v>
      </c>
      <c r="J460" s="186">
        <v>0</v>
      </c>
    </row>
    <row r="461" spans="1:10">
      <c r="A461" s="188">
        <v>42652</v>
      </c>
      <c r="B461" s="186" t="s">
        <v>554</v>
      </c>
      <c r="C461" s="186" t="s">
        <v>470</v>
      </c>
      <c r="D461" s="186">
        <v>0</v>
      </c>
      <c r="E461" s="186">
        <v>0</v>
      </c>
      <c r="F461" s="186">
        <v>0</v>
      </c>
      <c r="G461" s="258">
        <v>0</v>
      </c>
      <c r="H461" s="186">
        <v>21</v>
      </c>
      <c r="I461" s="186">
        <v>0</v>
      </c>
      <c r="J461" s="186">
        <v>0</v>
      </c>
    </row>
    <row r="462" spans="1:10">
      <c r="A462" s="188">
        <v>42652</v>
      </c>
      <c r="B462" s="186" t="s">
        <v>554</v>
      </c>
      <c r="C462" s="186" t="s">
        <v>471</v>
      </c>
      <c r="D462" s="186">
        <v>0</v>
      </c>
      <c r="E462" s="186">
        <v>0</v>
      </c>
      <c r="F462" s="186">
        <v>0</v>
      </c>
      <c r="G462" s="258">
        <v>0</v>
      </c>
      <c r="H462" s="186">
        <v>3</v>
      </c>
      <c r="I462" s="186">
        <v>0</v>
      </c>
      <c r="J462" s="186">
        <v>0</v>
      </c>
    </row>
    <row r="463" spans="1:10">
      <c r="A463" s="188">
        <v>42652</v>
      </c>
      <c r="B463" s="186" t="s">
        <v>554</v>
      </c>
      <c r="C463" s="186" t="s">
        <v>510</v>
      </c>
      <c r="D463" s="186">
        <v>0</v>
      </c>
      <c r="E463" s="186">
        <v>0</v>
      </c>
      <c r="F463" s="186">
        <v>0</v>
      </c>
      <c r="G463" s="258">
        <v>0</v>
      </c>
      <c r="H463" s="186">
        <v>59</v>
      </c>
      <c r="I463" s="186">
        <v>0</v>
      </c>
      <c r="J463" s="186">
        <v>0</v>
      </c>
    </row>
    <row r="464" spans="1:10">
      <c r="A464" s="188">
        <v>42653</v>
      </c>
      <c r="B464" s="186" t="s">
        <v>459</v>
      </c>
      <c r="C464" s="262" t="s">
        <v>460</v>
      </c>
      <c r="D464" s="186">
        <v>11</v>
      </c>
      <c r="E464" s="186">
        <v>44</v>
      </c>
      <c r="F464" s="186">
        <v>0</v>
      </c>
      <c r="G464" s="258">
        <v>3</v>
      </c>
      <c r="H464" s="186">
        <v>2314</v>
      </c>
      <c r="I464" s="186">
        <v>44</v>
      </c>
      <c r="J464" s="186">
        <v>3</v>
      </c>
    </row>
    <row r="465" spans="1:10">
      <c r="A465" s="188">
        <v>42653</v>
      </c>
      <c r="B465" s="186" t="s">
        <v>459</v>
      </c>
      <c r="C465" s="262" t="s">
        <v>466</v>
      </c>
      <c r="D465" s="186">
        <v>0</v>
      </c>
      <c r="E465" s="186">
        <v>11</v>
      </c>
      <c r="F465" s="186">
        <v>0</v>
      </c>
      <c r="G465" s="258">
        <v>2</v>
      </c>
      <c r="H465" s="186">
        <v>263</v>
      </c>
      <c r="I465" s="186">
        <v>11</v>
      </c>
      <c r="J465" s="186">
        <v>2</v>
      </c>
    </row>
    <row r="466" spans="1:10">
      <c r="A466" s="188">
        <v>42653</v>
      </c>
      <c r="B466" s="186" t="s">
        <v>459</v>
      </c>
      <c r="C466" s="262" t="s">
        <v>467</v>
      </c>
      <c r="D466" s="186">
        <v>0</v>
      </c>
      <c r="E466" s="186">
        <v>14</v>
      </c>
      <c r="F466" s="186">
        <v>0</v>
      </c>
      <c r="G466" s="258">
        <v>2</v>
      </c>
      <c r="H466" s="186">
        <v>1512</v>
      </c>
      <c r="I466" s="186">
        <v>14</v>
      </c>
      <c r="J466" s="186">
        <v>2</v>
      </c>
    </row>
    <row r="467" spans="1:10">
      <c r="A467" s="188">
        <v>42653</v>
      </c>
      <c r="B467" s="186" t="s">
        <v>459</v>
      </c>
      <c r="C467" s="262" t="s">
        <v>470</v>
      </c>
      <c r="D467" s="186">
        <v>0</v>
      </c>
      <c r="E467" s="186">
        <v>3</v>
      </c>
      <c r="F467" s="186">
        <v>0</v>
      </c>
      <c r="G467" s="258">
        <v>1</v>
      </c>
      <c r="H467" s="186">
        <v>862</v>
      </c>
      <c r="I467" s="186">
        <v>3</v>
      </c>
      <c r="J467" s="186">
        <v>1</v>
      </c>
    </row>
    <row r="468" spans="1:10">
      <c r="A468" s="188">
        <v>42653</v>
      </c>
      <c r="B468" s="186" t="s">
        <v>459</v>
      </c>
      <c r="C468" s="262" t="s">
        <v>461</v>
      </c>
      <c r="D468" s="186">
        <v>0</v>
      </c>
      <c r="E468" s="186">
        <v>0</v>
      </c>
      <c r="F468" s="186">
        <v>0</v>
      </c>
      <c r="G468" s="258">
        <v>0</v>
      </c>
      <c r="H468" s="186">
        <v>4489</v>
      </c>
      <c r="I468" s="186">
        <v>0</v>
      </c>
      <c r="J468" s="186">
        <v>0</v>
      </c>
    </row>
    <row r="469" spans="1:10">
      <c r="A469" s="188">
        <v>42653</v>
      </c>
      <c r="B469" s="186" t="s">
        <v>459</v>
      </c>
      <c r="C469" s="262" t="s">
        <v>463</v>
      </c>
      <c r="D469" s="186">
        <v>0</v>
      </c>
      <c r="E469" s="186">
        <v>1</v>
      </c>
      <c r="F469" s="186">
        <v>0</v>
      </c>
      <c r="G469" s="258">
        <v>0</v>
      </c>
      <c r="H469" s="186">
        <v>5</v>
      </c>
      <c r="I469" s="186">
        <v>1</v>
      </c>
      <c r="J469" s="186">
        <v>0</v>
      </c>
    </row>
    <row r="470" spans="1:10">
      <c r="A470" s="188">
        <v>42653</v>
      </c>
      <c r="B470" s="186" t="s">
        <v>459</v>
      </c>
      <c r="C470" s="262" t="s">
        <v>464</v>
      </c>
      <c r="D470" s="186">
        <v>0</v>
      </c>
      <c r="E470" s="186">
        <v>0</v>
      </c>
      <c r="F470" s="186">
        <v>0</v>
      </c>
      <c r="G470" s="258">
        <v>0</v>
      </c>
      <c r="H470" s="186">
        <v>336</v>
      </c>
      <c r="I470" s="186">
        <v>0</v>
      </c>
      <c r="J470" s="186">
        <v>0</v>
      </c>
    </row>
    <row r="471" spans="1:10">
      <c r="A471" s="188">
        <v>42653</v>
      </c>
      <c r="B471" s="186" t="s">
        <v>459</v>
      </c>
      <c r="C471" s="262" t="s">
        <v>465</v>
      </c>
      <c r="D471" s="186">
        <v>0</v>
      </c>
      <c r="E471" s="186">
        <v>2</v>
      </c>
      <c r="F471" s="186">
        <v>0</v>
      </c>
      <c r="G471" s="258">
        <v>0</v>
      </c>
      <c r="H471" s="186">
        <v>176</v>
      </c>
      <c r="I471" s="186">
        <v>2</v>
      </c>
      <c r="J471" s="186">
        <v>0</v>
      </c>
    </row>
    <row r="472" spans="1:10">
      <c r="A472" s="188">
        <v>42653</v>
      </c>
      <c r="B472" s="186" t="s">
        <v>459</v>
      </c>
      <c r="C472" s="262" t="s">
        <v>472</v>
      </c>
      <c r="D472" s="186">
        <v>0</v>
      </c>
      <c r="E472" s="186">
        <v>0</v>
      </c>
      <c r="F472" s="186">
        <v>0</v>
      </c>
      <c r="G472" s="258">
        <v>0</v>
      </c>
      <c r="H472" s="186">
        <v>1</v>
      </c>
      <c r="I472" s="186">
        <v>0</v>
      </c>
      <c r="J472" s="186">
        <v>0</v>
      </c>
    </row>
    <row r="473" spans="1:10">
      <c r="A473" s="188">
        <v>42653</v>
      </c>
      <c r="B473" s="186" t="s">
        <v>459</v>
      </c>
      <c r="C473" s="262" t="s">
        <v>508</v>
      </c>
      <c r="D473" s="186">
        <v>0</v>
      </c>
      <c r="E473" s="186">
        <v>3</v>
      </c>
      <c r="F473" s="186">
        <v>0</v>
      </c>
      <c r="G473" s="258">
        <v>0</v>
      </c>
      <c r="H473" s="186">
        <v>80</v>
      </c>
      <c r="I473" s="186">
        <v>3</v>
      </c>
      <c r="J473" s="186">
        <v>0</v>
      </c>
    </row>
    <row r="474" spans="1:10">
      <c r="A474" s="188">
        <v>42653</v>
      </c>
      <c r="B474" s="186" t="s">
        <v>459</v>
      </c>
      <c r="C474" s="262" t="s">
        <v>508</v>
      </c>
      <c r="D474" s="186">
        <v>0</v>
      </c>
      <c r="E474" s="186">
        <v>3</v>
      </c>
      <c r="F474" s="186">
        <v>0</v>
      </c>
      <c r="G474" s="258">
        <v>0</v>
      </c>
      <c r="H474" s="186">
        <v>80</v>
      </c>
      <c r="I474" s="186">
        <v>3</v>
      </c>
      <c r="J474" s="186">
        <v>0</v>
      </c>
    </row>
    <row r="475" spans="1:10">
      <c r="A475" s="188">
        <v>42653</v>
      </c>
      <c r="B475" s="186" t="s">
        <v>459</v>
      </c>
      <c r="C475" s="262" t="s">
        <v>468</v>
      </c>
      <c r="D475" s="186">
        <v>0</v>
      </c>
      <c r="E475" s="186">
        <v>0</v>
      </c>
      <c r="F475" s="186">
        <v>0</v>
      </c>
      <c r="G475" s="258">
        <v>0</v>
      </c>
      <c r="H475" s="186">
        <v>50</v>
      </c>
      <c r="I475" s="186">
        <v>0</v>
      </c>
      <c r="J475" s="186">
        <v>0</v>
      </c>
    </row>
    <row r="476" spans="1:10">
      <c r="A476" s="188">
        <v>42653</v>
      </c>
      <c r="B476" s="186" t="s">
        <v>459</v>
      </c>
      <c r="C476" s="262" t="s">
        <v>469</v>
      </c>
      <c r="D476" s="186">
        <v>0</v>
      </c>
      <c r="E476" s="186">
        <v>0</v>
      </c>
      <c r="F476" s="186">
        <v>0</v>
      </c>
      <c r="G476" s="258">
        <v>0</v>
      </c>
      <c r="H476" s="186">
        <v>802</v>
      </c>
      <c r="I476" s="186">
        <v>0</v>
      </c>
      <c r="J476" s="186">
        <v>0</v>
      </c>
    </row>
    <row r="477" spans="1:10">
      <c r="A477" s="188">
        <v>42653</v>
      </c>
      <c r="B477" s="186" t="s">
        <v>459</v>
      </c>
      <c r="C477" s="262" t="s">
        <v>471</v>
      </c>
      <c r="D477" s="186">
        <v>0</v>
      </c>
      <c r="E477" s="186">
        <v>0</v>
      </c>
      <c r="F477" s="186">
        <v>0</v>
      </c>
      <c r="G477" s="258">
        <v>0</v>
      </c>
      <c r="H477" s="186">
        <v>51</v>
      </c>
      <c r="I477" s="186">
        <v>0</v>
      </c>
      <c r="J477" s="186">
        <v>0</v>
      </c>
    </row>
    <row r="478" spans="1:10">
      <c r="A478" s="188">
        <v>42653</v>
      </c>
      <c r="B478" s="186" t="s">
        <v>474</v>
      </c>
      <c r="C478" s="262" t="s">
        <v>465</v>
      </c>
      <c r="D478" s="186">
        <v>0</v>
      </c>
      <c r="E478" s="186">
        <v>3</v>
      </c>
      <c r="F478" s="186">
        <v>0</v>
      </c>
      <c r="G478" s="258">
        <v>1</v>
      </c>
      <c r="H478" s="186">
        <v>236</v>
      </c>
      <c r="I478" s="186">
        <v>3</v>
      </c>
      <c r="J478" s="186">
        <v>1</v>
      </c>
    </row>
    <row r="479" spans="1:10">
      <c r="A479" s="188">
        <v>42653</v>
      </c>
      <c r="B479" s="186" t="s">
        <v>474</v>
      </c>
      <c r="C479" s="262" t="s">
        <v>466</v>
      </c>
      <c r="D479" s="186">
        <v>0</v>
      </c>
      <c r="E479" s="186">
        <v>11</v>
      </c>
      <c r="F479" s="186">
        <v>0</v>
      </c>
      <c r="G479" s="258">
        <v>1</v>
      </c>
      <c r="H479" s="186">
        <v>579</v>
      </c>
      <c r="I479" s="186">
        <v>11</v>
      </c>
      <c r="J479" s="186">
        <v>1</v>
      </c>
    </row>
    <row r="480" spans="1:10">
      <c r="A480" s="188">
        <v>42653</v>
      </c>
      <c r="B480" s="186" t="s">
        <v>474</v>
      </c>
      <c r="C480" s="262" t="s">
        <v>462</v>
      </c>
      <c r="D480" s="186">
        <v>0</v>
      </c>
      <c r="E480" s="186">
        <v>0</v>
      </c>
      <c r="F480" s="186">
        <v>0</v>
      </c>
      <c r="G480" s="258">
        <v>0</v>
      </c>
      <c r="H480" s="186">
        <v>40</v>
      </c>
      <c r="I480" s="186">
        <v>0</v>
      </c>
      <c r="J480" s="186">
        <v>0</v>
      </c>
    </row>
    <row r="481" spans="1:10">
      <c r="A481" s="188">
        <v>42653</v>
      </c>
      <c r="B481" s="186" t="s">
        <v>474</v>
      </c>
      <c r="C481" s="262" t="s">
        <v>464</v>
      </c>
      <c r="D481" s="186">
        <v>0</v>
      </c>
      <c r="E481" s="186">
        <v>0</v>
      </c>
      <c r="F481" s="186">
        <v>0</v>
      </c>
      <c r="G481" s="258">
        <v>0</v>
      </c>
      <c r="H481" s="186">
        <v>46</v>
      </c>
      <c r="I481" s="186">
        <v>0</v>
      </c>
      <c r="J481" s="186">
        <v>0</v>
      </c>
    </row>
    <row r="482" spans="1:10">
      <c r="A482" s="188">
        <v>42653</v>
      </c>
      <c r="B482" s="186" t="s">
        <v>474</v>
      </c>
      <c r="C482" s="262" t="s">
        <v>472</v>
      </c>
      <c r="D482" s="186">
        <v>0</v>
      </c>
      <c r="E482" s="186">
        <v>0</v>
      </c>
      <c r="F482" s="186">
        <v>0</v>
      </c>
      <c r="G482" s="258">
        <v>0</v>
      </c>
      <c r="H482" s="186">
        <v>1</v>
      </c>
      <c r="I482" s="186">
        <v>0</v>
      </c>
      <c r="J482" s="186">
        <v>0</v>
      </c>
    </row>
    <row r="483" spans="1:10">
      <c r="A483" s="188">
        <v>42653</v>
      </c>
      <c r="B483" s="186" t="s">
        <v>474</v>
      </c>
      <c r="C483" s="262" t="s">
        <v>479</v>
      </c>
      <c r="D483" s="186">
        <v>0</v>
      </c>
      <c r="E483" s="186">
        <v>0</v>
      </c>
      <c r="F483" s="186">
        <v>0</v>
      </c>
      <c r="G483" s="258">
        <v>0</v>
      </c>
      <c r="H483" s="186">
        <v>1</v>
      </c>
      <c r="I483" s="186">
        <v>0</v>
      </c>
      <c r="J483" s="186">
        <v>0</v>
      </c>
    </row>
    <row r="484" spans="1:10">
      <c r="A484" s="188">
        <v>42653</v>
      </c>
      <c r="B484" s="186" t="s">
        <v>474</v>
      </c>
      <c r="C484" s="262" t="s">
        <v>480</v>
      </c>
      <c r="D484" s="186">
        <v>0</v>
      </c>
      <c r="E484" s="186">
        <v>1</v>
      </c>
      <c r="F484" s="186">
        <v>0</v>
      </c>
      <c r="G484" s="258">
        <v>0</v>
      </c>
      <c r="H484" s="186">
        <v>36</v>
      </c>
      <c r="I484" s="186">
        <v>1</v>
      </c>
      <c r="J484" s="186">
        <v>0</v>
      </c>
    </row>
    <row r="485" spans="1:10">
      <c r="A485" s="188">
        <v>42653</v>
      </c>
      <c r="B485" s="186" t="s">
        <v>474</v>
      </c>
      <c r="C485" s="262" t="s">
        <v>468</v>
      </c>
      <c r="D485" s="186">
        <v>0</v>
      </c>
      <c r="E485" s="186">
        <v>0</v>
      </c>
      <c r="F485" s="186">
        <v>0</v>
      </c>
      <c r="G485" s="258">
        <v>0</v>
      </c>
      <c r="H485" s="186">
        <v>3</v>
      </c>
      <c r="I485" s="186">
        <v>0</v>
      </c>
      <c r="J485" s="186">
        <v>0</v>
      </c>
    </row>
    <row r="486" spans="1:10">
      <c r="A486" s="188">
        <v>42653</v>
      </c>
      <c r="B486" s="186" t="s">
        <v>474</v>
      </c>
      <c r="C486" s="262" t="s">
        <v>469</v>
      </c>
      <c r="D486" s="186">
        <v>0</v>
      </c>
      <c r="E486" s="186">
        <v>0</v>
      </c>
      <c r="F486" s="186">
        <v>0</v>
      </c>
      <c r="G486" s="258">
        <v>0</v>
      </c>
      <c r="H486" s="186">
        <v>71</v>
      </c>
      <c r="I486" s="186">
        <v>0</v>
      </c>
      <c r="J486" s="186">
        <v>0</v>
      </c>
    </row>
    <row r="487" spans="1:10">
      <c r="A487" s="188">
        <v>42653</v>
      </c>
      <c r="B487" s="186" t="s">
        <v>474</v>
      </c>
      <c r="C487" s="262" t="s">
        <v>470</v>
      </c>
      <c r="D487" s="186">
        <v>0</v>
      </c>
      <c r="E487" s="186">
        <v>0</v>
      </c>
      <c r="F487" s="186">
        <v>0</v>
      </c>
      <c r="G487" s="258">
        <v>0</v>
      </c>
      <c r="H487" s="186">
        <v>149</v>
      </c>
      <c r="I487" s="186">
        <v>0</v>
      </c>
      <c r="J487" s="186">
        <v>0</v>
      </c>
    </row>
    <row r="488" spans="1:10">
      <c r="A488" s="188">
        <v>42653</v>
      </c>
      <c r="B488" s="186" t="s">
        <v>474</v>
      </c>
      <c r="C488" s="262" t="s">
        <v>471</v>
      </c>
      <c r="D488" s="186">
        <v>0</v>
      </c>
      <c r="E488" s="186">
        <v>0</v>
      </c>
      <c r="F488" s="186">
        <v>0</v>
      </c>
      <c r="G488" s="258">
        <v>0</v>
      </c>
      <c r="H488" s="186">
        <v>3</v>
      </c>
      <c r="I488" s="186">
        <v>0</v>
      </c>
      <c r="J488" s="186">
        <v>0</v>
      </c>
    </row>
    <row r="489" spans="1:10">
      <c r="A489" s="188">
        <v>42653</v>
      </c>
      <c r="B489" s="186" t="s">
        <v>193</v>
      </c>
      <c r="C489" s="262" t="s">
        <v>484</v>
      </c>
      <c r="D489" s="186">
        <v>0</v>
      </c>
      <c r="E489" s="186">
        <v>3</v>
      </c>
      <c r="F489" s="186">
        <v>0</v>
      </c>
      <c r="G489" s="258">
        <v>1</v>
      </c>
      <c r="H489" s="186">
        <v>0</v>
      </c>
      <c r="I489" s="186">
        <v>3</v>
      </c>
      <c r="J489" s="186">
        <v>1</v>
      </c>
    </row>
    <row r="490" spans="1:10">
      <c r="A490" s="188">
        <v>42653</v>
      </c>
      <c r="B490" s="186" t="s">
        <v>193</v>
      </c>
      <c r="C490" s="262" t="s">
        <v>463</v>
      </c>
      <c r="D490" s="186">
        <v>0</v>
      </c>
      <c r="E490" s="186">
        <v>0</v>
      </c>
      <c r="F490" s="186">
        <v>0</v>
      </c>
      <c r="G490" s="258">
        <v>0</v>
      </c>
      <c r="H490" s="186">
        <v>0</v>
      </c>
      <c r="I490" s="186">
        <v>0</v>
      </c>
      <c r="J490" s="186">
        <v>0</v>
      </c>
    </row>
    <row r="491" spans="1:10">
      <c r="A491" s="188">
        <v>42653</v>
      </c>
      <c r="B491" s="186" t="s">
        <v>227</v>
      </c>
      <c r="C491" s="262" t="s">
        <v>484</v>
      </c>
      <c r="D491" s="186">
        <v>0</v>
      </c>
      <c r="E491" s="186">
        <v>0</v>
      </c>
      <c r="F491" s="186">
        <v>0</v>
      </c>
      <c r="G491" s="258">
        <v>0</v>
      </c>
      <c r="H491" s="186">
        <v>17</v>
      </c>
      <c r="I491" s="186">
        <v>0</v>
      </c>
      <c r="J491" s="186">
        <v>0</v>
      </c>
    </row>
    <row r="492" spans="1:10">
      <c r="A492" s="188">
        <v>42653</v>
      </c>
      <c r="B492" s="186" t="s">
        <v>227</v>
      </c>
      <c r="C492" s="262" t="s">
        <v>487</v>
      </c>
      <c r="D492" s="186">
        <v>0</v>
      </c>
      <c r="E492" s="186">
        <v>0</v>
      </c>
      <c r="F492" s="186">
        <v>0</v>
      </c>
      <c r="G492" s="258">
        <v>0</v>
      </c>
      <c r="H492" s="186">
        <v>56</v>
      </c>
      <c r="I492" s="186">
        <v>0</v>
      </c>
      <c r="J492" s="186">
        <v>0</v>
      </c>
    </row>
    <row r="493" spans="1:10">
      <c r="A493" s="188">
        <v>42653</v>
      </c>
      <c r="B493" s="186" t="s">
        <v>227</v>
      </c>
      <c r="C493" s="262" t="s">
        <v>462</v>
      </c>
      <c r="D493" s="186">
        <v>0</v>
      </c>
      <c r="E493" s="186">
        <v>0</v>
      </c>
      <c r="F493" s="186">
        <v>0</v>
      </c>
      <c r="G493" s="258">
        <v>0</v>
      </c>
      <c r="H493" s="186">
        <v>320</v>
      </c>
      <c r="I493" s="186">
        <v>0</v>
      </c>
      <c r="J493" s="186">
        <v>0</v>
      </c>
    </row>
    <row r="494" spans="1:10">
      <c r="A494" s="188">
        <v>42653</v>
      </c>
      <c r="B494" s="186" t="s">
        <v>227</v>
      </c>
      <c r="C494" s="262" t="s">
        <v>464</v>
      </c>
      <c r="D494" s="186">
        <v>0</v>
      </c>
      <c r="E494" s="186">
        <v>0</v>
      </c>
      <c r="F494" s="186">
        <v>0</v>
      </c>
      <c r="G494" s="258">
        <v>0</v>
      </c>
      <c r="H494" s="186">
        <v>20</v>
      </c>
      <c r="I494" s="186">
        <v>0</v>
      </c>
      <c r="J494" s="186">
        <v>0</v>
      </c>
    </row>
    <row r="495" spans="1:10">
      <c r="A495" s="188">
        <v>42653</v>
      </c>
      <c r="B495" s="186" t="s">
        <v>227</v>
      </c>
      <c r="C495" s="262" t="s">
        <v>460</v>
      </c>
      <c r="D495" s="186">
        <v>0</v>
      </c>
      <c r="E495" s="186">
        <v>0</v>
      </c>
      <c r="F495" s="186">
        <v>0</v>
      </c>
      <c r="G495" s="258">
        <v>0</v>
      </c>
      <c r="H495" s="186">
        <v>1</v>
      </c>
      <c r="I495" s="186">
        <v>0</v>
      </c>
      <c r="J495" s="186">
        <v>0</v>
      </c>
    </row>
    <row r="496" spans="1:10">
      <c r="A496" s="188">
        <v>42653</v>
      </c>
      <c r="B496" s="186" t="s">
        <v>227</v>
      </c>
      <c r="C496" s="262" t="s">
        <v>465</v>
      </c>
      <c r="D496" s="186">
        <v>0</v>
      </c>
      <c r="E496" s="186">
        <v>1</v>
      </c>
      <c r="F496" s="186">
        <v>0</v>
      </c>
      <c r="G496" s="258">
        <v>0</v>
      </c>
      <c r="H496" s="186">
        <v>104</v>
      </c>
      <c r="I496" s="186">
        <v>1</v>
      </c>
      <c r="J496" s="186">
        <v>0</v>
      </c>
    </row>
    <row r="497" spans="1:10">
      <c r="A497" s="188">
        <v>42653</v>
      </c>
      <c r="B497" s="186" t="s">
        <v>227</v>
      </c>
      <c r="C497" s="262" t="s">
        <v>479</v>
      </c>
      <c r="D497" s="186">
        <v>0</v>
      </c>
      <c r="E497" s="186">
        <v>0</v>
      </c>
      <c r="F497" s="186">
        <v>0</v>
      </c>
      <c r="G497" s="258">
        <v>0</v>
      </c>
      <c r="H497" s="186">
        <v>47</v>
      </c>
      <c r="I497" s="186">
        <v>0</v>
      </c>
      <c r="J497" s="186">
        <v>0</v>
      </c>
    </row>
    <row r="498" spans="1:10">
      <c r="A498" s="188">
        <v>42653</v>
      </c>
      <c r="B498" s="186" t="s">
        <v>227</v>
      </c>
      <c r="C498" s="262" t="s">
        <v>508</v>
      </c>
      <c r="D498" s="186">
        <v>0</v>
      </c>
      <c r="E498" s="186">
        <v>0</v>
      </c>
      <c r="F498" s="186">
        <v>0</v>
      </c>
      <c r="G498" s="258">
        <v>0</v>
      </c>
      <c r="H498" s="186">
        <v>25</v>
      </c>
      <c r="I498" s="186">
        <v>0</v>
      </c>
      <c r="J498" s="186">
        <v>0</v>
      </c>
    </row>
    <row r="499" spans="1:10">
      <c r="A499" s="188">
        <v>42653</v>
      </c>
      <c r="B499" s="186" t="s">
        <v>227</v>
      </c>
      <c r="C499" s="262" t="s">
        <v>468</v>
      </c>
      <c r="D499" s="186">
        <v>0</v>
      </c>
      <c r="E499" s="186">
        <v>0</v>
      </c>
      <c r="F499" s="186">
        <v>0</v>
      </c>
      <c r="G499" s="258">
        <v>0</v>
      </c>
      <c r="H499" s="186">
        <v>43</v>
      </c>
      <c r="I499" s="186">
        <v>0</v>
      </c>
      <c r="J499" s="186">
        <v>0</v>
      </c>
    </row>
    <row r="500" spans="1:10">
      <c r="A500" s="188">
        <v>42653</v>
      </c>
      <c r="B500" s="186" t="s">
        <v>227</v>
      </c>
      <c r="C500" s="262" t="s">
        <v>469</v>
      </c>
      <c r="D500" s="186">
        <v>0</v>
      </c>
      <c r="E500" s="186">
        <v>0</v>
      </c>
      <c r="F500" s="186">
        <v>0</v>
      </c>
      <c r="G500" s="258">
        <v>0</v>
      </c>
      <c r="H500" s="186">
        <v>724</v>
      </c>
      <c r="I500" s="186">
        <v>0</v>
      </c>
      <c r="J500" s="186">
        <v>0</v>
      </c>
    </row>
    <row r="501" spans="1:10">
      <c r="A501" s="188">
        <v>42653</v>
      </c>
      <c r="B501" s="186" t="s">
        <v>227</v>
      </c>
      <c r="C501" s="262" t="s">
        <v>470</v>
      </c>
      <c r="D501" s="186">
        <v>0</v>
      </c>
      <c r="E501" s="186">
        <v>0</v>
      </c>
      <c r="F501" s="186">
        <v>0</v>
      </c>
      <c r="G501" s="258">
        <v>0</v>
      </c>
      <c r="H501" s="186">
        <v>61</v>
      </c>
      <c r="I501" s="186">
        <v>0</v>
      </c>
      <c r="J501" s="186">
        <v>0</v>
      </c>
    </row>
    <row r="502" spans="1:10">
      <c r="A502" s="188">
        <v>42653</v>
      </c>
      <c r="B502" s="186" t="s">
        <v>227</v>
      </c>
      <c r="C502" s="262" t="s">
        <v>471</v>
      </c>
      <c r="D502" s="186">
        <v>0</v>
      </c>
      <c r="E502" s="186">
        <v>0</v>
      </c>
      <c r="F502" s="186">
        <v>0</v>
      </c>
      <c r="G502" s="258">
        <v>0</v>
      </c>
      <c r="H502" s="186">
        <v>47</v>
      </c>
      <c r="I502" s="186">
        <v>0</v>
      </c>
      <c r="J502" s="186">
        <v>0</v>
      </c>
    </row>
    <row r="503" spans="1:10">
      <c r="A503" s="188">
        <v>42653</v>
      </c>
      <c r="B503" s="186" t="s">
        <v>226</v>
      </c>
      <c r="C503" s="262" t="s">
        <v>490</v>
      </c>
      <c r="D503" s="186">
        <v>4</v>
      </c>
      <c r="E503" s="186">
        <v>4</v>
      </c>
      <c r="F503" s="186">
        <v>2</v>
      </c>
      <c r="G503" s="258">
        <v>2</v>
      </c>
      <c r="H503" s="186">
        <v>147</v>
      </c>
      <c r="I503" s="186">
        <v>4</v>
      </c>
      <c r="J503" s="186">
        <v>2</v>
      </c>
    </row>
    <row r="504" spans="1:10">
      <c r="A504" s="188">
        <v>42653</v>
      </c>
      <c r="B504" s="186" t="s">
        <v>226</v>
      </c>
      <c r="C504" s="262" t="s">
        <v>465</v>
      </c>
      <c r="D504" s="186">
        <v>1</v>
      </c>
      <c r="E504" s="186">
        <v>12</v>
      </c>
      <c r="F504" s="186">
        <v>0</v>
      </c>
      <c r="G504" s="258">
        <v>2</v>
      </c>
      <c r="H504" s="186">
        <v>898</v>
      </c>
      <c r="I504" s="186">
        <v>12</v>
      </c>
      <c r="J504" s="186">
        <v>2</v>
      </c>
    </row>
    <row r="505" spans="1:10">
      <c r="A505" s="188">
        <v>42653</v>
      </c>
      <c r="B505" s="186" t="s">
        <v>226</v>
      </c>
      <c r="C505" s="262" t="s">
        <v>463</v>
      </c>
      <c r="D505" s="186">
        <v>0</v>
      </c>
      <c r="E505" s="186">
        <v>1</v>
      </c>
      <c r="F505" s="186">
        <v>0</v>
      </c>
      <c r="G505" s="258">
        <v>1</v>
      </c>
      <c r="H505" s="186">
        <v>0</v>
      </c>
      <c r="I505" s="186">
        <v>1</v>
      </c>
      <c r="J505" s="186">
        <v>1</v>
      </c>
    </row>
    <row r="506" spans="1:10">
      <c r="A506" s="188">
        <v>42653</v>
      </c>
      <c r="B506" s="186" t="s">
        <v>226</v>
      </c>
      <c r="C506" s="262" t="s">
        <v>489</v>
      </c>
      <c r="D506" s="186">
        <v>0</v>
      </c>
      <c r="E506" s="186">
        <v>1</v>
      </c>
      <c r="F506" s="186">
        <v>0</v>
      </c>
      <c r="G506" s="258">
        <v>1</v>
      </c>
      <c r="H506" s="186">
        <v>100</v>
      </c>
      <c r="I506" s="186">
        <v>1</v>
      </c>
      <c r="J506" s="186">
        <v>1</v>
      </c>
    </row>
    <row r="507" spans="1:10">
      <c r="A507" s="188">
        <v>42653</v>
      </c>
      <c r="B507" s="186" t="s">
        <v>226</v>
      </c>
      <c r="C507" s="262" t="s">
        <v>466</v>
      </c>
      <c r="D507" s="186">
        <v>0</v>
      </c>
      <c r="E507" s="186">
        <v>12</v>
      </c>
      <c r="F507" s="186">
        <v>0</v>
      </c>
      <c r="G507" s="258">
        <v>1</v>
      </c>
      <c r="H507" s="186">
        <v>402</v>
      </c>
      <c r="I507" s="186">
        <v>12</v>
      </c>
      <c r="J507" s="186">
        <v>1</v>
      </c>
    </row>
    <row r="508" spans="1:10">
      <c r="A508" s="188">
        <v>42653</v>
      </c>
      <c r="B508" s="186" t="s">
        <v>226</v>
      </c>
      <c r="C508" s="262" t="s">
        <v>461</v>
      </c>
      <c r="D508" s="186">
        <v>0</v>
      </c>
      <c r="E508" s="186">
        <v>0</v>
      </c>
      <c r="F508" s="186">
        <v>0</v>
      </c>
      <c r="G508" s="258">
        <v>0</v>
      </c>
      <c r="H508" s="186">
        <v>414</v>
      </c>
      <c r="I508" s="186">
        <v>0</v>
      </c>
      <c r="J508" s="186">
        <v>0</v>
      </c>
    </row>
    <row r="509" spans="1:10">
      <c r="A509" s="188">
        <v>42653</v>
      </c>
      <c r="B509" s="186" t="s">
        <v>226</v>
      </c>
      <c r="C509" s="262" t="s">
        <v>464</v>
      </c>
      <c r="D509" s="186">
        <v>0</v>
      </c>
      <c r="E509" s="186">
        <v>0</v>
      </c>
      <c r="F509" s="186">
        <v>0</v>
      </c>
      <c r="G509" s="258">
        <v>0</v>
      </c>
      <c r="H509" s="186">
        <v>125</v>
      </c>
      <c r="I509" s="186">
        <v>0</v>
      </c>
      <c r="J509" s="186">
        <v>0</v>
      </c>
    </row>
    <row r="510" spans="1:10">
      <c r="A510" s="188">
        <v>42653</v>
      </c>
      <c r="B510" s="186" t="s">
        <v>226</v>
      </c>
      <c r="C510" s="262" t="s">
        <v>460</v>
      </c>
      <c r="D510" s="186">
        <v>0</v>
      </c>
      <c r="E510" s="186">
        <v>0</v>
      </c>
      <c r="F510" s="186">
        <v>0</v>
      </c>
      <c r="G510" s="258">
        <v>0</v>
      </c>
      <c r="H510" s="186">
        <v>1</v>
      </c>
      <c r="I510" s="186">
        <v>0</v>
      </c>
      <c r="J510" s="186">
        <v>0</v>
      </c>
    </row>
    <row r="511" spans="1:10">
      <c r="A511" s="188">
        <v>42653</v>
      </c>
      <c r="B511" s="186" t="s">
        <v>226</v>
      </c>
      <c r="C511" s="262" t="s">
        <v>479</v>
      </c>
      <c r="D511" s="186">
        <v>0</v>
      </c>
      <c r="E511" s="186">
        <v>0</v>
      </c>
      <c r="F511" s="186">
        <v>0</v>
      </c>
      <c r="G511" s="258">
        <v>0</v>
      </c>
      <c r="H511" s="186">
        <v>154</v>
      </c>
      <c r="I511" s="186">
        <v>0</v>
      </c>
      <c r="J511" s="186">
        <v>0</v>
      </c>
    </row>
    <row r="512" spans="1:10">
      <c r="A512" s="188">
        <v>42653</v>
      </c>
      <c r="B512" s="186" t="s">
        <v>226</v>
      </c>
      <c r="C512" s="262" t="s">
        <v>468</v>
      </c>
      <c r="D512" s="186">
        <v>0</v>
      </c>
      <c r="E512" s="186">
        <v>0</v>
      </c>
      <c r="F512" s="186">
        <v>0</v>
      </c>
      <c r="G512" s="258">
        <v>0</v>
      </c>
      <c r="H512" s="186">
        <v>44</v>
      </c>
      <c r="I512" s="186">
        <v>0</v>
      </c>
      <c r="J512" s="186">
        <v>0</v>
      </c>
    </row>
    <row r="513" spans="1:10">
      <c r="A513" s="188">
        <v>42653</v>
      </c>
      <c r="B513" s="186" t="s">
        <v>226</v>
      </c>
      <c r="C513" s="262" t="s">
        <v>468</v>
      </c>
      <c r="D513" s="186">
        <v>0</v>
      </c>
      <c r="E513" s="186">
        <v>0</v>
      </c>
      <c r="F513" s="186">
        <v>0</v>
      </c>
      <c r="G513" s="258">
        <v>0</v>
      </c>
      <c r="H513" s="186">
        <v>44</v>
      </c>
      <c r="I513" s="186">
        <v>0</v>
      </c>
      <c r="J513" s="186">
        <v>0</v>
      </c>
    </row>
    <row r="514" spans="1:10">
      <c r="A514" s="188">
        <v>42653</v>
      </c>
      <c r="B514" s="186" t="s">
        <v>226</v>
      </c>
      <c r="C514" s="262" t="s">
        <v>469</v>
      </c>
      <c r="D514" s="186">
        <v>0</v>
      </c>
      <c r="E514" s="186">
        <v>0</v>
      </c>
      <c r="F514" s="186">
        <v>0</v>
      </c>
      <c r="G514" s="258">
        <v>0</v>
      </c>
      <c r="H514" s="186">
        <v>639</v>
      </c>
      <c r="I514" s="186">
        <v>0</v>
      </c>
      <c r="J514" s="186">
        <v>0</v>
      </c>
    </row>
    <row r="515" spans="1:10">
      <c r="A515" s="188">
        <v>42653</v>
      </c>
      <c r="B515" s="186" t="s">
        <v>226</v>
      </c>
      <c r="C515" s="262" t="s">
        <v>470</v>
      </c>
      <c r="D515" s="186">
        <v>0</v>
      </c>
      <c r="E515" s="186">
        <v>0</v>
      </c>
      <c r="F515" s="186">
        <v>0</v>
      </c>
      <c r="G515" s="258">
        <v>0</v>
      </c>
      <c r="H515" s="186">
        <v>74</v>
      </c>
      <c r="I515" s="186">
        <v>0</v>
      </c>
      <c r="J515" s="186">
        <v>0</v>
      </c>
    </row>
    <row r="516" spans="1:10">
      <c r="A516" s="188">
        <v>42653</v>
      </c>
      <c r="B516" s="186" t="s">
        <v>226</v>
      </c>
      <c r="C516" s="262" t="s">
        <v>471</v>
      </c>
      <c r="D516" s="186">
        <v>0</v>
      </c>
      <c r="E516" s="186">
        <v>0</v>
      </c>
      <c r="F516" s="186">
        <v>0</v>
      </c>
      <c r="G516" s="258">
        <v>0</v>
      </c>
      <c r="H516" s="186">
        <v>39</v>
      </c>
      <c r="I516" s="186">
        <v>0</v>
      </c>
      <c r="J516" s="186">
        <v>0</v>
      </c>
    </row>
    <row r="517" spans="1:10">
      <c r="A517" s="188">
        <v>42653</v>
      </c>
      <c r="B517" s="186" t="s">
        <v>554</v>
      </c>
      <c r="C517" s="262" t="s">
        <v>466</v>
      </c>
      <c r="D517" s="186">
        <v>0</v>
      </c>
      <c r="E517" s="186">
        <v>16</v>
      </c>
      <c r="F517" s="186">
        <v>0</v>
      </c>
      <c r="G517" s="258">
        <v>11</v>
      </c>
      <c r="H517" s="186">
        <v>27</v>
      </c>
      <c r="I517" s="186">
        <v>16</v>
      </c>
      <c r="J517" s="186">
        <v>11</v>
      </c>
    </row>
    <row r="518" spans="1:10">
      <c r="A518" s="188">
        <v>42653</v>
      </c>
      <c r="B518" s="186" t="s">
        <v>554</v>
      </c>
      <c r="C518" s="262" t="s">
        <v>465</v>
      </c>
      <c r="D518" s="186">
        <v>0</v>
      </c>
      <c r="E518" s="186">
        <v>4</v>
      </c>
      <c r="F518" s="186">
        <v>0</v>
      </c>
      <c r="G518" s="258">
        <v>2</v>
      </c>
      <c r="H518" s="186">
        <v>26</v>
      </c>
      <c r="I518" s="186">
        <v>4</v>
      </c>
      <c r="J518" s="186">
        <v>2</v>
      </c>
    </row>
    <row r="519" spans="1:10">
      <c r="A519" s="188">
        <v>42653</v>
      </c>
      <c r="B519" s="186" t="s">
        <v>554</v>
      </c>
      <c r="C519" s="262" t="s">
        <v>461</v>
      </c>
      <c r="D519" s="186">
        <v>0</v>
      </c>
      <c r="E519" s="186">
        <v>0</v>
      </c>
      <c r="F519" s="186">
        <v>0</v>
      </c>
      <c r="G519" s="258">
        <v>0</v>
      </c>
      <c r="H519" s="186">
        <v>117</v>
      </c>
      <c r="I519" s="186">
        <v>0</v>
      </c>
      <c r="J519" s="186">
        <v>0</v>
      </c>
    </row>
    <row r="520" spans="1:10">
      <c r="A520" s="188">
        <v>42653</v>
      </c>
      <c r="B520" s="186" t="s">
        <v>554</v>
      </c>
      <c r="C520" s="262" t="s">
        <v>487</v>
      </c>
      <c r="D520" s="186">
        <v>1</v>
      </c>
      <c r="E520" s="186">
        <v>1</v>
      </c>
      <c r="F520" s="186">
        <v>0</v>
      </c>
      <c r="G520" s="258">
        <v>0</v>
      </c>
      <c r="H520" s="186">
        <v>0</v>
      </c>
      <c r="I520" s="186">
        <v>1</v>
      </c>
      <c r="J520" s="186">
        <v>0</v>
      </c>
    </row>
    <row r="521" spans="1:10">
      <c r="A521" s="188">
        <v>42653</v>
      </c>
      <c r="B521" s="186" t="s">
        <v>554</v>
      </c>
      <c r="C521" s="262" t="s">
        <v>462</v>
      </c>
      <c r="D521" s="186">
        <v>0</v>
      </c>
      <c r="E521" s="186">
        <v>0</v>
      </c>
      <c r="F521" s="186">
        <v>0</v>
      </c>
      <c r="G521" s="258">
        <v>0</v>
      </c>
      <c r="H521" s="186">
        <v>47</v>
      </c>
      <c r="I521" s="186">
        <v>0</v>
      </c>
      <c r="J521" s="186">
        <v>0</v>
      </c>
    </row>
    <row r="522" spans="1:10">
      <c r="A522" s="188">
        <v>42653</v>
      </c>
      <c r="B522" s="186" t="s">
        <v>554</v>
      </c>
      <c r="C522" s="262" t="s">
        <v>463</v>
      </c>
      <c r="D522" s="186">
        <v>0</v>
      </c>
      <c r="E522" s="186">
        <v>0</v>
      </c>
      <c r="F522" s="186">
        <v>0</v>
      </c>
      <c r="G522" s="258">
        <v>0</v>
      </c>
      <c r="H522" s="186">
        <v>198</v>
      </c>
      <c r="I522" s="186">
        <v>0</v>
      </c>
      <c r="J522" s="186">
        <v>0</v>
      </c>
    </row>
    <row r="523" spans="1:10">
      <c r="A523" s="188">
        <v>42653</v>
      </c>
      <c r="B523" s="186" t="s">
        <v>554</v>
      </c>
      <c r="C523" s="262" t="s">
        <v>464</v>
      </c>
      <c r="D523" s="186">
        <v>0</v>
      </c>
      <c r="E523" s="186">
        <v>0</v>
      </c>
      <c r="F523" s="186">
        <v>0</v>
      </c>
      <c r="G523" s="258">
        <v>0</v>
      </c>
      <c r="H523" s="186">
        <v>29</v>
      </c>
      <c r="I523" s="186">
        <v>0</v>
      </c>
      <c r="J523" s="186">
        <v>0</v>
      </c>
    </row>
    <row r="524" spans="1:10">
      <c r="A524" s="188">
        <v>42653</v>
      </c>
      <c r="B524" s="186" t="s">
        <v>554</v>
      </c>
      <c r="C524" s="262" t="s">
        <v>490</v>
      </c>
      <c r="D524" s="186">
        <v>0</v>
      </c>
      <c r="E524" s="186">
        <v>0</v>
      </c>
      <c r="F524" s="186">
        <v>0</v>
      </c>
      <c r="G524" s="258">
        <v>0</v>
      </c>
      <c r="H524" s="186">
        <v>1</v>
      </c>
      <c r="I524" s="186">
        <v>0</v>
      </c>
      <c r="J524" s="186">
        <v>0</v>
      </c>
    </row>
    <row r="525" spans="1:10">
      <c r="A525" s="188">
        <v>42653</v>
      </c>
      <c r="B525" s="186" t="s">
        <v>554</v>
      </c>
      <c r="C525" s="262" t="s">
        <v>460</v>
      </c>
      <c r="D525" s="186">
        <v>0</v>
      </c>
      <c r="E525" s="186">
        <v>0</v>
      </c>
      <c r="F525" s="186">
        <v>0</v>
      </c>
      <c r="G525" s="258">
        <v>0</v>
      </c>
      <c r="H525" s="186">
        <v>37</v>
      </c>
      <c r="I525" s="186">
        <v>0</v>
      </c>
      <c r="J525" s="186">
        <v>0</v>
      </c>
    </row>
    <row r="526" spans="1:10">
      <c r="A526" s="188">
        <v>42653</v>
      </c>
      <c r="B526" s="186" t="s">
        <v>554</v>
      </c>
      <c r="C526" s="262" t="s">
        <v>472</v>
      </c>
      <c r="D526" s="186">
        <v>0</v>
      </c>
      <c r="E526" s="186">
        <v>0</v>
      </c>
      <c r="F526" s="186">
        <v>0</v>
      </c>
      <c r="G526" s="258">
        <v>0</v>
      </c>
      <c r="H526" s="186">
        <v>1</v>
      </c>
      <c r="I526" s="186">
        <v>0</v>
      </c>
      <c r="J526" s="186">
        <v>0</v>
      </c>
    </row>
    <row r="527" spans="1:10">
      <c r="A527" s="188">
        <v>42653</v>
      </c>
      <c r="B527" s="186" t="s">
        <v>554</v>
      </c>
      <c r="C527" s="262" t="s">
        <v>479</v>
      </c>
      <c r="D527" s="186">
        <v>0</v>
      </c>
      <c r="E527" s="186">
        <v>0</v>
      </c>
      <c r="F527" s="186">
        <v>0</v>
      </c>
      <c r="G527" s="258">
        <v>0</v>
      </c>
      <c r="H527" s="186">
        <v>53</v>
      </c>
      <c r="I527" s="186">
        <v>0</v>
      </c>
      <c r="J527" s="186">
        <v>0</v>
      </c>
    </row>
    <row r="528" spans="1:10">
      <c r="A528" s="188">
        <v>42653</v>
      </c>
      <c r="B528" s="186" t="s">
        <v>554</v>
      </c>
      <c r="C528" s="262" t="s">
        <v>480</v>
      </c>
      <c r="D528" s="186">
        <v>0</v>
      </c>
      <c r="E528" s="186">
        <v>0</v>
      </c>
      <c r="F528" s="186">
        <v>0</v>
      </c>
      <c r="G528" s="258">
        <v>0</v>
      </c>
      <c r="H528" s="186">
        <v>15</v>
      </c>
      <c r="I528" s="186">
        <v>0</v>
      </c>
      <c r="J528" s="186">
        <v>0</v>
      </c>
    </row>
    <row r="529" spans="1:10">
      <c r="A529" s="188">
        <v>42653</v>
      </c>
      <c r="B529" s="186" t="s">
        <v>554</v>
      </c>
      <c r="C529" s="262" t="s">
        <v>468</v>
      </c>
      <c r="D529" s="186">
        <v>0</v>
      </c>
      <c r="E529" s="186">
        <v>0</v>
      </c>
      <c r="F529" s="186">
        <v>0</v>
      </c>
      <c r="G529" s="258">
        <v>0</v>
      </c>
      <c r="H529" s="186">
        <v>8</v>
      </c>
      <c r="I529" s="186">
        <v>0</v>
      </c>
      <c r="J529" s="186">
        <v>0</v>
      </c>
    </row>
    <row r="530" spans="1:10">
      <c r="A530" s="188">
        <v>42653</v>
      </c>
      <c r="B530" s="186" t="s">
        <v>554</v>
      </c>
      <c r="C530" s="262" t="s">
        <v>489</v>
      </c>
      <c r="D530" s="186">
        <v>0</v>
      </c>
      <c r="E530" s="186">
        <v>0</v>
      </c>
      <c r="F530" s="186">
        <v>0</v>
      </c>
      <c r="G530" s="258">
        <v>0</v>
      </c>
      <c r="H530" s="186">
        <v>48</v>
      </c>
      <c r="I530" s="186">
        <v>0</v>
      </c>
      <c r="J530" s="186">
        <v>0</v>
      </c>
    </row>
    <row r="531" spans="1:10">
      <c r="A531" s="188">
        <v>42653</v>
      </c>
      <c r="B531" s="186" t="s">
        <v>554</v>
      </c>
      <c r="C531" s="262" t="s">
        <v>469</v>
      </c>
      <c r="D531" s="186">
        <v>0</v>
      </c>
      <c r="E531" s="186">
        <v>0</v>
      </c>
      <c r="F531" s="186">
        <v>0</v>
      </c>
      <c r="G531" s="258">
        <v>0</v>
      </c>
      <c r="H531" s="186">
        <v>76</v>
      </c>
      <c r="I531" s="186">
        <v>0</v>
      </c>
      <c r="J531" s="186">
        <v>0</v>
      </c>
    </row>
    <row r="532" spans="1:10">
      <c r="A532" s="188">
        <v>42653</v>
      </c>
      <c r="B532" s="186" t="s">
        <v>554</v>
      </c>
      <c r="C532" s="262" t="s">
        <v>470</v>
      </c>
      <c r="D532" s="186">
        <v>0</v>
      </c>
      <c r="E532" s="186">
        <v>0</v>
      </c>
      <c r="F532" s="186">
        <v>0</v>
      </c>
      <c r="G532" s="258">
        <v>0</v>
      </c>
      <c r="H532" s="186">
        <v>39</v>
      </c>
      <c r="I532" s="186">
        <v>0</v>
      </c>
      <c r="J532" s="186">
        <v>0</v>
      </c>
    </row>
    <row r="533" spans="1:10">
      <c r="A533" s="188">
        <v>42653</v>
      </c>
      <c r="B533" s="186" t="s">
        <v>554</v>
      </c>
      <c r="C533" s="262" t="s">
        <v>471</v>
      </c>
      <c r="D533" s="186">
        <v>0</v>
      </c>
      <c r="E533" s="186">
        <v>0</v>
      </c>
      <c r="F533" s="186">
        <v>0</v>
      </c>
      <c r="G533" s="258">
        <v>0</v>
      </c>
      <c r="H533" s="186">
        <v>7</v>
      </c>
      <c r="I533" s="186">
        <v>0</v>
      </c>
      <c r="J533" s="186">
        <v>0</v>
      </c>
    </row>
    <row r="534" spans="1:10">
      <c r="A534" s="188">
        <v>42653</v>
      </c>
      <c r="B534" s="186" t="s">
        <v>554</v>
      </c>
      <c r="C534" s="262" t="s">
        <v>510</v>
      </c>
      <c r="D534" s="186">
        <v>0</v>
      </c>
      <c r="E534" s="186">
        <v>0</v>
      </c>
      <c r="F534" s="186">
        <v>0</v>
      </c>
      <c r="G534" s="258">
        <v>0</v>
      </c>
      <c r="H534" s="186">
        <v>77</v>
      </c>
      <c r="I534" s="186">
        <v>0</v>
      </c>
      <c r="J534" s="186">
        <v>0</v>
      </c>
    </row>
    <row r="535" spans="1:10">
      <c r="A535" s="188">
        <v>42654</v>
      </c>
      <c r="B535" s="186" t="s">
        <v>459</v>
      </c>
      <c r="C535" s="262" t="s">
        <v>460</v>
      </c>
      <c r="D535" s="186">
        <v>4</v>
      </c>
      <c r="E535" s="186">
        <v>48</v>
      </c>
      <c r="F535" s="186">
        <v>0</v>
      </c>
      <c r="G535" s="258">
        <v>3</v>
      </c>
      <c r="H535" s="186">
        <v>2394</v>
      </c>
      <c r="I535" s="186">
        <v>48</v>
      </c>
      <c r="J535" s="186">
        <v>3</v>
      </c>
    </row>
    <row r="536" spans="1:10">
      <c r="A536" s="188">
        <v>42654</v>
      </c>
      <c r="B536" s="186" t="s">
        <v>459</v>
      </c>
      <c r="C536" s="262" t="s">
        <v>466</v>
      </c>
      <c r="D536" s="186">
        <v>0</v>
      </c>
      <c r="E536" s="186">
        <v>11</v>
      </c>
      <c r="F536" s="186">
        <v>0</v>
      </c>
      <c r="G536" s="258">
        <v>2</v>
      </c>
      <c r="H536" s="186">
        <v>263</v>
      </c>
      <c r="I536" s="186">
        <v>11</v>
      </c>
      <c r="J536" s="186">
        <v>2</v>
      </c>
    </row>
    <row r="537" spans="1:10">
      <c r="A537" s="188">
        <v>42654</v>
      </c>
      <c r="B537" s="186" t="s">
        <v>459</v>
      </c>
      <c r="C537" s="262" t="s">
        <v>470</v>
      </c>
      <c r="D537" s="186">
        <v>1</v>
      </c>
      <c r="E537" s="186">
        <v>4</v>
      </c>
      <c r="F537" s="186">
        <v>1</v>
      </c>
      <c r="G537" s="258">
        <v>2</v>
      </c>
      <c r="H537" s="186">
        <v>887</v>
      </c>
      <c r="I537" s="186">
        <v>4</v>
      </c>
      <c r="J537" s="186">
        <v>2</v>
      </c>
    </row>
    <row r="538" spans="1:10">
      <c r="A538" s="188">
        <v>42654</v>
      </c>
      <c r="B538" s="186" t="s">
        <v>459</v>
      </c>
      <c r="C538" s="262" t="s">
        <v>467</v>
      </c>
      <c r="D538" s="186">
        <v>5</v>
      </c>
      <c r="E538" s="186">
        <v>19</v>
      </c>
      <c r="F538" s="186">
        <v>0</v>
      </c>
      <c r="G538" s="258">
        <v>2</v>
      </c>
      <c r="H538" s="186">
        <v>1586</v>
      </c>
      <c r="I538" s="186">
        <v>19</v>
      </c>
      <c r="J538" s="186">
        <v>2</v>
      </c>
    </row>
    <row r="539" spans="1:10">
      <c r="A539" s="188">
        <v>42654</v>
      </c>
      <c r="B539" s="186" t="s">
        <v>459</v>
      </c>
      <c r="C539" s="262" t="s">
        <v>461</v>
      </c>
      <c r="D539" s="186">
        <v>0</v>
      </c>
      <c r="E539" s="186">
        <v>0</v>
      </c>
      <c r="F539" s="186">
        <v>0</v>
      </c>
      <c r="G539" s="258">
        <v>0</v>
      </c>
      <c r="H539" s="186">
        <v>4714</v>
      </c>
      <c r="I539" s="186">
        <v>0</v>
      </c>
      <c r="J539" s="186">
        <v>0</v>
      </c>
    </row>
    <row r="540" spans="1:10">
      <c r="A540" s="188">
        <v>42654</v>
      </c>
      <c r="B540" s="186" t="s">
        <v>459</v>
      </c>
      <c r="C540" s="262" t="s">
        <v>463</v>
      </c>
      <c r="D540" s="186">
        <v>0</v>
      </c>
      <c r="E540" s="186">
        <v>1</v>
      </c>
      <c r="F540" s="186">
        <v>0</v>
      </c>
      <c r="G540" s="258">
        <v>0</v>
      </c>
      <c r="H540" s="186">
        <v>6</v>
      </c>
      <c r="I540" s="186">
        <v>1</v>
      </c>
      <c r="J540" s="186">
        <v>0</v>
      </c>
    </row>
    <row r="541" spans="1:10">
      <c r="A541" s="188">
        <v>42654</v>
      </c>
      <c r="B541" s="186" t="s">
        <v>459</v>
      </c>
      <c r="C541" s="262" t="s">
        <v>464</v>
      </c>
      <c r="D541" s="186">
        <v>0</v>
      </c>
      <c r="E541" s="186">
        <v>0</v>
      </c>
      <c r="F541" s="186">
        <v>0</v>
      </c>
      <c r="G541" s="258">
        <v>0</v>
      </c>
      <c r="H541" s="186">
        <v>347</v>
      </c>
      <c r="I541" s="186">
        <v>0</v>
      </c>
      <c r="J541" s="186">
        <v>0</v>
      </c>
    </row>
    <row r="542" spans="1:10">
      <c r="A542" s="188">
        <v>42654</v>
      </c>
      <c r="B542" s="186" t="s">
        <v>459</v>
      </c>
      <c r="C542" s="262" t="s">
        <v>465</v>
      </c>
      <c r="D542" s="186">
        <v>0</v>
      </c>
      <c r="E542" s="186">
        <v>2</v>
      </c>
      <c r="F542" s="186">
        <v>0</v>
      </c>
      <c r="G542" s="258">
        <v>0</v>
      </c>
      <c r="H542" s="186">
        <v>176</v>
      </c>
      <c r="I542" s="186">
        <v>2</v>
      </c>
      <c r="J542" s="186">
        <v>0</v>
      </c>
    </row>
    <row r="543" spans="1:10">
      <c r="A543" s="188">
        <v>42654</v>
      </c>
      <c r="B543" s="186" t="s">
        <v>459</v>
      </c>
      <c r="C543" s="262" t="s">
        <v>472</v>
      </c>
      <c r="D543" s="186">
        <v>0</v>
      </c>
      <c r="E543" s="186">
        <v>0</v>
      </c>
      <c r="F543" s="186">
        <v>0</v>
      </c>
      <c r="G543" s="258">
        <v>0</v>
      </c>
      <c r="H543" s="186">
        <v>1</v>
      </c>
      <c r="I543" s="186">
        <v>0</v>
      </c>
      <c r="J543" s="186">
        <v>0</v>
      </c>
    </row>
    <row r="544" spans="1:10">
      <c r="A544" s="188">
        <v>42654</v>
      </c>
      <c r="B544" s="186" t="s">
        <v>459</v>
      </c>
      <c r="C544" s="262" t="s">
        <v>508</v>
      </c>
      <c r="D544" s="186">
        <v>0</v>
      </c>
      <c r="E544" s="186">
        <v>3</v>
      </c>
      <c r="F544" s="186">
        <v>0</v>
      </c>
      <c r="G544" s="258">
        <v>0</v>
      </c>
      <c r="H544" s="186">
        <v>80</v>
      </c>
      <c r="I544" s="186">
        <v>3</v>
      </c>
      <c r="J544" s="186">
        <v>0</v>
      </c>
    </row>
    <row r="545" spans="1:10">
      <c r="A545" s="188">
        <v>42654</v>
      </c>
      <c r="B545" s="186" t="s">
        <v>459</v>
      </c>
      <c r="C545" s="262" t="s">
        <v>508</v>
      </c>
      <c r="D545" s="186">
        <v>0</v>
      </c>
      <c r="E545" s="186">
        <v>3</v>
      </c>
      <c r="F545" s="186">
        <v>0</v>
      </c>
      <c r="G545" s="258">
        <v>0</v>
      </c>
      <c r="H545" s="186">
        <v>80</v>
      </c>
      <c r="I545" s="186">
        <v>3</v>
      </c>
      <c r="J545" s="186">
        <v>0</v>
      </c>
    </row>
    <row r="546" spans="1:10">
      <c r="A546" s="188">
        <v>42654</v>
      </c>
      <c r="B546" s="186" t="s">
        <v>459</v>
      </c>
      <c r="C546" s="262" t="s">
        <v>468</v>
      </c>
      <c r="D546" s="186">
        <v>0</v>
      </c>
      <c r="E546" s="186">
        <v>0</v>
      </c>
      <c r="F546" s="186">
        <v>0</v>
      </c>
      <c r="G546" s="258">
        <v>0</v>
      </c>
      <c r="H546" s="186">
        <v>56</v>
      </c>
      <c r="I546" s="186">
        <v>0</v>
      </c>
      <c r="J546" s="186">
        <v>0</v>
      </c>
    </row>
    <row r="547" spans="1:10">
      <c r="A547" s="188">
        <v>42654</v>
      </c>
      <c r="B547" s="186" t="s">
        <v>459</v>
      </c>
      <c r="C547" s="262" t="s">
        <v>469</v>
      </c>
      <c r="D547" s="186">
        <v>0</v>
      </c>
      <c r="E547" s="186">
        <v>0</v>
      </c>
      <c r="F547" s="186">
        <v>0</v>
      </c>
      <c r="G547" s="258">
        <v>0</v>
      </c>
      <c r="H547" s="186">
        <v>836</v>
      </c>
      <c r="I547" s="186">
        <v>0</v>
      </c>
      <c r="J547" s="186">
        <v>0</v>
      </c>
    </row>
    <row r="548" spans="1:10">
      <c r="A548" s="188">
        <v>42654</v>
      </c>
      <c r="B548" s="186" t="s">
        <v>459</v>
      </c>
      <c r="C548" s="262" t="s">
        <v>471</v>
      </c>
      <c r="D548" s="186">
        <v>0</v>
      </c>
      <c r="E548" s="186">
        <v>0</v>
      </c>
      <c r="F548" s="186">
        <v>0</v>
      </c>
      <c r="G548" s="258">
        <v>0</v>
      </c>
      <c r="H548" s="186">
        <v>59</v>
      </c>
      <c r="I548" s="186">
        <v>0</v>
      </c>
      <c r="J548" s="186">
        <v>0</v>
      </c>
    </row>
    <row r="549" spans="1:10">
      <c r="A549" s="188">
        <v>42654</v>
      </c>
      <c r="B549" s="186" t="s">
        <v>474</v>
      </c>
      <c r="C549" s="262" t="s">
        <v>465</v>
      </c>
      <c r="D549" s="186">
        <v>0</v>
      </c>
      <c r="E549" s="186">
        <v>3</v>
      </c>
      <c r="F549" s="186">
        <v>0</v>
      </c>
      <c r="G549" s="258">
        <v>1</v>
      </c>
      <c r="H549" s="186">
        <v>236</v>
      </c>
      <c r="I549" s="186">
        <v>3</v>
      </c>
      <c r="J549" s="186">
        <v>1</v>
      </c>
    </row>
    <row r="550" spans="1:10">
      <c r="A550" s="188">
        <v>42654</v>
      </c>
      <c r="B550" s="186" t="s">
        <v>474</v>
      </c>
      <c r="C550" s="262" t="s">
        <v>466</v>
      </c>
      <c r="D550" s="186">
        <v>1</v>
      </c>
      <c r="E550" s="186">
        <v>12</v>
      </c>
      <c r="F550" s="186">
        <v>0</v>
      </c>
      <c r="G550" s="258">
        <v>1</v>
      </c>
      <c r="H550" s="186">
        <v>579</v>
      </c>
      <c r="I550" s="186">
        <v>12</v>
      </c>
      <c r="J550" s="186">
        <v>1</v>
      </c>
    </row>
    <row r="551" spans="1:10">
      <c r="A551" s="188">
        <v>42654</v>
      </c>
      <c r="B551" s="186" t="s">
        <v>474</v>
      </c>
      <c r="C551" s="262" t="s">
        <v>462</v>
      </c>
      <c r="D551" s="186">
        <v>0</v>
      </c>
      <c r="E551" s="186">
        <v>0</v>
      </c>
      <c r="F551" s="186">
        <v>0</v>
      </c>
      <c r="G551" s="258">
        <v>0</v>
      </c>
      <c r="H551" s="186">
        <v>40</v>
      </c>
      <c r="I551" s="186">
        <v>0</v>
      </c>
      <c r="J551" s="186">
        <v>0</v>
      </c>
    </row>
    <row r="552" spans="1:10">
      <c r="A552" s="188">
        <v>42654</v>
      </c>
      <c r="B552" s="186" t="s">
        <v>474</v>
      </c>
      <c r="C552" s="262" t="s">
        <v>464</v>
      </c>
      <c r="D552" s="186">
        <v>0</v>
      </c>
      <c r="E552" s="186">
        <v>0</v>
      </c>
      <c r="F552" s="186">
        <v>0</v>
      </c>
      <c r="G552" s="258">
        <v>0</v>
      </c>
      <c r="H552" s="186">
        <v>46</v>
      </c>
      <c r="I552" s="186">
        <v>0</v>
      </c>
      <c r="J552" s="186">
        <v>0</v>
      </c>
    </row>
    <row r="553" spans="1:10">
      <c r="A553" s="188">
        <v>42654</v>
      </c>
      <c r="B553" s="186" t="s">
        <v>474</v>
      </c>
      <c r="C553" s="262" t="s">
        <v>472</v>
      </c>
      <c r="D553" s="186">
        <v>0</v>
      </c>
      <c r="E553" s="186">
        <v>0</v>
      </c>
      <c r="F553" s="186">
        <v>0</v>
      </c>
      <c r="G553" s="258">
        <v>0</v>
      </c>
      <c r="H553" s="186">
        <v>1</v>
      </c>
      <c r="I553" s="186">
        <v>0</v>
      </c>
      <c r="J553" s="186">
        <v>0</v>
      </c>
    </row>
    <row r="554" spans="1:10">
      <c r="A554" s="188">
        <v>42654</v>
      </c>
      <c r="B554" s="186" t="s">
        <v>474</v>
      </c>
      <c r="C554" s="262" t="s">
        <v>479</v>
      </c>
      <c r="D554" s="186">
        <v>0</v>
      </c>
      <c r="E554" s="186">
        <v>0</v>
      </c>
      <c r="F554" s="186">
        <v>0</v>
      </c>
      <c r="G554" s="258">
        <v>0</v>
      </c>
      <c r="H554" s="186">
        <v>1</v>
      </c>
      <c r="I554" s="186">
        <v>0</v>
      </c>
      <c r="J554" s="186">
        <v>0</v>
      </c>
    </row>
    <row r="555" spans="1:10">
      <c r="A555" s="188">
        <v>42654</v>
      </c>
      <c r="B555" s="186" t="s">
        <v>474</v>
      </c>
      <c r="C555" s="262" t="s">
        <v>480</v>
      </c>
      <c r="D555" s="186">
        <v>0</v>
      </c>
      <c r="E555" s="186">
        <v>1</v>
      </c>
      <c r="F555" s="186">
        <v>0</v>
      </c>
      <c r="G555" s="258">
        <v>0</v>
      </c>
      <c r="H555" s="186">
        <v>36</v>
      </c>
      <c r="I555" s="186">
        <v>1</v>
      </c>
      <c r="J555" s="186">
        <v>0</v>
      </c>
    </row>
    <row r="556" spans="1:10">
      <c r="A556" s="188">
        <v>42654</v>
      </c>
      <c r="B556" s="186" t="s">
        <v>474</v>
      </c>
      <c r="C556" s="262" t="s">
        <v>468</v>
      </c>
      <c r="D556" s="186">
        <v>0</v>
      </c>
      <c r="E556" s="186">
        <v>0</v>
      </c>
      <c r="F556" s="186">
        <v>0</v>
      </c>
      <c r="G556" s="258">
        <v>0</v>
      </c>
      <c r="H556" s="186">
        <v>3</v>
      </c>
      <c r="I556" s="186">
        <v>0</v>
      </c>
      <c r="J556" s="186">
        <v>0</v>
      </c>
    </row>
    <row r="557" spans="1:10">
      <c r="A557" s="188">
        <v>42654</v>
      </c>
      <c r="B557" s="186" t="s">
        <v>474</v>
      </c>
      <c r="C557" s="262" t="s">
        <v>469</v>
      </c>
      <c r="D557" s="186">
        <v>0</v>
      </c>
      <c r="E557" s="186">
        <v>0</v>
      </c>
      <c r="F557" s="186">
        <v>0</v>
      </c>
      <c r="G557" s="258">
        <v>0</v>
      </c>
      <c r="H557" s="186">
        <v>71</v>
      </c>
      <c r="I557" s="186">
        <v>0</v>
      </c>
      <c r="J557" s="186">
        <v>0</v>
      </c>
    </row>
    <row r="558" spans="1:10">
      <c r="A558" s="188">
        <v>42654</v>
      </c>
      <c r="B558" s="186" t="s">
        <v>474</v>
      </c>
      <c r="C558" s="262" t="s">
        <v>470</v>
      </c>
      <c r="D558" s="186">
        <v>0</v>
      </c>
      <c r="E558" s="186">
        <v>0</v>
      </c>
      <c r="F558" s="186">
        <v>0</v>
      </c>
      <c r="G558" s="258">
        <v>0</v>
      </c>
      <c r="H558" s="186">
        <v>149</v>
      </c>
      <c r="I558" s="186">
        <v>0</v>
      </c>
      <c r="J558" s="186">
        <v>0</v>
      </c>
    </row>
    <row r="559" spans="1:10">
      <c r="A559" s="188">
        <v>42654</v>
      </c>
      <c r="B559" s="186" t="s">
        <v>474</v>
      </c>
      <c r="C559" s="262" t="s">
        <v>471</v>
      </c>
      <c r="D559" s="186">
        <v>0</v>
      </c>
      <c r="E559" s="186">
        <v>0</v>
      </c>
      <c r="F559" s="186">
        <v>0</v>
      </c>
      <c r="G559" s="258">
        <v>0</v>
      </c>
      <c r="H559" s="186">
        <v>3</v>
      </c>
      <c r="I559" s="186">
        <v>0</v>
      </c>
      <c r="J559" s="186">
        <v>0</v>
      </c>
    </row>
    <row r="560" spans="1:10">
      <c r="A560" s="188">
        <v>42654</v>
      </c>
      <c r="B560" s="186" t="s">
        <v>193</v>
      </c>
      <c r="C560" s="262" t="s">
        <v>484</v>
      </c>
      <c r="D560" s="186">
        <v>0</v>
      </c>
      <c r="E560" s="186">
        <v>3</v>
      </c>
      <c r="F560" s="186">
        <v>0</v>
      </c>
      <c r="G560" s="258">
        <v>1</v>
      </c>
      <c r="H560" s="186">
        <v>0</v>
      </c>
      <c r="I560" s="186">
        <v>3</v>
      </c>
      <c r="J560" s="186">
        <v>1</v>
      </c>
    </row>
    <row r="561" spans="1:10">
      <c r="A561" s="188">
        <v>42654</v>
      </c>
      <c r="B561" s="186" t="s">
        <v>193</v>
      </c>
      <c r="C561" s="262" t="s">
        <v>463</v>
      </c>
      <c r="D561" s="186">
        <v>0</v>
      </c>
      <c r="E561" s="186">
        <v>0</v>
      </c>
      <c r="F561" s="186">
        <v>0</v>
      </c>
      <c r="G561" s="258">
        <v>0</v>
      </c>
      <c r="H561" s="186">
        <v>0</v>
      </c>
      <c r="I561" s="186">
        <v>0</v>
      </c>
      <c r="J561" s="186">
        <v>0</v>
      </c>
    </row>
    <row r="562" spans="1:10">
      <c r="A562" s="188">
        <v>42654</v>
      </c>
      <c r="B562" s="186" t="s">
        <v>227</v>
      </c>
      <c r="C562" s="262" t="s">
        <v>484</v>
      </c>
      <c r="D562" s="186">
        <v>0</v>
      </c>
      <c r="E562" s="186">
        <v>0</v>
      </c>
      <c r="F562" s="186">
        <v>0</v>
      </c>
      <c r="G562" s="258">
        <v>0</v>
      </c>
      <c r="H562" s="186">
        <v>22</v>
      </c>
      <c r="I562" s="186">
        <v>0</v>
      </c>
      <c r="J562" s="186">
        <v>0</v>
      </c>
    </row>
    <row r="563" spans="1:10">
      <c r="A563" s="188">
        <v>42654</v>
      </c>
      <c r="B563" s="186" t="s">
        <v>227</v>
      </c>
      <c r="C563" s="262" t="s">
        <v>487</v>
      </c>
      <c r="D563" s="186">
        <v>0</v>
      </c>
      <c r="E563" s="186">
        <v>0</v>
      </c>
      <c r="F563" s="186">
        <v>0</v>
      </c>
      <c r="G563" s="258">
        <v>0</v>
      </c>
      <c r="H563" s="186">
        <v>79</v>
      </c>
      <c r="I563" s="186">
        <v>0</v>
      </c>
      <c r="J563" s="186">
        <v>0</v>
      </c>
    </row>
    <row r="564" spans="1:10">
      <c r="A564" s="188">
        <v>42654</v>
      </c>
      <c r="B564" s="186" t="s">
        <v>227</v>
      </c>
      <c r="C564" s="262" t="s">
        <v>462</v>
      </c>
      <c r="D564" s="186">
        <v>0</v>
      </c>
      <c r="E564" s="186">
        <v>0</v>
      </c>
      <c r="F564" s="186">
        <v>0</v>
      </c>
      <c r="G564" s="258">
        <v>0</v>
      </c>
      <c r="H564" s="186">
        <v>335</v>
      </c>
      <c r="I564" s="186">
        <v>0</v>
      </c>
      <c r="J564" s="186">
        <v>0</v>
      </c>
    </row>
    <row r="565" spans="1:10">
      <c r="A565" s="188">
        <v>42654</v>
      </c>
      <c r="B565" s="186" t="s">
        <v>227</v>
      </c>
      <c r="C565" s="262" t="s">
        <v>464</v>
      </c>
      <c r="D565" s="186">
        <v>0</v>
      </c>
      <c r="E565" s="186">
        <v>0</v>
      </c>
      <c r="F565" s="186">
        <v>0</v>
      </c>
      <c r="G565" s="258">
        <v>0</v>
      </c>
      <c r="H565" s="186">
        <v>26</v>
      </c>
      <c r="I565" s="186">
        <v>0</v>
      </c>
      <c r="J565" s="186">
        <v>0</v>
      </c>
    </row>
    <row r="566" spans="1:10">
      <c r="A566" s="188">
        <v>42654</v>
      </c>
      <c r="B566" s="186" t="s">
        <v>227</v>
      </c>
      <c r="C566" s="262" t="s">
        <v>460</v>
      </c>
      <c r="D566" s="186">
        <v>0</v>
      </c>
      <c r="E566" s="186">
        <v>0</v>
      </c>
      <c r="F566" s="186">
        <v>0</v>
      </c>
      <c r="G566" s="258">
        <v>0</v>
      </c>
      <c r="H566" s="186">
        <v>1</v>
      </c>
      <c r="I566" s="186">
        <v>0</v>
      </c>
      <c r="J566" s="186">
        <v>0</v>
      </c>
    </row>
    <row r="567" spans="1:10">
      <c r="A567" s="188">
        <v>42654</v>
      </c>
      <c r="B567" s="186" t="s">
        <v>227</v>
      </c>
      <c r="C567" s="262" t="s">
        <v>465</v>
      </c>
      <c r="D567" s="186">
        <v>0</v>
      </c>
      <c r="E567" s="186">
        <v>1</v>
      </c>
      <c r="F567" s="186">
        <v>0</v>
      </c>
      <c r="G567" s="258">
        <v>0</v>
      </c>
      <c r="H567" s="186">
        <v>139</v>
      </c>
      <c r="I567" s="186">
        <v>1</v>
      </c>
      <c r="J567" s="186">
        <v>0</v>
      </c>
    </row>
    <row r="568" spans="1:10">
      <c r="A568" s="188">
        <v>42654</v>
      </c>
      <c r="B568" s="186" t="s">
        <v>227</v>
      </c>
      <c r="C568" s="262" t="s">
        <v>479</v>
      </c>
      <c r="D568" s="186">
        <v>0</v>
      </c>
      <c r="E568" s="186">
        <v>0</v>
      </c>
      <c r="F568" s="186">
        <v>0</v>
      </c>
      <c r="G568" s="258">
        <v>0</v>
      </c>
      <c r="H568" s="186">
        <v>63</v>
      </c>
      <c r="I568" s="186">
        <v>0</v>
      </c>
      <c r="J568" s="186">
        <v>0</v>
      </c>
    </row>
    <row r="569" spans="1:10">
      <c r="A569" s="188">
        <v>42654</v>
      </c>
      <c r="B569" s="186" t="s">
        <v>227</v>
      </c>
      <c r="C569" s="262" t="s">
        <v>508</v>
      </c>
      <c r="D569" s="186">
        <v>0</v>
      </c>
      <c r="E569" s="186">
        <v>0</v>
      </c>
      <c r="F569" s="186">
        <v>0</v>
      </c>
      <c r="G569" s="258">
        <v>0</v>
      </c>
      <c r="H569" s="186">
        <v>25</v>
      </c>
      <c r="I569" s="186">
        <v>0</v>
      </c>
      <c r="J569" s="186">
        <v>0</v>
      </c>
    </row>
    <row r="570" spans="1:10">
      <c r="A570" s="188">
        <v>42654</v>
      </c>
      <c r="B570" s="186" t="s">
        <v>227</v>
      </c>
      <c r="C570" s="262" t="s">
        <v>468</v>
      </c>
      <c r="D570" s="186">
        <v>0</v>
      </c>
      <c r="E570" s="186">
        <v>0</v>
      </c>
      <c r="F570" s="186">
        <v>0</v>
      </c>
      <c r="G570" s="258">
        <v>0</v>
      </c>
      <c r="H570" s="186">
        <v>45</v>
      </c>
      <c r="I570" s="186">
        <v>0</v>
      </c>
      <c r="J570" s="186">
        <v>0</v>
      </c>
    </row>
    <row r="571" spans="1:10">
      <c r="A571" s="188">
        <v>42654</v>
      </c>
      <c r="B571" s="186" t="s">
        <v>227</v>
      </c>
      <c r="C571" s="262" t="s">
        <v>469</v>
      </c>
      <c r="D571" s="186">
        <v>0</v>
      </c>
      <c r="E571" s="186">
        <v>0</v>
      </c>
      <c r="F571" s="186">
        <v>0</v>
      </c>
      <c r="G571" s="258">
        <v>0</v>
      </c>
      <c r="H571" s="186">
        <v>745</v>
      </c>
      <c r="I571" s="186">
        <v>0</v>
      </c>
      <c r="J571" s="186">
        <v>0</v>
      </c>
    </row>
    <row r="572" spans="1:10">
      <c r="A572" s="188">
        <v>42654</v>
      </c>
      <c r="B572" s="186" t="s">
        <v>227</v>
      </c>
      <c r="C572" s="262" t="s">
        <v>470</v>
      </c>
      <c r="D572" s="186">
        <v>0</v>
      </c>
      <c r="E572" s="186">
        <v>0</v>
      </c>
      <c r="F572" s="186">
        <v>0</v>
      </c>
      <c r="G572" s="258">
        <v>0</v>
      </c>
      <c r="H572" s="186">
        <v>72</v>
      </c>
      <c r="I572" s="186">
        <v>0</v>
      </c>
      <c r="J572" s="186">
        <v>0</v>
      </c>
    </row>
    <row r="573" spans="1:10">
      <c r="A573" s="188">
        <v>42654</v>
      </c>
      <c r="B573" s="186" t="s">
        <v>227</v>
      </c>
      <c r="C573" s="262" t="s">
        <v>471</v>
      </c>
      <c r="D573" s="186">
        <v>0</v>
      </c>
      <c r="E573" s="186">
        <v>0</v>
      </c>
      <c r="F573" s="186">
        <v>0</v>
      </c>
      <c r="G573" s="258">
        <v>0</v>
      </c>
      <c r="H573" s="186">
        <v>51</v>
      </c>
      <c r="I573" s="186">
        <v>0</v>
      </c>
      <c r="J573" s="186">
        <v>0</v>
      </c>
    </row>
    <row r="574" spans="1:10">
      <c r="A574" s="188">
        <v>42654</v>
      </c>
      <c r="B574" s="186" t="s">
        <v>226</v>
      </c>
      <c r="C574" s="262" t="s">
        <v>490</v>
      </c>
      <c r="D574" s="186">
        <v>1</v>
      </c>
      <c r="E574" s="186">
        <v>6</v>
      </c>
      <c r="F574" s="186">
        <v>0</v>
      </c>
      <c r="G574" s="258">
        <v>2</v>
      </c>
      <c r="H574" s="186">
        <v>177</v>
      </c>
      <c r="I574" s="186">
        <v>6</v>
      </c>
      <c r="J574" s="186">
        <v>2</v>
      </c>
    </row>
    <row r="575" spans="1:10">
      <c r="A575" s="188">
        <v>42654</v>
      </c>
      <c r="B575" s="186" t="s">
        <v>226</v>
      </c>
      <c r="C575" s="262" t="s">
        <v>465</v>
      </c>
      <c r="D575" s="186">
        <v>0</v>
      </c>
      <c r="E575" s="186">
        <v>12</v>
      </c>
      <c r="F575" s="186">
        <v>0</v>
      </c>
      <c r="G575" s="258">
        <v>2</v>
      </c>
      <c r="H575" s="186">
        <v>966</v>
      </c>
      <c r="I575" s="186">
        <v>12</v>
      </c>
      <c r="J575" s="186">
        <v>2</v>
      </c>
    </row>
    <row r="576" spans="1:10">
      <c r="A576" s="188">
        <v>42654</v>
      </c>
      <c r="B576" s="186" t="s">
        <v>226</v>
      </c>
      <c r="C576" s="262" t="s">
        <v>463</v>
      </c>
      <c r="D576" s="186">
        <v>0</v>
      </c>
      <c r="E576" s="186">
        <v>1</v>
      </c>
      <c r="F576" s="186">
        <v>0</v>
      </c>
      <c r="G576" s="258">
        <v>1</v>
      </c>
      <c r="H576" s="186">
        <v>0</v>
      </c>
      <c r="I576" s="186">
        <v>1</v>
      </c>
      <c r="J576" s="186">
        <v>1</v>
      </c>
    </row>
    <row r="577" spans="1:10">
      <c r="A577" s="188">
        <v>42654</v>
      </c>
      <c r="B577" s="186" t="s">
        <v>226</v>
      </c>
      <c r="C577" s="262" t="s">
        <v>489</v>
      </c>
      <c r="D577" s="186">
        <v>0</v>
      </c>
      <c r="E577" s="186">
        <v>1</v>
      </c>
      <c r="F577" s="186">
        <v>0</v>
      </c>
      <c r="G577" s="258">
        <v>1</v>
      </c>
      <c r="H577" s="186">
        <v>145</v>
      </c>
      <c r="I577" s="186">
        <v>1</v>
      </c>
      <c r="J577" s="186">
        <v>1</v>
      </c>
    </row>
    <row r="578" spans="1:10">
      <c r="A578" s="188">
        <v>42654</v>
      </c>
      <c r="B578" s="186" t="s">
        <v>226</v>
      </c>
      <c r="C578" s="262" t="s">
        <v>466</v>
      </c>
      <c r="D578" s="186">
        <v>1</v>
      </c>
      <c r="E578" s="186">
        <v>13</v>
      </c>
      <c r="F578" s="186">
        <v>0</v>
      </c>
      <c r="G578" s="258">
        <v>1</v>
      </c>
      <c r="H578" s="186">
        <v>402</v>
      </c>
      <c r="I578" s="186">
        <v>13</v>
      </c>
      <c r="J578" s="186">
        <v>1</v>
      </c>
    </row>
    <row r="579" spans="1:10">
      <c r="A579" s="188">
        <v>42654</v>
      </c>
      <c r="B579" s="186" t="s">
        <v>226</v>
      </c>
      <c r="C579" s="262" t="s">
        <v>461</v>
      </c>
      <c r="D579" s="186">
        <v>0</v>
      </c>
      <c r="E579" s="186">
        <v>0</v>
      </c>
      <c r="F579" s="186">
        <v>0</v>
      </c>
      <c r="G579" s="258">
        <v>0</v>
      </c>
      <c r="H579" s="186">
        <v>589</v>
      </c>
      <c r="I579" s="186">
        <v>0</v>
      </c>
      <c r="J579" s="186">
        <v>0</v>
      </c>
    </row>
    <row r="580" spans="1:10">
      <c r="A580" s="188">
        <v>42654</v>
      </c>
      <c r="B580" s="186" t="s">
        <v>226</v>
      </c>
      <c r="C580" s="262" t="s">
        <v>464</v>
      </c>
      <c r="D580" s="186">
        <v>0</v>
      </c>
      <c r="E580" s="186">
        <v>0</v>
      </c>
      <c r="F580" s="186">
        <v>0</v>
      </c>
      <c r="G580" s="258">
        <v>0</v>
      </c>
      <c r="H580" s="186">
        <v>131</v>
      </c>
      <c r="I580" s="186">
        <v>0</v>
      </c>
      <c r="J580" s="186">
        <v>0</v>
      </c>
    </row>
    <row r="581" spans="1:10">
      <c r="A581" s="188">
        <v>42654</v>
      </c>
      <c r="B581" s="186" t="s">
        <v>226</v>
      </c>
      <c r="C581" s="262" t="s">
        <v>460</v>
      </c>
      <c r="D581" s="186">
        <v>0</v>
      </c>
      <c r="E581" s="186">
        <v>0</v>
      </c>
      <c r="F581" s="186">
        <v>0</v>
      </c>
      <c r="G581" s="258">
        <v>0</v>
      </c>
      <c r="H581" s="186">
        <v>1</v>
      </c>
      <c r="I581" s="186">
        <v>0</v>
      </c>
      <c r="J581" s="186">
        <v>0</v>
      </c>
    </row>
    <row r="582" spans="1:10">
      <c r="A582" s="188">
        <v>42654</v>
      </c>
      <c r="B582" s="186" t="s">
        <v>226</v>
      </c>
      <c r="C582" s="262" t="s">
        <v>479</v>
      </c>
      <c r="D582" s="186">
        <v>0</v>
      </c>
      <c r="E582" s="186">
        <v>0</v>
      </c>
      <c r="F582" s="186">
        <v>0</v>
      </c>
      <c r="G582" s="258">
        <v>0</v>
      </c>
      <c r="H582" s="186">
        <v>180</v>
      </c>
      <c r="I582" s="186">
        <v>0</v>
      </c>
      <c r="J582" s="186">
        <v>0</v>
      </c>
    </row>
    <row r="583" spans="1:10">
      <c r="A583" s="188">
        <v>42654</v>
      </c>
      <c r="B583" s="186" t="s">
        <v>226</v>
      </c>
      <c r="C583" s="262" t="s">
        <v>468</v>
      </c>
      <c r="D583" s="186">
        <v>0</v>
      </c>
      <c r="E583" s="186">
        <v>0</v>
      </c>
      <c r="F583" s="186">
        <v>0</v>
      </c>
      <c r="G583" s="258">
        <v>0</v>
      </c>
      <c r="H583" s="186">
        <v>50</v>
      </c>
      <c r="I583" s="186">
        <v>0</v>
      </c>
      <c r="J583" s="186">
        <v>0</v>
      </c>
    </row>
    <row r="584" spans="1:10">
      <c r="A584" s="188">
        <v>42654</v>
      </c>
      <c r="B584" s="186" t="s">
        <v>226</v>
      </c>
      <c r="C584" s="262" t="s">
        <v>468</v>
      </c>
      <c r="D584" s="186">
        <v>0</v>
      </c>
      <c r="E584" s="186">
        <v>0</v>
      </c>
      <c r="F584" s="186">
        <v>0</v>
      </c>
      <c r="G584" s="258">
        <v>0</v>
      </c>
      <c r="H584" s="186">
        <v>50</v>
      </c>
      <c r="I584" s="186">
        <v>0</v>
      </c>
      <c r="J584" s="186">
        <v>0</v>
      </c>
    </row>
    <row r="585" spans="1:10">
      <c r="A585" s="188">
        <v>42654</v>
      </c>
      <c r="B585" s="186" t="s">
        <v>226</v>
      </c>
      <c r="C585" s="262" t="s">
        <v>469</v>
      </c>
      <c r="D585" s="186">
        <v>0</v>
      </c>
      <c r="E585" s="186">
        <v>0</v>
      </c>
      <c r="F585" s="186">
        <v>0</v>
      </c>
      <c r="G585" s="258">
        <v>0</v>
      </c>
      <c r="H585" s="186">
        <v>665</v>
      </c>
      <c r="I585" s="186">
        <v>0</v>
      </c>
      <c r="J585" s="186">
        <v>0</v>
      </c>
    </row>
    <row r="586" spans="1:10">
      <c r="A586" s="188">
        <v>42654</v>
      </c>
      <c r="B586" s="186" t="s">
        <v>226</v>
      </c>
      <c r="C586" s="262" t="s">
        <v>470</v>
      </c>
      <c r="D586" s="186">
        <v>0</v>
      </c>
      <c r="E586" s="186">
        <v>0</v>
      </c>
      <c r="F586" s="186">
        <v>0</v>
      </c>
      <c r="G586" s="258">
        <v>0</v>
      </c>
      <c r="H586" s="186">
        <v>91</v>
      </c>
      <c r="I586" s="186">
        <v>0</v>
      </c>
      <c r="J586" s="186">
        <v>0</v>
      </c>
    </row>
    <row r="587" spans="1:10">
      <c r="A587" s="188">
        <v>42654</v>
      </c>
      <c r="B587" s="186" t="s">
        <v>226</v>
      </c>
      <c r="C587" s="262" t="s">
        <v>471</v>
      </c>
      <c r="D587" s="186">
        <v>0</v>
      </c>
      <c r="E587" s="186">
        <v>0</v>
      </c>
      <c r="F587" s="186">
        <v>0</v>
      </c>
      <c r="G587" s="258">
        <v>0</v>
      </c>
      <c r="H587" s="186">
        <v>44</v>
      </c>
      <c r="I587" s="186">
        <v>0</v>
      </c>
      <c r="J587" s="186">
        <v>0</v>
      </c>
    </row>
    <row r="588" spans="1:10">
      <c r="A588" s="188">
        <v>42654</v>
      </c>
      <c r="B588" s="186" t="s">
        <v>554</v>
      </c>
      <c r="C588" s="262" t="s">
        <v>466</v>
      </c>
      <c r="D588" s="186">
        <v>0</v>
      </c>
      <c r="E588" s="186">
        <v>16</v>
      </c>
      <c r="F588" s="186">
        <v>0</v>
      </c>
      <c r="G588" s="258">
        <v>11</v>
      </c>
      <c r="H588" s="186">
        <v>27</v>
      </c>
      <c r="I588" s="186">
        <v>16</v>
      </c>
      <c r="J588" s="186">
        <v>11</v>
      </c>
    </row>
    <row r="589" spans="1:10">
      <c r="A589" s="188">
        <v>42654</v>
      </c>
      <c r="B589" s="186" t="s">
        <v>554</v>
      </c>
      <c r="C589" s="262" t="s">
        <v>465</v>
      </c>
      <c r="D589" s="186">
        <v>0</v>
      </c>
      <c r="E589" s="186">
        <v>4</v>
      </c>
      <c r="F589" s="186">
        <v>0</v>
      </c>
      <c r="G589" s="258">
        <v>2</v>
      </c>
      <c r="H589" s="186">
        <v>26</v>
      </c>
      <c r="I589" s="186">
        <v>4</v>
      </c>
      <c r="J589" s="186">
        <v>2</v>
      </c>
    </row>
    <row r="590" spans="1:10">
      <c r="A590" s="188">
        <v>42654</v>
      </c>
      <c r="B590" s="186" t="s">
        <v>554</v>
      </c>
      <c r="C590" s="262" t="s">
        <v>461</v>
      </c>
      <c r="D590" s="186">
        <v>0</v>
      </c>
      <c r="E590" s="186">
        <v>0</v>
      </c>
      <c r="F590" s="186">
        <v>0</v>
      </c>
      <c r="G590" s="258">
        <v>0</v>
      </c>
      <c r="H590" s="186">
        <v>196</v>
      </c>
      <c r="I590" s="186">
        <v>0</v>
      </c>
      <c r="J590" s="186">
        <v>0</v>
      </c>
    </row>
    <row r="591" spans="1:10">
      <c r="A591" s="188">
        <v>42654</v>
      </c>
      <c r="B591" s="186" t="s">
        <v>554</v>
      </c>
      <c r="C591" s="262" t="s">
        <v>487</v>
      </c>
      <c r="D591" s="186">
        <v>0</v>
      </c>
      <c r="E591" s="186">
        <v>1</v>
      </c>
      <c r="F591" s="186">
        <v>0</v>
      </c>
      <c r="G591" s="258">
        <v>0</v>
      </c>
      <c r="H591" s="186">
        <v>0</v>
      </c>
      <c r="I591" s="186">
        <v>1</v>
      </c>
      <c r="J591" s="186">
        <v>0</v>
      </c>
    </row>
    <row r="592" spans="1:10">
      <c r="A592" s="188">
        <v>42654</v>
      </c>
      <c r="B592" s="186" t="s">
        <v>554</v>
      </c>
      <c r="C592" s="262" t="s">
        <v>462</v>
      </c>
      <c r="D592" s="186">
        <v>0</v>
      </c>
      <c r="E592" s="186">
        <v>0</v>
      </c>
      <c r="F592" s="186">
        <v>0</v>
      </c>
      <c r="G592" s="258">
        <v>0</v>
      </c>
      <c r="H592" s="186">
        <v>67</v>
      </c>
      <c r="I592" s="186">
        <v>0</v>
      </c>
      <c r="J592" s="186">
        <v>0</v>
      </c>
    </row>
    <row r="593" spans="1:10">
      <c r="A593" s="188">
        <v>42654</v>
      </c>
      <c r="B593" s="186" t="s">
        <v>554</v>
      </c>
      <c r="C593" s="262" t="s">
        <v>463</v>
      </c>
      <c r="D593" s="186">
        <v>0</v>
      </c>
      <c r="E593" s="186">
        <v>0</v>
      </c>
      <c r="F593" s="186">
        <v>0</v>
      </c>
      <c r="G593" s="258">
        <v>0</v>
      </c>
      <c r="H593" s="186">
        <v>292</v>
      </c>
      <c r="I593" s="186">
        <v>0</v>
      </c>
      <c r="J593" s="186">
        <v>0</v>
      </c>
    </row>
    <row r="594" spans="1:10">
      <c r="A594" s="188">
        <v>42654</v>
      </c>
      <c r="B594" s="186" t="s">
        <v>554</v>
      </c>
      <c r="C594" s="262" t="s">
        <v>464</v>
      </c>
      <c r="D594" s="186">
        <v>0</v>
      </c>
      <c r="E594" s="186">
        <v>0</v>
      </c>
      <c r="F594" s="186">
        <v>0</v>
      </c>
      <c r="G594" s="258">
        <v>0</v>
      </c>
      <c r="H594" s="186">
        <v>37</v>
      </c>
      <c r="I594" s="186">
        <v>0</v>
      </c>
      <c r="J594" s="186">
        <v>0</v>
      </c>
    </row>
    <row r="595" spans="1:10">
      <c r="A595" s="188">
        <v>42654</v>
      </c>
      <c r="B595" s="186" t="s">
        <v>554</v>
      </c>
      <c r="C595" s="262" t="s">
        <v>490</v>
      </c>
      <c r="D595" s="186">
        <v>0</v>
      </c>
      <c r="E595" s="186">
        <v>0</v>
      </c>
      <c r="F595" s="186">
        <v>0</v>
      </c>
      <c r="G595" s="258">
        <v>0</v>
      </c>
      <c r="H595" s="186">
        <v>15</v>
      </c>
      <c r="I595" s="186">
        <v>0</v>
      </c>
      <c r="J595" s="186">
        <v>0</v>
      </c>
    </row>
    <row r="596" spans="1:10">
      <c r="A596" s="188">
        <v>42654</v>
      </c>
      <c r="B596" s="186" t="s">
        <v>554</v>
      </c>
      <c r="C596" s="262" t="s">
        <v>460</v>
      </c>
      <c r="D596" s="186">
        <v>0</v>
      </c>
      <c r="E596" s="186">
        <v>0</v>
      </c>
      <c r="F596" s="186">
        <v>0</v>
      </c>
      <c r="G596" s="258">
        <v>0</v>
      </c>
      <c r="H596" s="186">
        <v>94</v>
      </c>
      <c r="I596" s="186">
        <v>0</v>
      </c>
      <c r="J596" s="186">
        <v>0</v>
      </c>
    </row>
    <row r="597" spans="1:10">
      <c r="A597" s="188">
        <v>42654</v>
      </c>
      <c r="B597" s="186" t="s">
        <v>554</v>
      </c>
      <c r="C597" s="262" t="s">
        <v>472</v>
      </c>
      <c r="D597" s="186">
        <v>0</v>
      </c>
      <c r="E597" s="186">
        <v>0</v>
      </c>
      <c r="F597" s="186">
        <v>0</v>
      </c>
      <c r="G597" s="258">
        <v>0</v>
      </c>
      <c r="H597" s="186">
        <v>1</v>
      </c>
      <c r="I597" s="186">
        <v>0</v>
      </c>
      <c r="J597" s="186">
        <v>0</v>
      </c>
    </row>
    <row r="598" spans="1:10">
      <c r="A598" s="188">
        <v>42654</v>
      </c>
      <c r="B598" s="186" t="s">
        <v>554</v>
      </c>
      <c r="C598" s="262" t="s">
        <v>479</v>
      </c>
      <c r="D598" s="186">
        <v>0</v>
      </c>
      <c r="E598" s="186">
        <v>0</v>
      </c>
      <c r="F598" s="186">
        <v>0</v>
      </c>
      <c r="G598" s="258">
        <v>0</v>
      </c>
      <c r="H598" s="186">
        <v>83</v>
      </c>
      <c r="I598" s="186">
        <v>0</v>
      </c>
      <c r="J598" s="186">
        <v>0</v>
      </c>
    </row>
    <row r="599" spans="1:10">
      <c r="A599" s="188">
        <v>42654</v>
      </c>
      <c r="B599" s="186" t="s">
        <v>554</v>
      </c>
      <c r="C599" s="262" t="s">
        <v>480</v>
      </c>
      <c r="D599" s="186">
        <v>0</v>
      </c>
      <c r="E599" s="186">
        <v>0</v>
      </c>
      <c r="F599" s="186">
        <v>0</v>
      </c>
      <c r="G599" s="258">
        <v>0</v>
      </c>
      <c r="H599" s="186">
        <v>26</v>
      </c>
      <c r="I599" s="186">
        <v>0</v>
      </c>
      <c r="J599" s="186">
        <v>0</v>
      </c>
    </row>
    <row r="600" spans="1:10">
      <c r="A600" s="188">
        <v>42654</v>
      </c>
      <c r="B600" s="186" t="s">
        <v>554</v>
      </c>
      <c r="C600" s="262" t="s">
        <v>468</v>
      </c>
      <c r="D600" s="186">
        <v>0</v>
      </c>
      <c r="E600" s="186">
        <v>0</v>
      </c>
      <c r="F600" s="186">
        <v>0</v>
      </c>
      <c r="G600" s="258">
        <v>0</v>
      </c>
      <c r="H600" s="186">
        <v>14</v>
      </c>
      <c r="I600" s="186">
        <v>0</v>
      </c>
      <c r="J600" s="186">
        <v>0</v>
      </c>
    </row>
    <row r="601" spans="1:10">
      <c r="A601" s="188">
        <v>42654</v>
      </c>
      <c r="B601" s="186" t="s">
        <v>554</v>
      </c>
      <c r="C601" s="262" t="s">
        <v>489</v>
      </c>
      <c r="D601" s="186">
        <v>0</v>
      </c>
      <c r="E601" s="186">
        <v>0</v>
      </c>
      <c r="F601" s="186">
        <v>0</v>
      </c>
      <c r="G601" s="258">
        <v>0</v>
      </c>
      <c r="H601" s="186">
        <v>85</v>
      </c>
      <c r="I601" s="186">
        <v>0</v>
      </c>
      <c r="J601" s="186">
        <v>0</v>
      </c>
    </row>
    <row r="602" spans="1:10">
      <c r="A602" s="188">
        <v>42654</v>
      </c>
      <c r="B602" s="186" t="s">
        <v>554</v>
      </c>
      <c r="C602" s="262" t="s">
        <v>469</v>
      </c>
      <c r="D602" s="186">
        <v>0</v>
      </c>
      <c r="E602" s="186">
        <v>0</v>
      </c>
      <c r="F602" s="186">
        <v>0</v>
      </c>
      <c r="G602" s="258">
        <v>0</v>
      </c>
      <c r="H602" s="186">
        <v>105</v>
      </c>
      <c r="I602" s="186">
        <v>0</v>
      </c>
      <c r="J602" s="186">
        <v>0</v>
      </c>
    </row>
    <row r="603" spans="1:10">
      <c r="A603" s="188">
        <v>42654</v>
      </c>
      <c r="B603" s="186" t="s">
        <v>554</v>
      </c>
      <c r="C603" s="262" t="s">
        <v>470</v>
      </c>
      <c r="D603" s="186">
        <v>0</v>
      </c>
      <c r="E603" s="186">
        <v>0</v>
      </c>
      <c r="F603" s="186">
        <v>0</v>
      </c>
      <c r="G603" s="258">
        <v>0</v>
      </c>
      <c r="H603" s="186">
        <v>57</v>
      </c>
      <c r="I603" s="186">
        <v>0</v>
      </c>
      <c r="J603" s="186">
        <v>0</v>
      </c>
    </row>
    <row r="604" spans="1:10">
      <c r="A604" s="188">
        <v>42654</v>
      </c>
      <c r="B604" s="186" t="s">
        <v>554</v>
      </c>
      <c r="C604" s="262" t="s">
        <v>471</v>
      </c>
      <c r="D604" s="186">
        <v>0</v>
      </c>
      <c r="E604" s="186">
        <v>0</v>
      </c>
      <c r="F604" s="186">
        <v>0</v>
      </c>
      <c r="G604" s="258">
        <v>0</v>
      </c>
      <c r="H604" s="186">
        <v>10</v>
      </c>
      <c r="I604" s="186">
        <v>0</v>
      </c>
      <c r="J604" s="186">
        <v>0</v>
      </c>
    </row>
    <row r="605" spans="1:10">
      <c r="A605" s="188">
        <v>42654</v>
      </c>
      <c r="B605" s="186" t="s">
        <v>554</v>
      </c>
      <c r="C605" s="262" t="s">
        <v>510</v>
      </c>
      <c r="D605" s="186">
        <v>0</v>
      </c>
      <c r="E605" s="186">
        <v>0</v>
      </c>
      <c r="F605" s="186">
        <v>0</v>
      </c>
      <c r="G605" s="258">
        <v>0</v>
      </c>
      <c r="H605" s="186">
        <v>89</v>
      </c>
      <c r="I605" s="186">
        <v>0</v>
      </c>
      <c r="J605" s="186">
        <v>0</v>
      </c>
    </row>
    <row r="606" spans="1:10">
      <c r="A606" s="188">
        <v>42655</v>
      </c>
      <c r="B606" s="186" t="s">
        <v>459</v>
      </c>
      <c r="C606" s="262" t="s">
        <v>460</v>
      </c>
      <c r="D606" s="186">
        <v>3</v>
      </c>
      <c r="E606" s="186">
        <v>51</v>
      </c>
      <c r="F606" s="186">
        <v>0</v>
      </c>
      <c r="G606" s="258">
        <v>4</v>
      </c>
      <c r="H606" s="186">
        <v>2473</v>
      </c>
      <c r="I606" s="186">
        <v>51</v>
      </c>
      <c r="J606" s="186">
        <v>4</v>
      </c>
    </row>
    <row r="607" spans="1:10">
      <c r="A607" s="188">
        <v>42655</v>
      </c>
      <c r="B607" s="186" t="s">
        <v>459</v>
      </c>
      <c r="C607" s="262" t="s">
        <v>466</v>
      </c>
      <c r="D607" s="186">
        <v>0</v>
      </c>
      <c r="E607" s="186">
        <v>11</v>
      </c>
      <c r="F607" s="186">
        <v>0</v>
      </c>
      <c r="G607" s="258">
        <v>2</v>
      </c>
      <c r="H607" s="186">
        <v>263</v>
      </c>
      <c r="I607" s="186">
        <v>11</v>
      </c>
      <c r="J607" s="186">
        <v>2</v>
      </c>
    </row>
    <row r="608" spans="1:10">
      <c r="A608" s="188">
        <v>42655</v>
      </c>
      <c r="B608" s="186" t="s">
        <v>459</v>
      </c>
      <c r="C608" s="262" t="s">
        <v>470</v>
      </c>
      <c r="D608" s="186">
        <v>0</v>
      </c>
      <c r="E608" s="186">
        <v>4</v>
      </c>
      <c r="F608" s="186">
        <v>0</v>
      </c>
      <c r="G608" s="258">
        <v>2</v>
      </c>
      <c r="H608" s="186">
        <v>914</v>
      </c>
      <c r="I608" s="186">
        <v>4</v>
      </c>
      <c r="J608" s="186">
        <v>2</v>
      </c>
    </row>
    <row r="609" spans="1:10">
      <c r="A609" s="188">
        <v>42655</v>
      </c>
      <c r="B609" s="186" t="s">
        <v>459</v>
      </c>
      <c r="C609" s="262" t="s">
        <v>467</v>
      </c>
      <c r="D609" s="186">
        <v>4</v>
      </c>
      <c r="E609" s="186">
        <v>23</v>
      </c>
      <c r="F609" s="186">
        <v>0</v>
      </c>
      <c r="G609" s="258">
        <v>2</v>
      </c>
      <c r="H609" s="186">
        <v>1655</v>
      </c>
      <c r="I609" s="186">
        <v>23</v>
      </c>
      <c r="J609" s="186">
        <v>2</v>
      </c>
    </row>
    <row r="610" spans="1:10">
      <c r="A610" s="188">
        <v>42655</v>
      </c>
      <c r="B610" s="186" t="s">
        <v>459</v>
      </c>
      <c r="C610" s="262" t="s">
        <v>508</v>
      </c>
      <c r="D610" s="186">
        <v>1</v>
      </c>
      <c r="E610" s="186">
        <v>4</v>
      </c>
      <c r="F610" s="186">
        <v>1</v>
      </c>
      <c r="G610" s="258">
        <v>1</v>
      </c>
      <c r="H610" s="186">
        <v>80</v>
      </c>
      <c r="I610" s="186">
        <v>4</v>
      </c>
      <c r="J610" s="186">
        <v>1</v>
      </c>
    </row>
    <row r="611" spans="1:10">
      <c r="A611" s="188">
        <v>42655</v>
      </c>
      <c r="B611" s="186" t="s">
        <v>459</v>
      </c>
      <c r="C611" s="262" t="s">
        <v>461</v>
      </c>
      <c r="D611" s="186">
        <v>0</v>
      </c>
      <c r="E611" s="186">
        <v>0</v>
      </c>
      <c r="F611" s="186">
        <v>0</v>
      </c>
      <c r="G611" s="258">
        <v>0</v>
      </c>
      <c r="H611" s="186">
        <v>4942</v>
      </c>
      <c r="I611" s="186">
        <v>0</v>
      </c>
      <c r="J611" s="186">
        <v>0</v>
      </c>
    </row>
    <row r="612" spans="1:10">
      <c r="A612" s="188">
        <v>42655</v>
      </c>
      <c r="B612" s="186" t="s">
        <v>459</v>
      </c>
      <c r="C612" s="262" t="s">
        <v>463</v>
      </c>
      <c r="D612" s="186">
        <v>0</v>
      </c>
      <c r="E612" s="186">
        <v>1</v>
      </c>
      <c r="F612" s="186">
        <v>0</v>
      </c>
      <c r="G612" s="258">
        <v>0</v>
      </c>
      <c r="H612" s="186">
        <v>6</v>
      </c>
      <c r="I612" s="186">
        <v>1</v>
      </c>
      <c r="J612" s="186">
        <v>0</v>
      </c>
    </row>
    <row r="613" spans="1:10">
      <c r="A613" s="188">
        <v>42655</v>
      </c>
      <c r="B613" s="186" t="s">
        <v>459</v>
      </c>
      <c r="C613" s="262" t="s">
        <v>464</v>
      </c>
      <c r="D613" s="186">
        <v>0</v>
      </c>
      <c r="E613" s="186">
        <v>0</v>
      </c>
      <c r="F613" s="186">
        <v>0</v>
      </c>
      <c r="G613" s="258">
        <v>0</v>
      </c>
      <c r="H613" s="186">
        <v>359</v>
      </c>
      <c r="I613" s="186">
        <v>0</v>
      </c>
      <c r="J613" s="186">
        <v>0</v>
      </c>
    </row>
    <row r="614" spans="1:10">
      <c r="A614" s="188">
        <v>42655</v>
      </c>
      <c r="B614" s="186" t="s">
        <v>459</v>
      </c>
      <c r="C614" s="262" t="s">
        <v>465</v>
      </c>
      <c r="D614" s="186">
        <v>0</v>
      </c>
      <c r="E614" s="186">
        <v>2</v>
      </c>
      <c r="F614" s="186">
        <v>0</v>
      </c>
      <c r="G614" s="258">
        <v>0</v>
      </c>
      <c r="H614" s="186">
        <v>176</v>
      </c>
      <c r="I614" s="186">
        <v>2</v>
      </c>
      <c r="J614" s="186">
        <v>0</v>
      </c>
    </row>
    <row r="615" spans="1:10">
      <c r="A615" s="188">
        <v>42655</v>
      </c>
      <c r="B615" s="186" t="s">
        <v>459</v>
      </c>
      <c r="C615" s="262" t="s">
        <v>472</v>
      </c>
      <c r="D615" s="186">
        <v>0</v>
      </c>
      <c r="E615" s="186">
        <v>0</v>
      </c>
      <c r="F615" s="186">
        <v>0</v>
      </c>
      <c r="G615" s="258">
        <v>0</v>
      </c>
      <c r="H615" s="186">
        <v>1</v>
      </c>
      <c r="I615" s="186">
        <v>0</v>
      </c>
      <c r="J615" s="186">
        <v>0</v>
      </c>
    </row>
    <row r="616" spans="1:10">
      <c r="A616" s="188">
        <v>42655</v>
      </c>
      <c r="B616" s="186" t="s">
        <v>459</v>
      </c>
      <c r="C616" s="262" t="s">
        <v>472</v>
      </c>
      <c r="D616" s="186">
        <v>0</v>
      </c>
      <c r="E616" s="186">
        <v>0</v>
      </c>
      <c r="F616" s="186">
        <v>0</v>
      </c>
      <c r="G616" s="258">
        <v>0</v>
      </c>
      <c r="H616" s="186">
        <v>1</v>
      </c>
      <c r="I616" s="186">
        <v>0</v>
      </c>
      <c r="J616" s="186">
        <v>0</v>
      </c>
    </row>
    <row r="617" spans="1:10">
      <c r="A617" s="188">
        <v>42655</v>
      </c>
      <c r="B617" s="186" t="s">
        <v>459</v>
      </c>
      <c r="C617" s="262" t="s">
        <v>468</v>
      </c>
      <c r="D617" s="186">
        <v>0</v>
      </c>
      <c r="E617" s="186">
        <v>0</v>
      </c>
      <c r="F617" s="186">
        <v>0</v>
      </c>
      <c r="G617" s="258">
        <v>0</v>
      </c>
      <c r="H617" s="186">
        <v>62</v>
      </c>
      <c r="I617" s="186">
        <v>0</v>
      </c>
      <c r="J617" s="186">
        <v>0</v>
      </c>
    </row>
    <row r="618" spans="1:10">
      <c r="A618" s="188">
        <v>42655</v>
      </c>
      <c r="B618" s="186" t="s">
        <v>459</v>
      </c>
      <c r="C618" s="262" t="s">
        <v>469</v>
      </c>
      <c r="D618" s="186">
        <v>0</v>
      </c>
      <c r="E618" s="186">
        <v>0</v>
      </c>
      <c r="F618" s="186">
        <v>0</v>
      </c>
      <c r="G618" s="258">
        <v>0</v>
      </c>
      <c r="H618" s="186">
        <v>865</v>
      </c>
      <c r="I618" s="186">
        <v>0</v>
      </c>
      <c r="J618" s="186">
        <v>0</v>
      </c>
    </row>
    <row r="619" spans="1:10">
      <c r="A619" s="188">
        <v>42655</v>
      </c>
      <c r="B619" s="186" t="s">
        <v>459</v>
      </c>
      <c r="C619" s="262" t="s">
        <v>471</v>
      </c>
      <c r="D619" s="186">
        <v>0</v>
      </c>
      <c r="E619" s="186">
        <v>0</v>
      </c>
      <c r="F619" s="186">
        <v>0</v>
      </c>
      <c r="G619" s="258">
        <v>0</v>
      </c>
      <c r="H619" s="186">
        <v>64</v>
      </c>
      <c r="I619" s="186">
        <v>0</v>
      </c>
      <c r="J619" s="186">
        <v>0</v>
      </c>
    </row>
    <row r="620" spans="1:10">
      <c r="A620" s="188">
        <v>42655</v>
      </c>
      <c r="B620" s="186" t="s">
        <v>474</v>
      </c>
      <c r="C620" s="262" t="s">
        <v>465</v>
      </c>
      <c r="D620" s="186">
        <v>0</v>
      </c>
      <c r="E620" s="186">
        <v>3</v>
      </c>
      <c r="F620" s="186">
        <v>0</v>
      </c>
      <c r="G620" s="258">
        <v>1</v>
      </c>
      <c r="H620" s="186">
        <v>236</v>
      </c>
      <c r="I620" s="186">
        <v>3</v>
      </c>
      <c r="J620" s="186">
        <v>1</v>
      </c>
    </row>
    <row r="621" spans="1:10">
      <c r="A621" s="188">
        <v>42655</v>
      </c>
      <c r="B621" s="186" t="s">
        <v>474</v>
      </c>
      <c r="C621" s="262" t="s">
        <v>466</v>
      </c>
      <c r="D621" s="186">
        <v>2</v>
      </c>
      <c r="E621" s="186">
        <v>14</v>
      </c>
      <c r="F621" s="186">
        <v>0</v>
      </c>
      <c r="G621" s="258">
        <v>1</v>
      </c>
      <c r="H621" s="186">
        <v>579</v>
      </c>
      <c r="I621" s="186">
        <v>14</v>
      </c>
      <c r="J621" s="186">
        <v>1</v>
      </c>
    </row>
    <row r="622" spans="1:10">
      <c r="A622" s="188">
        <v>42655</v>
      </c>
      <c r="B622" s="186" t="s">
        <v>474</v>
      </c>
      <c r="C622" s="262" t="s">
        <v>462</v>
      </c>
      <c r="D622" s="186">
        <v>0</v>
      </c>
      <c r="E622" s="186">
        <v>0</v>
      </c>
      <c r="F622" s="186">
        <v>0</v>
      </c>
      <c r="G622" s="258">
        <v>0</v>
      </c>
      <c r="H622" s="186">
        <v>40</v>
      </c>
      <c r="I622" s="186">
        <v>0</v>
      </c>
      <c r="J622" s="186">
        <v>0</v>
      </c>
    </row>
    <row r="623" spans="1:10">
      <c r="A623" s="188">
        <v>42655</v>
      </c>
      <c r="B623" s="186" t="s">
        <v>474</v>
      </c>
      <c r="C623" s="262" t="s">
        <v>464</v>
      </c>
      <c r="D623" s="186">
        <v>0</v>
      </c>
      <c r="E623" s="186">
        <v>0</v>
      </c>
      <c r="F623" s="186">
        <v>0</v>
      </c>
      <c r="G623" s="258">
        <v>0</v>
      </c>
      <c r="H623" s="186">
        <v>46</v>
      </c>
      <c r="I623" s="186">
        <v>0</v>
      </c>
      <c r="J623" s="186">
        <v>0</v>
      </c>
    </row>
    <row r="624" spans="1:10">
      <c r="A624" s="188">
        <v>42655</v>
      </c>
      <c r="B624" s="186" t="s">
        <v>474</v>
      </c>
      <c r="C624" s="262" t="s">
        <v>472</v>
      </c>
      <c r="D624" s="186">
        <v>0</v>
      </c>
      <c r="E624" s="186">
        <v>0</v>
      </c>
      <c r="F624" s="186">
        <v>0</v>
      </c>
      <c r="G624" s="258">
        <v>0</v>
      </c>
      <c r="H624" s="186">
        <v>1</v>
      </c>
      <c r="I624" s="186">
        <v>0</v>
      </c>
      <c r="J624" s="186">
        <v>0</v>
      </c>
    </row>
    <row r="625" spans="1:10">
      <c r="A625" s="188">
        <v>42655</v>
      </c>
      <c r="B625" s="186" t="s">
        <v>474</v>
      </c>
      <c r="C625" s="262" t="s">
        <v>479</v>
      </c>
      <c r="D625" s="186">
        <v>0</v>
      </c>
      <c r="E625" s="186">
        <v>0</v>
      </c>
      <c r="F625" s="186">
        <v>0</v>
      </c>
      <c r="G625" s="258">
        <v>0</v>
      </c>
      <c r="H625" s="186">
        <v>1</v>
      </c>
      <c r="I625" s="186">
        <v>0</v>
      </c>
      <c r="J625" s="186">
        <v>0</v>
      </c>
    </row>
    <row r="626" spans="1:10">
      <c r="A626" s="188">
        <v>42655</v>
      </c>
      <c r="B626" s="186" t="s">
        <v>474</v>
      </c>
      <c r="C626" s="262" t="s">
        <v>480</v>
      </c>
      <c r="D626" s="186">
        <v>0</v>
      </c>
      <c r="E626" s="186">
        <v>1</v>
      </c>
      <c r="F626" s="186">
        <v>0</v>
      </c>
      <c r="G626" s="258">
        <v>0</v>
      </c>
      <c r="H626" s="186">
        <v>36</v>
      </c>
      <c r="I626" s="186">
        <v>1</v>
      </c>
      <c r="J626" s="186">
        <v>0</v>
      </c>
    </row>
    <row r="627" spans="1:10">
      <c r="A627" s="188">
        <v>42655</v>
      </c>
      <c r="B627" s="186" t="s">
        <v>474</v>
      </c>
      <c r="C627" s="262" t="s">
        <v>468</v>
      </c>
      <c r="D627" s="186">
        <v>0</v>
      </c>
      <c r="E627" s="186">
        <v>0</v>
      </c>
      <c r="F627" s="186">
        <v>0</v>
      </c>
      <c r="G627" s="258">
        <v>0</v>
      </c>
      <c r="H627" s="186">
        <v>3</v>
      </c>
      <c r="I627" s="186">
        <v>0</v>
      </c>
      <c r="J627" s="186">
        <v>0</v>
      </c>
    </row>
    <row r="628" spans="1:10">
      <c r="A628" s="188">
        <v>42655</v>
      </c>
      <c r="B628" s="186" t="s">
        <v>474</v>
      </c>
      <c r="C628" s="262" t="s">
        <v>469</v>
      </c>
      <c r="D628" s="186">
        <v>0</v>
      </c>
      <c r="E628" s="186">
        <v>0</v>
      </c>
      <c r="F628" s="186">
        <v>0</v>
      </c>
      <c r="G628" s="258">
        <v>0</v>
      </c>
      <c r="H628" s="186">
        <v>71</v>
      </c>
      <c r="I628" s="186">
        <v>0</v>
      </c>
      <c r="J628" s="186">
        <v>0</v>
      </c>
    </row>
    <row r="629" spans="1:10">
      <c r="A629" s="188">
        <v>42655</v>
      </c>
      <c r="B629" s="186" t="s">
        <v>474</v>
      </c>
      <c r="C629" s="262" t="s">
        <v>470</v>
      </c>
      <c r="D629" s="186">
        <v>0</v>
      </c>
      <c r="E629" s="186">
        <v>0</v>
      </c>
      <c r="F629" s="186">
        <v>0</v>
      </c>
      <c r="G629" s="258">
        <v>0</v>
      </c>
      <c r="H629" s="186">
        <v>149</v>
      </c>
      <c r="I629" s="186">
        <v>0</v>
      </c>
      <c r="J629" s="186">
        <v>0</v>
      </c>
    </row>
    <row r="630" spans="1:10">
      <c r="A630" s="188">
        <v>42655</v>
      </c>
      <c r="B630" s="186" t="s">
        <v>474</v>
      </c>
      <c r="C630" s="262" t="s">
        <v>471</v>
      </c>
      <c r="D630" s="186">
        <v>0</v>
      </c>
      <c r="E630" s="186">
        <v>0</v>
      </c>
      <c r="F630" s="186">
        <v>0</v>
      </c>
      <c r="G630" s="258">
        <v>0</v>
      </c>
      <c r="H630" s="186">
        <v>3</v>
      </c>
      <c r="I630" s="186">
        <v>0</v>
      </c>
      <c r="J630" s="186">
        <v>0</v>
      </c>
    </row>
    <row r="631" spans="1:10">
      <c r="A631" s="188">
        <v>42655</v>
      </c>
      <c r="B631" s="186" t="s">
        <v>193</v>
      </c>
      <c r="C631" s="262" t="s">
        <v>484</v>
      </c>
      <c r="D631" s="186">
        <v>0</v>
      </c>
      <c r="E631" s="186">
        <v>3</v>
      </c>
      <c r="F631" s="186">
        <v>0</v>
      </c>
      <c r="G631" s="258">
        <v>1</v>
      </c>
      <c r="H631" s="186">
        <v>0</v>
      </c>
      <c r="I631" s="186">
        <v>3</v>
      </c>
      <c r="J631" s="186">
        <v>1</v>
      </c>
    </row>
    <row r="632" spans="1:10">
      <c r="A632" s="188">
        <v>42655</v>
      </c>
      <c r="B632" s="186" t="s">
        <v>193</v>
      </c>
      <c r="C632" s="262" t="s">
        <v>463</v>
      </c>
      <c r="D632" s="186">
        <v>0</v>
      </c>
      <c r="E632" s="186">
        <v>0</v>
      </c>
      <c r="F632" s="186">
        <v>0</v>
      </c>
      <c r="G632" s="258">
        <v>0</v>
      </c>
      <c r="H632" s="186">
        <v>0</v>
      </c>
      <c r="I632" s="186">
        <v>0</v>
      </c>
      <c r="J632" s="186">
        <v>0</v>
      </c>
    </row>
    <row r="633" spans="1:10">
      <c r="A633" s="188">
        <v>42655</v>
      </c>
      <c r="B633" s="186" t="s">
        <v>227</v>
      </c>
      <c r="C633" s="262" t="s">
        <v>484</v>
      </c>
      <c r="D633" s="186">
        <v>0</v>
      </c>
      <c r="E633" s="186">
        <v>0</v>
      </c>
      <c r="F633" s="186">
        <v>0</v>
      </c>
      <c r="G633" s="258">
        <v>0</v>
      </c>
      <c r="H633" s="186">
        <v>35</v>
      </c>
      <c r="I633" s="186">
        <v>0</v>
      </c>
      <c r="J633" s="186">
        <v>0</v>
      </c>
    </row>
    <row r="634" spans="1:10">
      <c r="A634" s="188">
        <v>42655</v>
      </c>
      <c r="B634" s="186" t="s">
        <v>227</v>
      </c>
      <c r="C634" s="262" t="s">
        <v>487</v>
      </c>
      <c r="D634" s="186">
        <v>0</v>
      </c>
      <c r="E634" s="186">
        <v>0</v>
      </c>
      <c r="F634" s="186">
        <v>0</v>
      </c>
      <c r="G634" s="258">
        <v>0</v>
      </c>
      <c r="H634" s="186">
        <v>100</v>
      </c>
      <c r="I634" s="186">
        <v>0</v>
      </c>
      <c r="J634" s="186">
        <v>0</v>
      </c>
    </row>
    <row r="635" spans="1:10">
      <c r="A635" s="188">
        <v>42655</v>
      </c>
      <c r="B635" s="186" t="s">
        <v>227</v>
      </c>
      <c r="C635" s="262" t="s">
        <v>462</v>
      </c>
      <c r="D635" s="186">
        <v>0</v>
      </c>
      <c r="E635" s="186">
        <v>0</v>
      </c>
      <c r="F635" s="186">
        <v>0</v>
      </c>
      <c r="G635" s="258">
        <v>0</v>
      </c>
      <c r="H635" s="186">
        <v>346</v>
      </c>
      <c r="I635" s="186">
        <v>0</v>
      </c>
      <c r="J635" s="186">
        <v>0</v>
      </c>
    </row>
    <row r="636" spans="1:10">
      <c r="A636" s="188">
        <v>42655</v>
      </c>
      <c r="B636" s="186" t="s">
        <v>227</v>
      </c>
      <c r="C636" s="262" t="s">
        <v>464</v>
      </c>
      <c r="D636" s="186">
        <v>0</v>
      </c>
      <c r="E636" s="186">
        <v>0</v>
      </c>
      <c r="F636" s="186">
        <v>0</v>
      </c>
      <c r="G636" s="258">
        <v>0</v>
      </c>
      <c r="H636" s="186">
        <v>33</v>
      </c>
      <c r="I636" s="186">
        <v>0</v>
      </c>
      <c r="J636" s="186">
        <v>0</v>
      </c>
    </row>
    <row r="637" spans="1:10">
      <c r="A637" s="188">
        <v>42655</v>
      </c>
      <c r="B637" s="186" t="s">
        <v>227</v>
      </c>
      <c r="C637" s="262" t="s">
        <v>460</v>
      </c>
      <c r="D637" s="186">
        <v>0</v>
      </c>
      <c r="E637" s="186">
        <v>0</v>
      </c>
      <c r="F637" s="186">
        <v>0</v>
      </c>
      <c r="G637" s="258">
        <v>0</v>
      </c>
      <c r="H637" s="186">
        <v>1</v>
      </c>
      <c r="I637" s="186">
        <v>0</v>
      </c>
      <c r="J637" s="186">
        <v>0</v>
      </c>
    </row>
    <row r="638" spans="1:10">
      <c r="A638" s="188">
        <v>42655</v>
      </c>
      <c r="B638" s="186" t="s">
        <v>227</v>
      </c>
      <c r="C638" s="262" t="s">
        <v>465</v>
      </c>
      <c r="D638" s="186">
        <v>1</v>
      </c>
      <c r="E638" s="186">
        <v>2</v>
      </c>
      <c r="F638" s="186">
        <v>0</v>
      </c>
      <c r="G638" s="258">
        <v>0</v>
      </c>
      <c r="H638" s="186">
        <v>172</v>
      </c>
      <c r="I638" s="186">
        <v>2</v>
      </c>
      <c r="J638" s="186">
        <v>0</v>
      </c>
    </row>
    <row r="639" spans="1:10">
      <c r="A639" s="188">
        <v>42655</v>
      </c>
      <c r="B639" s="186" t="s">
        <v>227</v>
      </c>
      <c r="C639" s="262" t="s">
        <v>479</v>
      </c>
      <c r="D639" s="186">
        <v>0</v>
      </c>
      <c r="E639" s="186">
        <v>0</v>
      </c>
      <c r="F639" s="186">
        <v>0</v>
      </c>
      <c r="G639" s="258">
        <v>0</v>
      </c>
      <c r="H639" s="186">
        <v>79</v>
      </c>
      <c r="I639" s="186">
        <v>0</v>
      </c>
      <c r="J639" s="186">
        <v>0</v>
      </c>
    </row>
    <row r="640" spans="1:10">
      <c r="A640" s="188">
        <v>42655</v>
      </c>
      <c r="B640" s="186" t="s">
        <v>227</v>
      </c>
      <c r="C640" s="262" t="s">
        <v>508</v>
      </c>
      <c r="D640" s="186">
        <v>0</v>
      </c>
      <c r="E640" s="186">
        <v>0</v>
      </c>
      <c r="F640" s="186">
        <v>0</v>
      </c>
      <c r="G640" s="258">
        <v>0</v>
      </c>
      <c r="H640" s="186">
        <v>25</v>
      </c>
      <c r="I640" s="186">
        <v>0</v>
      </c>
      <c r="J640" s="186">
        <v>0</v>
      </c>
    </row>
    <row r="641" spans="1:10">
      <c r="A641" s="188">
        <v>42655</v>
      </c>
      <c r="B641" s="186" t="s">
        <v>227</v>
      </c>
      <c r="C641" s="262" t="s">
        <v>468</v>
      </c>
      <c r="D641" s="186">
        <v>0</v>
      </c>
      <c r="E641" s="186">
        <v>0</v>
      </c>
      <c r="F641" s="186">
        <v>0</v>
      </c>
      <c r="G641" s="258">
        <v>0</v>
      </c>
      <c r="H641" s="186">
        <v>47</v>
      </c>
      <c r="I641" s="186">
        <v>0</v>
      </c>
      <c r="J641" s="186">
        <v>0</v>
      </c>
    </row>
    <row r="642" spans="1:10">
      <c r="A642" s="188">
        <v>42655</v>
      </c>
      <c r="B642" s="186" t="s">
        <v>227</v>
      </c>
      <c r="C642" s="262" t="s">
        <v>469</v>
      </c>
      <c r="D642" s="186">
        <v>0</v>
      </c>
      <c r="E642" s="186">
        <v>0</v>
      </c>
      <c r="F642" s="186">
        <v>0</v>
      </c>
      <c r="G642" s="258">
        <v>0</v>
      </c>
      <c r="H642" s="186">
        <v>780</v>
      </c>
      <c r="I642" s="186">
        <v>0</v>
      </c>
      <c r="J642" s="186">
        <v>0</v>
      </c>
    </row>
    <row r="643" spans="1:10">
      <c r="A643" s="188">
        <v>42655</v>
      </c>
      <c r="B643" s="186" t="s">
        <v>227</v>
      </c>
      <c r="C643" s="262" t="s">
        <v>470</v>
      </c>
      <c r="D643" s="186">
        <v>0</v>
      </c>
      <c r="E643" s="186">
        <v>0</v>
      </c>
      <c r="F643" s="186">
        <v>0</v>
      </c>
      <c r="G643" s="258">
        <v>0</v>
      </c>
      <c r="H643" s="186">
        <v>90</v>
      </c>
      <c r="I643" s="186">
        <v>0</v>
      </c>
      <c r="J643" s="186">
        <v>0</v>
      </c>
    </row>
    <row r="644" spans="1:10">
      <c r="A644" s="188">
        <v>42655</v>
      </c>
      <c r="B644" s="186" t="s">
        <v>227</v>
      </c>
      <c r="C644" s="262" t="s">
        <v>471</v>
      </c>
      <c r="D644" s="186">
        <v>0</v>
      </c>
      <c r="E644" s="186">
        <v>0</v>
      </c>
      <c r="F644" s="186">
        <v>0</v>
      </c>
      <c r="G644" s="258">
        <v>0</v>
      </c>
      <c r="H644" s="186">
        <v>54</v>
      </c>
      <c r="I644" s="186">
        <v>0</v>
      </c>
      <c r="J644" s="186">
        <v>0</v>
      </c>
    </row>
    <row r="645" spans="1:10">
      <c r="A645" s="188">
        <v>42655</v>
      </c>
      <c r="B645" s="186" t="s">
        <v>226</v>
      </c>
      <c r="C645" s="262" t="s">
        <v>490</v>
      </c>
      <c r="D645" s="186">
        <v>0</v>
      </c>
      <c r="E645" s="186">
        <v>6</v>
      </c>
      <c r="F645" s="186">
        <v>0</v>
      </c>
      <c r="G645" s="258">
        <v>2</v>
      </c>
      <c r="H645" s="186">
        <v>204</v>
      </c>
      <c r="I645" s="186">
        <v>6</v>
      </c>
      <c r="J645" s="186">
        <v>2</v>
      </c>
    </row>
    <row r="646" spans="1:10">
      <c r="A646" s="188">
        <v>42655</v>
      </c>
      <c r="B646" s="186" t="s">
        <v>226</v>
      </c>
      <c r="C646" s="262" t="s">
        <v>465</v>
      </c>
      <c r="D646" s="186">
        <v>0</v>
      </c>
      <c r="E646" s="186">
        <v>12</v>
      </c>
      <c r="F646" s="186">
        <v>0</v>
      </c>
      <c r="G646" s="258">
        <v>2</v>
      </c>
      <c r="H646" s="186">
        <v>1038</v>
      </c>
      <c r="I646" s="186">
        <v>12</v>
      </c>
      <c r="J646" s="186">
        <v>2</v>
      </c>
    </row>
    <row r="647" spans="1:10">
      <c r="A647" s="188">
        <v>42655</v>
      </c>
      <c r="B647" s="186" t="s">
        <v>226</v>
      </c>
      <c r="C647" s="262" t="s">
        <v>463</v>
      </c>
      <c r="D647" s="186">
        <v>0</v>
      </c>
      <c r="E647" s="186">
        <v>1</v>
      </c>
      <c r="F647" s="186">
        <v>0</v>
      </c>
      <c r="G647" s="258">
        <v>1</v>
      </c>
      <c r="H647" s="186">
        <v>0</v>
      </c>
      <c r="I647" s="186">
        <v>1</v>
      </c>
      <c r="J647" s="186">
        <v>1</v>
      </c>
    </row>
    <row r="648" spans="1:10">
      <c r="A648" s="188">
        <v>42655</v>
      </c>
      <c r="B648" s="186" t="s">
        <v>226</v>
      </c>
      <c r="C648" s="262" t="s">
        <v>489</v>
      </c>
      <c r="D648" s="186">
        <v>0</v>
      </c>
      <c r="E648" s="186">
        <v>1</v>
      </c>
      <c r="F648" s="186">
        <v>0</v>
      </c>
      <c r="G648" s="258">
        <v>1</v>
      </c>
      <c r="H648" s="186">
        <v>175</v>
      </c>
      <c r="I648" s="186">
        <v>1</v>
      </c>
      <c r="J648" s="186">
        <v>1</v>
      </c>
    </row>
    <row r="649" spans="1:10">
      <c r="A649" s="188">
        <v>42655</v>
      </c>
      <c r="B649" s="186" t="s">
        <v>226</v>
      </c>
      <c r="C649" s="262" t="s">
        <v>466</v>
      </c>
      <c r="D649" s="186">
        <v>1</v>
      </c>
      <c r="E649" s="186">
        <v>14</v>
      </c>
      <c r="F649" s="186">
        <v>0</v>
      </c>
      <c r="G649" s="258">
        <v>1</v>
      </c>
      <c r="H649" s="186">
        <v>402</v>
      </c>
      <c r="I649" s="186">
        <v>14</v>
      </c>
      <c r="J649" s="186">
        <v>1</v>
      </c>
    </row>
    <row r="650" spans="1:10">
      <c r="A650" s="188">
        <v>42655</v>
      </c>
      <c r="B650" s="186" t="s">
        <v>226</v>
      </c>
      <c r="C650" s="262" t="s">
        <v>461</v>
      </c>
      <c r="D650" s="186">
        <v>0</v>
      </c>
      <c r="E650" s="186">
        <v>0</v>
      </c>
      <c r="F650" s="186">
        <v>0</v>
      </c>
      <c r="G650" s="258">
        <v>0</v>
      </c>
      <c r="H650" s="186">
        <v>741</v>
      </c>
      <c r="I650" s="186">
        <v>0</v>
      </c>
      <c r="J650" s="186">
        <v>0</v>
      </c>
    </row>
    <row r="651" spans="1:10">
      <c r="A651" s="188">
        <v>42655</v>
      </c>
      <c r="B651" s="186" t="s">
        <v>226</v>
      </c>
      <c r="C651" s="262" t="s">
        <v>464</v>
      </c>
      <c r="D651" s="186">
        <v>0</v>
      </c>
      <c r="E651" s="186">
        <v>0</v>
      </c>
      <c r="F651" s="186">
        <v>0</v>
      </c>
      <c r="G651" s="258">
        <v>0</v>
      </c>
      <c r="H651" s="186">
        <v>138</v>
      </c>
      <c r="I651" s="186">
        <v>0</v>
      </c>
      <c r="J651" s="186">
        <v>0</v>
      </c>
    </row>
    <row r="652" spans="1:10">
      <c r="A652" s="188">
        <v>42655</v>
      </c>
      <c r="B652" s="186" t="s">
        <v>226</v>
      </c>
      <c r="C652" s="262" t="s">
        <v>460</v>
      </c>
      <c r="D652" s="186">
        <v>0</v>
      </c>
      <c r="E652" s="186">
        <v>0</v>
      </c>
      <c r="F652" s="186">
        <v>0</v>
      </c>
      <c r="G652" s="258">
        <v>0</v>
      </c>
      <c r="H652" s="186">
        <v>1</v>
      </c>
      <c r="I652" s="186">
        <v>0</v>
      </c>
      <c r="J652" s="186">
        <v>0</v>
      </c>
    </row>
    <row r="653" spans="1:10">
      <c r="A653" s="188">
        <v>42655</v>
      </c>
      <c r="B653" s="186" t="s">
        <v>226</v>
      </c>
      <c r="C653" s="262" t="s">
        <v>479</v>
      </c>
      <c r="D653" s="186">
        <v>0</v>
      </c>
      <c r="E653" s="186">
        <v>0</v>
      </c>
      <c r="F653" s="186">
        <v>0</v>
      </c>
      <c r="G653" s="258">
        <v>0</v>
      </c>
      <c r="H653" s="186">
        <v>203</v>
      </c>
      <c r="I653" s="186">
        <v>0</v>
      </c>
      <c r="J653" s="186">
        <v>0</v>
      </c>
    </row>
    <row r="654" spans="1:10">
      <c r="A654" s="188">
        <v>42655</v>
      </c>
      <c r="B654" s="186" t="s">
        <v>226</v>
      </c>
      <c r="C654" s="262" t="s">
        <v>468</v>
      </c>
      <c r="D654" s="186">
        <v>0</v>
      </c>
      <c r="E654" s="186">
        <v>0</v>
      </c>
      <c r="F654" s="186">
        <v>0</v>
      </c>
      <c r="G654" s="258">
        <v>0</v>
      </c>
      <c r="H654" s="186">
        <v>52</v>
      </c>
      <c r="I654" s="186">
        <v>0</v>
      </c>
      <c r="J654" s="186">
        <v>0</v>
      </c>
    </row>
    <row r="655" spans="1:10">
      <c r="A655" s="188">
        <v>42655</v>
      </c>
      <c r="B655" s="186" t="s">
        <v>226</v>
      </c>
      <c r="C655" s="262" t="s">
        <v>468</v>
      </c>
      <c r="D655" s="186">
        <v>0</v>
      </c>
      <c r="E655" s="186">
        <v>0</v>
      </c>
      <c r="F655" s="186">
        <v>0</v>
      </c>
      <c r="G655" s="258">
        <v>0</v>
      </c>
      <c r="H655" s="186">
        <v>52</v>
      </c>
      <c r="I655" s="186">
        <v>0</v>
      </c>
      <c r="J655" s="186">
        <v>0</v>
      </c>
    </row>
    <row r="656" spans="1:10">
      <c r="A656" s="188">
        <v>42655</v>
      </c>
      <c r="B656" s="186" t="s">
        <v>226</v>
      </c>
      <c r="C656" s="262" t="s">
        <v>469</v>
      </c>
      <c r="D656" s="186">
        <v>0</v>
      </c>
      <c r="E656" s="186">
        <v>0</v>
      </c>
      <c r="F656" s="186">
        <v>0</v>
      </c>
      <c r="G656" s="258">
        <v>0</v>
      </c>
      <c r="H656" s="186">
        <v>688</v>
      </c>
      <c r="I656" s="186">
        <v>0</v>
      </c>
      <c r="J656" s="186">
        <v>0</v>
      </c>
    </row>
    <row r="657" spans="1:10">
      <c r="A657" s="188">
        <v>42655</v>
      </c>
      <c r="B657" s="186" t="s">
        <v>226</v>
      </c>
      <c r="C657" s="262" t="s">
        <v>470</v>
      </c>
      <c r="D657" s="186">
        <v>0</v>
      </c>
      <c r="E657" s="186">
        <v>0</v>
      </c>
      <c r="F657" s="186">
        <v>0</v>
      </c>
      <c r="G657" s="258">
        <v>0</v>
      </c>
      <c r="H657" s="186">
        <v>107</v>
      </c>
      <c r="I657" s="186">
        <v>0</v>
      </c>
      <c r="J657" s="186">
        <v>0</v>
      </c>
    </row>
    <row r="658" spans="1:10">
      <c r="A658" s="188">
        <v>42655</v>
      </c>
      <c r="B658" s="186" t="s">
        <v>226</v>
      </c>
      <c r="C658" s="262" t="s">
        <v>471</v>
      </c>
      <c r="D658" s="186">
        <v>0</v>
      </c>
      <c r="E658" s="186">
        <v>0</v>
      </c>
      <c r="F658" s="186">
        <v>0</v>
      </c>
      <c r="G658" s="258">
        <v>0</v>
      </c>
      <c r="H658" s="186">
        <v>47</v>
      </c>
      <c r="I658" s="186">
        <v>0</v>
      </c>
      <c r="J658" s="186">
        <v>0</v>
      </c>
    </row>
    <row r="659" spans="1:10">
      <c r="A659" s="188">
        <v>42655</v>
      </c>
      <c r="B659" s="186" t="s">
        <v>554</v>
      </c>
      <c r="C659" s="262" t="s">
        <v>466</v>
      </c>
      <c r="D659" s="186">
        <v>0</v>
      </c>
      <c r="E659" s="186">
        <v>16</v>
      </c>
      <c r="F659" s="186">
        <v>0</v>
      </c>
      <c r="G659" s="258">
        <v>11</v>
      </c>
      <c r="H659" s="186">
        <v>27</v>
      </c>
      <c r="I659" s="186">
        <v>16</v>
      </c>
      <c r="J659" s="186">
        <v>11</v>
      </c>
    </row>
    <row r="660" spans="1:10">
      <c r="A660" s="188">
        <v>42655</v>
      </c>
      <c r="B660" s="186" t="s">
        <v>554</v>
      </c>
      <c r="C660" s="262" t="s">
        <v>465</v>
      </c>
      <c r="D660" s="186">
        <v>0</v>
      </c>
      <c r="E660" s="186">
        <v>4</v>
      </c>
      <c r="F660" s="186">
        <v>0</v>
      </c>
      <c r="G660" s="258">
        <v>2</v>
      </c>
      <c r="H660" s="186">
        <v>26</v>
      </c>
      <c r="I660" s="186">
        <v>4</v>
      </c>
      <c r="J660" s="186">
        <v>2</v>
      </c>
    </row>
    <row r="661" spans="1:10">
      <c r="A661" s="188">
        <v>42655</v>
      </c>
      <c r="B661" s="186" t="s">
        <v>554</v>
      </c>
      <c r="C661" s="262" t="s">
        <v>489</v>
      </c>
      <c r="D661" s="186">
        <v>1</v>
      </c>
      <c r="E661" s="186">
        <v>1</v>
      </c>
      <c r="F661" s="186">
        <v>1</v>
      </c>
      <c r="G661" s="258">
        <v>1</v>
      </c>
      <c r="H661" s="186">
        <v>121</v>
      </c>
      <c r="I661" s="186">
        <v>1</v>
      </c>
      <c r="J661" s="186">
        <v>1</v>
      </c>
    </row>
    <row r="662" spans="1:10">
      <c r="A662" s="188">
        <v>42655</v>
      </c>
      <c r="B662" s="186" t="s">
        <v>554</v>
      </c>
      <c r="C662" s="262" t="s">
        <v>510</v>
      </c>
      <c r="D662" s="186">
        <v>1</v>
      </c>
      <c r="E662" s="186">
        <v>1</v>
      </c>
      <c r="F662" s="186">
        <v>1</v>
      </c>
      <c r="G662" s="258">
        <v>1</v>
      </c>
      <c r="H662" s="186">
        <v>103</v>
      </c>
      <c r="I662" s="186">
        <v>1</v>
      </c>
      <c r="J662" s="186">
        <v>1</v>
      </c>
    </row>
    <row r="663" spans="1:10">
      <c r="A663" s="188">
        <v>42655</v>
      </c>
      <c r="B663" s="186" t="s">
        <v>554</v>
      </c>
      <c r="C663" s="262" t="s">
        <v>461</v>
      </c>
      <c r="D663" s="186">
        <v>0</v>
      </c>
      <c r="E663" s="186">
        <v>0</v>
      </c>
      <c r="F663" s="186">
        <v>0</v>
      </c>
      <c r="G663" s="258">
        <v>0</v>
      </c>
      <c r="H663" s="186">
        <v>287</v>
      </c>
      <c r="I663" s="186">
        <v>0</v>
      </c>
      <c r="J663" s="186">
        <v>0</v>
      </c>
    </row>
    <row r="664" spans="1:10">
      <c r="A664" s="188">
        <v>42655</v>
      </c>
      <c r="B664" s="186" t="s">
        <v>554</v>
      </c>
      <c r="C664" s="262" t="s">
        <v>463</v>
      </c>
      <c r="D664" s="186">
        <v>0</v>
      </c>
      <c r="E664" s="186">
        <v>0</v>
      </c>
      <c r="F664" s="186">
        <v>0</v>
      </c>
      <c r="G664" s="258">
        <v>0</v>
      </c>
      <c r="H664" s="186">
        <v>416</v>
      </c>
      <c r="I664" s="186">
        <v>0</v>
      </c>
      <c r="J664" s="186">
        <v>0</v>
      </c>
    </row>
    <row r="665" spans="1:10">
      <c r="A665" s="188">
        <v>42655</v>
      </c>
      <c r="B665" s="186" t="s">
        <v>554</v>
      </c>
      <c r="C665" s="262" t="s">
        <v>464</v>
      </c>
      <c r="D665" s="186">
        <v>0</v>
      </c>
      <c r="E665" s="186">
        <v>0</v>
      </c>
      <c r="F665" s="186">
        <v>0</v>
      </c>
      <c r="G665" s="258">
        <v>0</v>
      </c>
      <c r="H665" s="186">
        <v>51</v>
      </c>
      <c r="I665" s="186">
        <v>0</v>
      </c>
      <c r="J665" s="186">
        <v>0</v>
      </c>
    </row>
    <row r="666" spans="1:10">
      <c r="A666" s="188">
        <v>42655</v>
      </c>
      <c r="B666" s="186" t="s">
        <v>554</v>
      </c>
      <c r="C666" s="262" t="s">
        <v>490</v>
      </c>
      <c r="D666" s="186">
        <v>0</v>
      </c>
      <c r="E666" s="186">
        <v>0</v>
      </c>
      <c r="F666" s="186">
        <v>0</v>
      </c>
      <c r="G666" s="258">
        <v>0</v>
      </c>
      <c r="H666" s="186">
        <v>25</v>
      </c>
      <c r="I666" s="186">
        <v>0</v>
      </c>
      <c r="J666" s="186">
        <v>0</v>
      </c>
    </row>
    <row r="667" spans="1:10">
      <c r="A667" s="188">
        <v>42655</v>
      </c>
      <c r="B667" s="186" t="s">
        <v>554</v>
      </c>
      <c r="C667" s="262" t="s">
        <v>460</v>
      </c>
      <c r="D667" s="186">
        <v>0</v>
      </c>
      <c r="E667" s="186">
        <v>0</v>
      </c>
      <c r="F667" s="186">
        <v>0</v>
      </c>
      <c r="G667" s="258">
        <v>0</v>
      </c>
      <c r="H667" s="186">
        <v>148</v>
      </c>
      <c r="I667" s="186">
        <v>0</v>
      </c>
      <c r="J667" s="186">
        <v>0</v>
      </c>
    </row>
    <row r="668" spans="1:10">
      <c r="A668" s="188">
        <v>42655</v>
      </c>
      <c r="B668" s="186" t="s">
        <v>554</v>
      </c>
      <c r="C668" s="262" t="s">
        <v>472</v>
      </c>
      <c r="D668" s="186">
        <v>0</v>
      </c>
      <c r="E668" s="186">
        <v>0</v>
      </c>
      <c r="F668" s="186">
        <v>0</v>
      </c>
      <c r="G668" s="258">
        <v>0</v>
      </c>
      <c r="H668" s="186">
        <v>2</v>
      </c>
      <c r="I668" s="186">
        <v>0</v>
      </c>
      <c r="J668" s="186">
        <v>0</v>
      </c>
    </row>
    <row r="669" spans="1:10">
      <c r="A669" s="188">
        <v>42655</v>
      </c>
      <c r="B669" s="186" t="s">
        <v>554</v>
      </c>
      <c r="C669" s="262" t="s">
        <v>460</v>
      </c>
      <c r="D669" s="186">
        <v>0</v>
      </c>
      <c r="E669" s="186">
        <v>0</v>
      </c>
      <c r="F669" s="186">
        <v>0</v>
      </c>
      <c r="G669" s="258">
        <v>0</v>
      </c>
      <c r="H669" s="186">
        <v>148</v>
      </c>
      <c r="I669" s="186">
        <v>0</v>
      </c>
      <c r="J669" s="186">
        <v>0</v>
      </c>
    </row>
    <row r="670" spans="1:10">
      <c r="A670" s="188">
        <v>42655</v>
      </c>
      <c r="B670" s="186" t="s">
        <v>554</v>
      </c>
      <c r="C670" s="262" t="s">
        <v>472</v>
      </c>
      <c r="D670" s="186">
        <v>0</v>
      </c>
      <c r="E670" s="186">
        <v>0</v>
      </c>
      <c r="F670" s="186">
        <v>0</v>
      </c>
      <c r="G670" s="258">
        <v>0</v>
      </c>
      <c r="H670" s="186">
        <v>2</v>
      </c>
      <c r="I670" s="186">
        <v>0</v>
      </c>
      <c r="J670" s="186">
        <v>0</v>
      </c>
    </row>
    <row r="671" spans="1:10">
      <c r="A671" s="188">
        <v>42655</v>
      </c>
      <c r="B671" s="186" t="s">
        <v>554</v>
      </c>
      <c r="C671" s="262" t="s">
        <v>479</v>
      </c>
      <c r="D671" s="186">
        <v>0</v>
      </c>
      <c r="E671" s="186">
        <v>0</v>
      </c>
      <c r="F671" s="186">
        <v>0</v>
      </c>
      <c r="G671" s="258">
        <v>0</v>
      </c>
      <c r="H671" s="186">
        <v>120</v>
      </c>
      <c r="I671" s="186">
        <v>0</v>
      </c>
      <c r="J671" s="186">
        <v>0</v>
      </c>
    </row>
    <row r="672" spans="1:10">
      <c r="A672" s="188">
        <v>42655</v>
      </c>
      <c r="B672" s="186" t="s">
        <v>554</v>
      </c>
      <c r="C672" s="262" t="s">
        <v>480</v>
      </c>
      <c r="D672" s="186">
        <v>1</v>
      </c>
      <c r="E672" s="186">
        <v>1</v>
      </c>
      <c r="F672" s="186">
        <v>0</v>
      </c>
      <c r="G672" s="258">
        <v>0</v>
      </c>
      <c r="H672" s="186">
        <v>40</v>
      </c>
      <c r="I672" s="186">
        <v>1</v>
      </c>
      <c r="J672" s="186">
        <v>0</v>
      </c>
    </row>
    <row r="673" spans="1:10">
      <c r="A673" s="188">
        <v>42655</v>
      </c>
      <c r="B673" s="186" t="s">
        <v>554</v>
      </c>
      <c r="C673" s="262" t="s">
        <v>468</v>
      </c>
      <c r="D673" s="186">
        <v>0</v>
      </c>
      <c r="E673" s="186">
        <v>0</v>
      </c>
      <c r="F673" s="186">
        <v>0</v>
      </c>
      <c r="G673" s="258">
        <v>0</v>
      </c>
      <c r="H673" s="186">
        <v>22</v>
      </c>
      <c r="I673" s="186">
        <v>0</v>
      </c>
      <c r="J673" s="186">
        <v>0</v>
      </c>
    </row>
    <row r="674" spans="1:10">
      <c r="A674" s="188">
        <v>42655</v>
      </c>
      <c r="B674" s="186" t="s">
        <v>554</v>
      </c>
      <c r="C674" s="262" t="s">
        <v>469</v>
      </c>
      <c r="D674" s="186">
        <v>0</v>
      </c>
      <c r="E674" s="186">
        <v>0</v>
      </c>
      <c r="F674" s="186">
        <v>0</v>
      </c>
      <c r="G674" s="258">
        <v>0</v>
      </c>
      <c r="H674" s="186">
        <v>136</v>
      </c>
      <c r="I674" s="186">
        <v>0</v>
      </c>
      <c r="J674" s="186">
        <v>0</v>
      </c>
    </row>
    <row r="675" spans="1:10">
      <c r="A675" s="188">
        <v>42655</v>
      </c>
      <c r="B675" s="186" t="s">
        <v>554</v>
      </c>
      <c r="C675" s="262" t="s">
        <v>470</v>
      </c>
      <c r="D675" s="186">
        <v>0</v>
      </c>
      <c r="E675" s="186">
        <v>0</v>
      </c>
      <c r="F675" s="186">
        <v>0</v>
      </c>
      <c r="G675" s="258">
        <v>0</v>
      </c>
      <c r="H675" s="186">
        <v>83</v>
      </c>
      <c r="I675" s="186">
        <v>0</v>
      </c>
      <c r="J675" s="186">
        <v>0</v>
      </c>
    </row>
    <row r="676" spans="1:10">
      <c r="A676" s="188">
        <v>42655</v>
      </c>
      <c r="B676" s="186" t="s">
        <v>554</v>
      </c>
      <c r="C676" s="262" t="s">
        <v>471</v>
      </c>
      <c r="D676" s="186">
        <v>0</v>
      </c>
      <c r="E676" s="186">
        <v>0</v>
      </c>
      <c r="F676" s="186">
        <v>0</v>
      </c>
      <c r="G676" s="258">
        <v>0</v>
      </c>
      <c r="H676" s="186">
        <v>20</v>
      </c>
      <c r="I676" s="186">
        <v>0</v>
      </c>
      <c r="J676" s="186">
        <v>0</v>
      </c>
    </row>
    <row r="677" spans="1:10">
      <c r="A677" s="188">
        <v>42656</v>
      </c>
      <c r="B677" s="186" t="s">
        <v>459</v>
      </c>
      <c r="C677" s="262" t="s">
        <v>460</v>
      </c>
      <c r="D677" s="186">
        <v>1</v>
      </c>
      <c r="E677" s="186">
        <v>53</v>
      </c>
      <c r="F677" s="186">
        <v>0</v>
      </c>
      <c r="G677" s="258">
        <v>4</v>
      </c>
      <c r="H677" s="186">
        <v>2568</v>
      </c>
      <c r="I677" s="186">
        <v>53</v>
      </c>
      <c r="J677" s="186">
        <v>4</v>
      </c>
    </row>
    <row r="678" spans="1:10">
      <c r="A678" s="188">
        <v>42656</v>
      </c>
      <c r="B678" s="186" t="s">
        <v>459</v>
      </c>
      <c r="C678" s="262" t="s">
        <v>466</v>
      </c>
      <c r="D678" s="186">
        <v>0</v>
      </c>
      <c r="E678" s="186">
        <v>11</v>
      </c>
      <c r="F678" s="186">
        <v>0</v>
      </c>
      <c r="G678" s="258">
        <v>2</v>
      </c>
      <c r="H678" s="186">
        <v>263</v>
      </c>
      <c r="I678" s="186">
        <v>11</v>
      </c>
      <c r="J678" s="186">
        <v>2</v>
      </c>
    </row>
    <row r="679" spans="1:10">
      <c r="A679" s="188">
        <v>42656</v>
      </c>
      <c r="B679" s="186" t="s">
        <v>459</v>
      </c>
      <c r="C679" s="262" t="s">
        <v>470</v>
      </c>
      <c r="D679" s="186">
        <v>0</v>
      </c>
      <c r="E679" s="186">
        <v>4</v>
      </c>
      <c r="F679" s="186">
        <v>0</v>
      </c>
      <c r="G679" s="258">
        <v>2</v>
      </c>
      <c r="H679" s="186">
        <v>941</v>
      </c>
      <c r="I679" s="186">
        <v>4</v>
      </c>
      <c r="J679" s="186">
        <v>2</v>
      </c>
    </row>
    <row r="680" spans="1:10">
      <c r="A680" s="188">
        <v>42656</v>
      </c>
      <c r="B680" s="186" t="s">
        <v>459</v>
      </c>
      <c r="C680" s="262" t="s">
        <v>467</v>
      </c>
      <c r="D680" s="186">
        <v>4</v>
      </c>
      <c r="E680" s="186">
        <v>28</v>
      </c>
      <c r="F680" s="186">
        <v>0</v>
      </c>
      <c r="G680" s="258">
        <v>2</v>
      </c>
      <c r="H680" s="186">
        <v>1727</v>
      </c>
      <c r="I680" s="186">
        <v>28</v>
      </c>
      <c r="J680" s="186">
        <v>2</v>
      </c>
    </row>
    <row r="681" spans="1:10">
      <c r="A681" s="188">
        <v>42656</v>
      </c>
      <c r="B681" s="186" t="s">
        <v>459</v>
      </c>
      <c r="C681" s="262" t="s">
        <v>487</v>
      </c>
      <c r="D681" s="186">
        <v>0</v>
      </c>
      <c r="E681" s="186">
        <v>1</v>
      </c>
      <c r="F681" s="186">
        <v>0</v>
      </c>
      <c r="G681" s="258">
        <v>1</v>
      </c>
      <c r="H681" s="186">
        <v>0</v>
      </c>
      <c r="I681" s="186">
        <v>1</v>
      </c>
      <c r="J681" s="186">
        <v>1</v>
      </c>
    </row>
    <row r="682" spans="1:10">
      <c r="A682" s="188">
        <v>42656</v>
      </c>
      <c r="B682" s="186" t="s">
        <v>459</v>
      </c>
      <c r="C682" s="262" t="s">
        <v>508</v>
      </c>
      <c r="D682" s="186">
        <v>0</v>
      </c>
      <c r="E682" s="186">
        <v>4</v>
      </c>
      <c r="F682" s="186">
        <v>0</v>
      </c>
      <c r="G682" s="258">
        <v>1</v>
      </c>
      <c r="H682" s="186">
        <v>80</v>
      </c>
      <c r="I682" s="186">
        <v>4</v>
      </c>
      <c r="J682" s="186">
        <v>1</v>
      </c>
    </row>
    <row r="683" spans="1:10">
      <c r="A683" s="188">
        <v>42656</v>
      </c>
      <c r="B683" s="186" t="s">
        <v>459</v>
      </c>
      <c r="C683" s="262" t="s">
        <v>461</v>
      </c>
      <c r="D683" s="186">
        <v>0</v>
      </c>
      <c r="E683" s="186">
        <v>0</v>
      </c>
      <c r="F683" s="186">
        <v>0</v>
      </c>
      <c r="G683" s="258">
        <v>0</v>
      </c>
      <c r="H683" s="186">
        <v>5069</v>
      </c>
      <c r="I683" s="186">
        <v>0</v>
      </c>
      <c r="J683" s="186">
        <v>0</v>
      </c>
    </row>
    <row r="684" spans="1:10">
      <c r="A684" s="188">
        <v>42656</v>
      </c>
      <c r="B684" s="186" t="s">
        <v>459</v>
      </c>
      <c r="C684" s="262" t="s">
        <v>464</v>
      </c>
      <c r="D684" s="186">
        <v>0</v>
      </c>
      <c r="E684" s="186">
        <v>0</v>
      </c>
      <c r="F684" s="186">
        <v>0</v>
      </c>
      <c r="G684" s="258">
        <v>0</v>
      </c>
      <c r="H684" s="186">
        <v>362</v>
      </c>
      <c r="I684" s="186">
        <v>0</v>
      </c>
      <c r="J684" s="186">
        <v>0</v>
      </c>
    </row>
    <row r="685" spans="1:10">
      <c r="A685" s="188">
        <v>42656</v>
      </c>
      <c r="B685" s="186" t="s">
        <v>459</v>
      </c>
      <c r="C685" s="262" t="s">
        <v>465</v>
      </c>
      <c r="D685" s="186">
        <v>0</v>
      </c>
      <c r="E685" s="186">
        <v>2</v>
      </c>
      <c r="F685" s="186">
        <v>0</v>
      </c>
      <c r="G685" s="258">
        <v>0</v>
      </c>
      <c r="H685" s="186">
        <v>176</v>
      </c>
      <c r="I685" s="186">
        <v>2</v>
      </c>
      <c r="J685" s="186">
        <v>0</v>
      </c>
    </row>
    <row r="686" spans="1:10">
      <c r="A686" s="188">
        <v>42656</v>
      </c>
      <c r="B686" s="186" t="s">
        <v>459</v>
      </c>
      <c r="C686" s="262" t="s">
        <v>472</v>
      </c>
      <c r="D686" s="186">
        <v>0</v>
      </c>
      <c r="E686" s="186">
        <v>0</v>
      </c>
      <c r="F686" s="186">
        <v>0</v>
      </c>
      <c r="G686" s="258">
        <v>0</v>
      </c>
      <c r="H686" s="186">
        <v>1</v>
      </c>
      <c r="I686" s="186">
        <v>0</v>
      </c>
      <c r="J686" s="186">
        <v>0</v>
      </c>
    </row>
    <row r="687" spans="1:10">
      <c r="A687" s="188">
        <v>42656</v>
      </c>
      <c r="B687" s="186" t="s">
        <v>459</v>
      </c>
      <c r="C687" s="262" t="s">
        <v>465</v>
      </c>
      <c r="D687" s="186">
        <v>0</v>
      </c>
      <c r="E687" s="186">
        <v>2</v>
      </c>
      <c r="F687" s="186">
        <v>0</v>
      </c>
      <c r="G687" s="258">
        <v>0</v>
      </c>
      <c r="H687" s="186">
        <v>176</v>
      </c>
      <c r="I687" s="186">
        <v>2</v>
      </c>
      <c r="J687" s="186">
        <v>0</v>
      </c>
    </row>
    <row r="688" spans="1:10">
      <c r="A688" s="188">
        <v>42656</v>
      </c>
      <c r="B688" s="186" t="s">
        <v>459</v>
      </c>
      <c r="C688" s="262" t="s">
        <v>472</v>
      </c>
      <c r="D688" s="186">
        <v>0</v>
      </c>
      <c r="E688" s="186">
        <v>0</v>
      </c>
      <c r="F688" s="186">
        <v>0</v>
      </c>
      <c r="G688" s="258">
        <v>0</v>
      </c>
      <c r="H688" s="186">
        <v>1</v>
      </c>
      <c r="I688" s="186">
        <v>0</v>
      </c>
      <c r="J688" s="186">
        <v>0</v>
      </c>
    </row>
    <row r="689" spans="1:10">
      <c r="A689" s="188">
        <v>42656</v>
      </c>
      <c r="B689" s="186" t="s">
        <v>459</v>
      </c>
      <c r="C689" s="262" t="s">
        <v>468</v>
      </c>
      <c r="D689" s="186">
        <v>0</v>
      </c>
      <c r="E689" s="186">
        <v>0</v>
      </c>
      <c r="F689" s="186">
        <v>0</v>
      </c>
      <c r="G689" s="258">
        <v>0</v>
      </c>
      <c r="H689" s="186">
        <v>65</v>
      </c>
      <c r="I689" s="186">
        <v>0</v>
      </c>
      <c r="J689" s="186">
        <v>0</v>
      </c>
    </row>
    <row r="690" spans="1:10">
      <c r="A690" s="188">
        <v>42656</v>
      </c>
      <c r="B690" s="186" t="s">
        <v>459</v>
      </c>
      <c r="C690" s="262" t="s">
        <v>469</v>
      </c>
      <c r="D690" s="186">
        <v>0</v>
      </c>
      <c r="E690" s="186">
        <v>0</v>
      </c>
      <c r="F690" s="186">
        <v>0</v>
      </c>
      <c r="G690" s="258">
        <v>0</v>
      </c>
      <c r="H690" s="186">
        <v>885</v>
      </c>
      <c r="I690" s="186">
        <v>0</v>
      </c>
      <c r="J690" s="186">
        <v>0</v>
      </c>
    </row>
    <row r="691" spans="1:10">
      <c r="A691" s="188">
        <v>42656</v>
      </c>
      <c r="B691" s="186" t="s">
        <v>459</v>
      </c>
      <c r="C691" s="262" t="s">
        <v>471</v>
      </c>
      <c r="D691" s="186">
        <v>0</v>
      </c>
      <c r="E691" s="186">
        <v>0</v>
      </c>
      <c r="F691" s="186">
        <v>0</v>
      </c>
      <c r="G691" s="258">
        <v>0</v>
      </c>
      <c r="H691" s="186">
        <v>67</v>
      </c>
      <c r="I691" s="186">
        <v>0</v>
      </c>
      <c r="J691" s="186">
        <v>0</v>
      </c>
    </row>
    <row r="692" spans="1:10">
      <c r="A692" s="188">
        <v>42656</v>
      </c>
      <c r="B692" s="186" t="s">
        <v>474</v>
      </c>
      <c r="C692" s="262" t="s">
        <v>465</v>
      </c>
      <c r="D692" s="186">
        <v>0</v>
      </c>
      <c r="E692" s="186">
        <v>3</v>
      </c>
      <c r="F692" s="186">
        <v>0</v>
      </c>
      <c r="G692" s="258">
        <v>1</v>
      </c>
      <c r="H692" s="186">
        <v>236</v>
      </c>
      <c r="I692" s="186">
        <v>3</v>
      </c>
      <c r="J692" s="186">
        <v>1</v>
      </c>
    </row>
    <row r="693" spans="1:10">
      <c r="A693" s="188">
        <v>42656</v>
      </c>
      <c r="B693" s="186" t="s">
        <v>474</v>
      </c>
      <c r="C693" s="262" t="s">
        <v>466</v>
      </c>
      <c r="D693" s="186">
        <v>0</v>
      </c>
      <c r="E693" s="186">
        <v>15</v>
      </c>
      <c r="F693" s="186">
        <v>0</v>
      </c>
      <c r="G693" s="258">
        <v>1</v>
      </c>
      <c r="H693" s="186">
        <v>579</v>
      </c>
      <c r="I693" s="186">
        <v>15</v>
      </c>
      <c r="J693" s="186">
        <v>1</v>
      </c>
    </row>
    <row r="694" spans="1:10">
      <c r="A694" s="188">
        <v>42656</v>
      </c>
      <c r="B694" s="186" t="s">
        <v>474</v>
      </c>
      <c r="C694" s="262" t="s">
        <v>462</v>
      </c>
      <c r="D694" s="186">
        <v>0</v>
      </c>
      <c r="E694" s="186">
        <v>0</v>
      </c>
      <c r="F694" s="186">
        <v>0</v>
      </c>
      <c r="G694" s="258">
        <v>0</v>
      </c>
      <c r="H694" s="186">
        <v>42</v>
      </c>
      <c r="I694" s="186">
        <v>0</v>
      </c>
      <c r="J694" s="186">
        <v>0</v>
      </c>
    </row>
    <row r="695" spans="1:10">
      <c r="A695" s="188">
        <v>42656</v>
      </c>
      <c r="B695" s="186" t="s">
        <v>474</v>
      </c>
      <c r="C695" s="262" t="s">
        <v>464</v>
      </c>
      <c r="D695" s="186">
        <v>0</v>
      </c>
      <c r="E695" s="186">
        <v>0</v>
      </c>
      <c r="F695" s="186">
        <v>0</v>
      </c>
      <c r="G695" s="258">
        <v>0</v>
      </c>
      <c r="H695" s="186">
        <v>46</v>
      </c>
      <c r="I695" s="186">
        <v>0</v>
      </c>
      <c r="J695" s="186">
        <v>0</v>
      </c>
    </row>
    <row r="696" spans="1:10">
      <c r="A696" s="188">
        <v>42656</v>
      </c>
      <c r="B696" s="186" t="s">
        <v>474</v>
      </c>
      <c r="C696" s="262" t="s">
        <v>472</v>
      </c>
      <c r="D696" s="186">
        <v>0</v>
      </c>
      <c r="E696" s="186">
        <v>0</v>
      </c>
      <c r="F696" s="186">
        <v>0</v>
      </c>
      <c r="G696" s="258">
        <v>0</v>
      </c>
      <c r="H696" s="186">
        <v>1</v>
      </c>
      <c r="I696" s="186">
        <v>0</v>
      </c>
      <c r="J696" s="186">
        <v>0</v>
      </c>
    </row>
    <row r="697" spans="1:10">
      <c r="A697" s="188">
        <v>42656</v>
      </c>
      <c r="B697" s="186" t="s">
        <v>474</v>
      </c>
      <c r="C697" s="262" t="s">
        <v>479</v>
      </c>
      <c r="D697" s="186">
        <v>0</v>
      </c>
      <c r="E697" s="186">
        <v>0</v>
      </c>
      <c r="F697" s="186">
        <v>0</v>
      </c>
      <c r="G697" s="258">
        <v>0</v>
      </c>
      <c r="H697" s="186">
        <v>1</v>
      </c>
      <c r="I697" s="186">
        <v>0</v>
      </c>
      <c r="J697" s="186">
        <v>0</v>
      </c>
    </row>
    <row r="698" spans="1:10">
      <c r="A698" s="188">
        <v>42656</v>
      </c>
      <c r="B698" s="186" t="s">
        <v>474</v>
      </c>
      <c r="C698" s="262" t="s">
        <v>480</v>
      </c>
      <c r="D698" s="186">
        <v>0</v>
      </c>
      <c r="E698" s="186">
        <v>1</v>
      </c>
      <c r="F698" s="186">
        <v>0</v>
      </c>
      <c r="G698" s="258">
        <v>0</v>
      </c>
      <c r="H698" s="186">
        <v>36</v>
      </c>
      <c r="I698" s="186">
        <v>1</v>
      </c>
      <c r="J698" s="186">
        <v>0</v>
      </c>
    </row>
    <row r="699" spans="1:10">
      <c r="A699" s="188">
        <v>42656</v>
      </c>
      <c r="B699" s="186" t="s">
        <v>474</v>
      </c>
      <c r="C699" s="262" t="s">
        <v>468</v>
      </c>
      <c r="D699" s="186">
        <v>0</v>
      </c>
      <c r="E699" s="186">
        <v>0</v>
      </c>
      <c r="F699" s="186">
        <v>0</v>
      </c>
      <c r="G699" s="258">
        <v>0</v>
      </c>
      <c r="H699" s="186">
        <v>3</v>
      </c>
      <c r="I699" s="186">
        <v>0</v>
      </c>
      <c r="J699" s="186">
        <v>0</v>
      </c>
    </row>
    <row r="700" spans="1:10">
      <c r="A700" s="188">
        <v>42656</v>
      </c>
      <c r="B700" s="186" t="s">
        <v>474</v>
      </c>
      <c r="C700" s="262" t="s">
        <v>469</v>
      </c>
      <c r="D700" s="186">
        <v>0</v>
      </c>
      <c r="E700" s="186">
        <v>0</v>
      </c>
      <c r="F700" s="186">
        <v>0</v>
      </c>
      <c r="G700" s="258">
        <v>0</v>
      </c>
      <c r="H700" s="186">
        <v>73</v>
      </c>
      <c r="I700" s="186">
        <v>0</v>
      </c>
      <c r="J700" s="186">
        <v>0</v>
      </c>
    </row>
    <row r="701" spans="1:10">
      <c r="A701" s="188">
        <v>42656</v>
      </c>
      <c r="B701" s="186" t="s">
        <v>474</v>
      </c>
      <c r="C701" s="262" t="s">
        <v>470</v>
      </c>
      <c r="D701" s="186">
        <v>0</v>
      </c>
      <c r="E701" s="186">
        <v>0</v>
      </c>
      <c r="F701" s="186">
        <v>0</v>
      </c>
      <c r="G701" s="258">
        <v>0</v>
      </c>
      <c r="H701" s="186">
        <v>149</v>
      </c>
      <c r="I701" s="186">
        <v>0</v>
      </c>
      <c r="J701" s="186">
        <v>0</v>
      </c>
    </row>
    <row r="702" spans="1:10">
      <c r="A702" s="188">
        <v>42656</v>
      </c>
      <c r="B702" s="186" t="s">
        <v>474</v>
      </c>
      <c r="C702" s="262" t="s">
        <v>471</v>
      </c>
      <c r="D702" s="186">
        <v>0</v>
      </c>
      <c r="E702" s="186">
        <v>0</v>
      </c>
      <c r="F702" s="186">
        <v>0</v>
      </c>
      <c r="G702" s="258">
        <v>0</v>
      </c>
      <c r="H702" s="186">
        <v>3</v>
      </c>
      <c r="I702" s="186">
        <v>0</v>
      </c>
      <c r="J702" s="186">
        <v>0</v>
      </c>
    </row>
    <row r="703" spans="1:10">
      <c r="A703" s="188">
        <v>42656</v>
      </c>
      <c r="B703" s="186" t="s">
        <v>193</v>
      </c>
      <c r="C703" s="262" t="s">
        <v>484</v>
      </c>
      <c r="D703" s="186">
        <v>0</v>
      </c>
      <c r="E703" s="186">
        <v>3</v>
      </c>
      <c r="F703" s="186">
        <v>0</v>
      </c>
      <c r="G703" s="258">
        <v>1</v>
      </c>
      <c r="H703" s="186">
        <v>0</v>
      </c>
      <c r="I703" s="186">
        <v>3</v>
      </c>
      <c r="J703" s="186">
        <v>1</v>
      </c>
    </row>
    <row r="704" spans="1:10">
      <c r="A704" s="188">
        <v>42656</v>
      </c>
      <c r="B704" s="186" t="s">
        <v>193</v>
      </c>
      <c r="C704" s="262" t="s">
        <v>465</v>
      </c>
      <c r="D704" s="186">
        <v>1</v>
      </c>
      <c r="E704" s="186">
        <v>1</v>
      </c>
      <c r="F704" s="186">
        <v>1</v>
      </c>
      <c r="G704" s="258">
        <v>1</v>
      </c>
      <c r="H704" s="186">
        <v>0</v>
      </c>
      <c r="I704" s="186">
        <v>1</v>
      </c>
      <c r="J704" s="186">
        <v>1</v>
      </c>
    </row>
    <row r="705" spans="1:10">
      <c r="A705" s="188">
        <v>42656</v>
      </c>
      <c r="B705" s="186" t="s">
        <v>193</v>
      </c>
      <c r="C705" s="262" t="s">
        <v>463</v>
      </c>
      <c r="D705" s="186">
        <v>0</v>
      </c>
      <c r="E705" s="186">
        <v>0</v>
      </c>
      <c r="F705" s="186">
        <v>0</v>
      </c>
      <c r="G705" s="258">
        <v>0</v>
      </c>
      <c r="H705" s="186">
        <v>0</v>
      </c>
      <c r="I705" s="186">
        <v>0</v>
      </c>
      <c r="J705" s="186">
        <v>0</v>
      </c>
    </row>
    <row r="706" spans="1:10">
      <c r="A706" s="188">
        <v>42656</v>
      </c>
      <c r="B706" s="186" t="s">
        <v>193</v>
      </c>
      <c r="C706" s="262" t="s">
        <v>484</v>
      </c>
      <c r="D706" s="186">
        <v>0</v>
      </c>
      <c r="E706" s="186">
        <v>0</v>
      </c>
      <c r="F706" s="186">
        <v>0</v>
      </c>
      <c r="G706" s="258">
        <v>0</v>
      </c>
      <c r="H706" s="186">
        <v>49</v>
      </c>
      <c r="I706" s="186">
        <v>0</v>
      </c>
      <c r="J706" s="186">
        <v>0</v>
      </c>
    </row>
    <row r="707" spans="1:10">
      <c r="A707" s="188">
        <v>42656</v>
      </c>
      <c r="B707" s="186" t="s">
        <v>193</v>
      </c>
      <c r="C707" s="262" t="s">
        <v>487</v>
      </c>
      <c r="D707" s="186">
        <v>0</v>
      </c>
      <c r="E707" s="186">
        <v>0</v>
      </c>
      <c r="F707" s="186">
        <v>0</v>
      </c>
      <c r="G707" s="258">
        <v>0</v>
      </c>
      <c r="H707" s="186">
        <v>118</v>
      </c>
      <c r="I707" s="186">
        <v>0</v>
      </c>
      <c r="J707" s="186">
        <v>0</v>
      </c>
    </row>
    <row r="708" spans="1:10">
      <c r="A708" s="188">
        <v>42656</v>
      </c>
      <c r="B708" s="186" t="s">
        <v>193</v>
      </c>
      <c r="C708" s="262" t="s">
        <v>462</v>
      </c>
      <c r="D708" s="186">
        <v>0</v>
      </c>
      <c r="E708" s="186">
        <v>0</v>
      </c>
      <c r="F708" s="186">
        <v>0</v>
      </c>
      <c r="G708" s="258">
        <v>0</v>
      </c>
      <c r="H708" s="186">
        <v>370</v>
      </c>
      <c r="I708" s="186">
        <v>0</v>
      </c>
      <c r="J708" s="186">
        <v>0</v>
      </c>
    </row>
    <row r="709" spans="1:10">
      <c r="A709" s="188">
        <v>42656</v>
      </c>
      <c r="B709" s="186" t="s">
        <v>193</v>
      </c>
      <c r="C709" s="262" t="s">
        <v>464</v>
      </c>
      <c r="D709" s="186">
        <v>0</v>
      </c>
      <c r="E709" s="186">
        <v>0</v>
      </c>
      <c r="F709" s="186">
        <v>0</v>
      </c>
      <c r="G709" s="258">
        <v>0</v>
      </c>
      <c r="H709" s="186">
        <v>39</v>
      </c>
      <c r="I709" s="186">
        <v>0</v>
      </c>
      <c r="J709" s="186">
        <v>0</v>
      </c>
    </row>
    <row r="710" spans="1:10">
      <c r="A710" s="188">
        <v>42656</v>
      </c>
      <c r="B710" s="186" t="s">
        <v>193</v>
      </c>
      <c r="C710" s="262" t="s">
        <v>460</v>
      </c>
      <c r="D710" s="186">
        <v>0</v>
      </c>
      <c r="E710" s="186">
        <v>0</v>
      </c>
      <c r="F710" s="186">
        <v>0</v>
      </c>
      <c r="G710" s="258">
        <v>0</v>
      </c>
      <c r="H710" s="186">
        <v>1</v>
      </c>
      <c r="I710" s="186">
        <v>0</v>
      </c>
      <c r="J710" s="186">
        <v>0</v>
      </c>
    </row>
    <row r="711" spans="1:10">
      <c r="A711" s="188">
        <v>42656</v>
      </c>
      <c r="B711" s="186" t="s">
        <v>193</v>
      </c>
      <c r="C711" s="262" t="s">
        <v>465</v>
      </c>
      <c r="D711" s="186">
        <v>1</v>
      </c>
      <c r="E711" s="186">
        <v>3</v>
      </c>
      <c r="F711" s="186">
        <v>0</v>
      </c>
      <c r="G711" s="258">
        <v>0</v>
      </c>
      <c r="H711" s="186">
        <v>212</v>
      </c>
      <c r="I711" s="186">
        <v>3</v>
      </c>
      <c r="J711" s="186">
        <v>0</v>
      </c>
    </row>
    <row r="712" spans="1:10">
      <c r="A712" s="188">
        <v>42656</v>
      </c>
      <c r="B712" s="186" t="s">
        <v>193</v>
      </c>
      <c r="C712" s="262" t="s">
        <v>479</v>
      </c>
      <c r="D712" s="186">
        <v>0</v>
      </c>
      <c r="E712" s="186">
        <v>0</v>
      </c>
      <c r="F712" s="186">
        <v>0</v>
      </c>
      <c r="G712" s="258">
        <v>0</v>
      </c>
      <c r="H712" s="186">
        <v>99</v>
      </c>
      <c r="I712" s="186">
        <v>0</v>
      </c>
      <c r="J712" s="186">
        <v>0</v>
      </c>
    </row>
    <row r="713" spans="1:10">
      <c r="A713" s="188">
        <v>42656</v>
      </c>
      <c r="B713" s="186" t="s">
        <v>193</v>
      </c>
      <c r="C713" s="262" t="s">
        <v>508</v>
      </c>
      <c r="D713" s="186">
        <v>0</v>
      </c>
      <c r="E713" s="186">
        <v>0</v>
      </c>
      <c r="F713" s="186">
        <v>0</v>
      </c>
      <c r="G713" s="258">
        <v>0</v>
      </c>
      <c r="H713" s="186">
        <v>25</v>
      </c>
      <c r="I713" s="186">
        <v>0</v>
      </c>
      <c r="J713" s="186">
        <v>0</v>
      </c>
    </row>
    <row r="714" spans="1:10">
      <c r="A714" s="188">
        <v>42656</v>
      </c>
      <c r="B714" s="186" t="s">
        <v>193</v>
      </c>
      <c r="C714" s="262" t="s">
        <v>468</v>
      </c>
      <c r="D714" s="186">
        <v>0</v>
      </c>
      <c r="E714" s="186">
        <v>0</v>
      </c>
      <c r="F714" s="186">
        <v>0</v>
      </c>
      <c r="G714" s="258">
        <v>0</v>
      </c>
      <c r="H714" s="186">
        <v>49</v>
      </c>
      <c r="I714" s="186">
        <v>0</v>
      </c>
      <c r="J714" s="186">
        <v>0</v>
      </c>
    </row>
    <row r="715" spans="1:10">
      <c r="A715" s="188">
        <v>42656</v>
      </c>
      <c r="B715" s="186" t="s">
        <v>193</v>
      </c>
      <c r="C715" s="262" t="s">
        <v>469</v>
      </c>
      <c r="D715" s="186">
        <v>0</v>
      </c>
      <c r="E715" s="186">
        <v>0</v>
      </c>
      <c r="F715" s="186">
        <v>0</v>
      </c>
      <c r="G715" s="258">
        <v>0</v>
      </c>
      <c r="H715" s="186">
        <v>809</v>
      </c>
      <c r="I715" s="186">
        <v>0</v>
      </c>
      <c r="J715" s="186">
        <v>0</v>
      </c>
    </row>
    <row r="716" spans="1:10">
      <c r="A716" s="188">
        <v>42656</v>
      </c>
      <c r="B716" s="186" t="s">
        <v>227</v>
      </c>
      <c r="C716" s="262" t="s">
        <v>484</v>
      </c>
      <c r="D716" s="186">
        <v>0</v>
      </c>
      <c r="E716" s="186">
        <v>0</v>
      </c>
      <c r="F716" s="186">
        <v>0</v>
      </c>
      <c r="G716" s="258">
        <v>0</v>
      </c>
      <c r="H716" s="186">
        <v>49</v>
      </c>
      <c r="I716" s="186">
        <v>0</v>
      </c>
      <c r="J716" s="186">
        <v>0</v>
      </c>
    </row>
    <row r="717" spans="1:10">
      <c r="A717" s="188">
        <v>42656</v>
      </c>
      <c r="B717" s="186" t="s">
        <v>227</v>
      </c>
      <c r="C717" s="262" t="s">
        <v>487</v>
      </c>
      <c r="D717" s="186">
        <v>0</v>
      </c>
      <c r="E717" s="186">
        <v>0</v>
      </c>
      <c r="F717" s="186">
        <v>0</v>
      </c>
      <c r="G717" s="258">
        <v>0</v>
      </c>
      <c r="H717" s="186">
        <v>118</v>
      </c>
      <c r="I717" s="186">
        <v>0</v>
      </c>
      <c r="J717" s="186">
        <v>0</v>
      </c>
    </row>
    <row r="718" spans="1:10">
      <c r="A718" s="188">
        <v>42656</v>
      </c>
      <c r="B718" s="186" t="s">
        <v>227</v>
      </c>
      <c r="C718" s="262" t="s">
        <v>462</v>
      </c>
      <c r="D718" s="186">
        <v>0</v>
      </c>
      <c r="E718" s="186">
        <v>0</v>
      </c>
      <c r="F718" s="186">
        <v>0</v>
      </c>
      <c r="G718" s="258">
        <v>0</v>
      </c>
      <c r="H718" s="186">
        <v>370</v>
      </c>
      <c r="I718" s="186">
        <v>0</v>
      </c>
      <c r="J718" s="186">
        <v>0</v>
      </c>
    </row>
    <row r="719" spans="1:10">
      <c r="A719" s="188">
        <v>42656</v>
      </c>
      <c r="B719" s="186" t="s">
        <v>227</v>
      </c>
      <c r="C719" s="262" t="s">
        <v>464</v>
      </c>
      <c r="D719" s="186">
        <v>0</v>
      </c>
      <c r="E719" s="186">
        <v>0</v>
      </c>
      <c r="F719" s="186">
        <v>0</v>
      </c>
      <c r="G719" s="258">
        <v>0</v>
      </c>
      <c r="H719" s="186">
        <v>39</v>
      </c>
      <c r="I719" s="186">
        <v>0</v>
      </c>
      <c r="J719" s="186">
        <v>0</v>
      </c>
    </row>
    <row r="720" spans="1:10">
      <c r="A720" s="188">
        <v>42656</v>
      </c>
      <c r="B720" s="186" t="s">
        <v>227</v>
      </c>
      <c r="C720" s="262" t="s">
        <v>460</v>
      </c>
      <c r="D720" s="186">
        <v>0</v>
      </c>
      <c r="E720" s="186">
        <v>0</v>
      </c>
      <c r="F720" s="186">
        <v>0</v>
      </c>
      <c r="G720" s="258">
        <v>0</v>
      </c>
      <c r="H720" s="186">
        <v>1</v>
      </c>
      <c r="I720" s="186">
        <v>0</v>
      </c>
      <c r="J720" s="186">
        <v>0</v>
      </c>
    </row>
    <row r="721" spans="1:10">
      <c r="A721" s="188">
        <v>42656</v>
      </c>
      <c r="B721" s="186" t="s">
        <v>227</v>
      </c>
      <c r="C721" s="262" t="s">
        <v>465</v>
      </c>
      <c r="D721" s="186">
        <v>1</v>
      </c>
      <c r="E721" s="186">
        <v>3</v>
      </c>
      <c r="F721" s="186">
        <v>0</v>
      </c>
      <c r="G721" s="258">
        <v>0</v>
      </c>
      <c r="H721" s="186">
        <v>212</v>
      </c>
      <c r="I721" s="186">
        <v>3</v>
      </c>
      <c r="J721" s="186">
        <v>0</v>
      </c>
    </row>
    <row r="722" spans="1:10">
      <c r="A722" s="188">
        <v>42656</v>
      </c>
      <c r="B722" s="186" t="s">
        <v>227</v>
      </c>
      <c r="C722" s="262" t="s">
        <v>479</v>
      </c>
      <c r="D722" s="186">
        <v>0</v>
      </c>
      <c r="E722" s="186">
        <v>0</v>
      </c>
      <c r="F722" s="186">
        <v>0</v>
      </c>
      <c r="G722" s="258">
        <v>0</v>
      </c>
      <c r="H722" s="186">
        <v>99</v>
      </c>
      <c r="I722" s="186">
        <v>0</v>
      </c>
      <c r="J722" s="186">
        <v>0</v>
      </c>
    </row>
    <row r="723" spans="1:10">
      <c r="A723" s="188">
        <v>42656</v>
      </c>
      <c r="B723" s="186" t="s">
        <v>227</v>
      </c>
      <c r="C723" s="262" t="s">
        <v>508</v>
      </c>
      <c r="D723" s="186">
        <v>0</v>
      </c>
      <c r="E723" s="186">
        <v>0</v>
      </c>
      <c r="F723" s="186">
        <v>0</v>
      </c>
      <c r="G723" s="258">
        <v>0</v>
      </c>
      <c r="H723" s="186">
        <v>25</v>
      </c>
      <c r="I723" s="186">
        <v>0</v>
      </c>
      <c r="J723" s="186">
        <v>0</v>
      </c>
    </row>
    <row r="724" spans="1:10">
      <c r="A724" s="188">
        <v>42656</v>
      </c>
      <c r="B724" s="186" t="s">
        <v>227</v>
      </c>
      <c r="C724" s="262" t="s">
        <v>468</v>
      </c>
      <c r="D724" s="186">
        <v>0</v>
      </c>
      <c r="E724" s="186">
        <v>0</v>
      </c>
      <c r="F724" s="186">
        <v>0</v>
      </c>
      <c r="G724" s="258">
        <v>0</v>
      </c>
      <c r="H724" s="186">
        <v>49</v>
      </c>
      <c r="I724" s="186">
        <v>0</v>
      </c>
      <c r="J724" s="186">
        <v>0</v>
      </c>
    </row>
    <row r="725" spans="1:10">
      <c r="A725" s="188">
        <v>42656</v>
      </c>
      <c r="B725" s="186" t="s">
        <v>227</v>
      </c>
      <c r="C725" s="262" t="s">
        <v>469</v>
      </c>
      <c r="D725" s="186">
        <v>0</v>
      </c>
      <c r="E725" s="186">
        <v>0</v>
      </c>
      <c r="F725" s="186">
        <v>0</v>
      </c>
      <c r="G725" s="258">
        <v>0</v>
      </c>
      <c r="H725" s="186">
        <v>809</v>
      </c>
      <c r="I725" s="186">
        <v>0</v>
      </c>
      <c r="J725" s="186">
        <v>0</v>
      </c>
    </row>
    <row r="726" spans="1:10">
      <c r="A726" s="188">
        <v>42656</v>
      </c>
      <c r="B726" s="186" t="s">
        <v>226</v>
      </c>
      <c r="C726" s="262" t="s">
        <v>465</v>
      </c>
      <c r="D726" s="186">
        <v>2</v>
      </c>
      <c r="E726" s="186">
        <v>15</v>
      </c>
      <c r="F726" s="186">
        <v>1</v>
      </c>
      <c r="G726" s="258">
        <v>4</v>
      </c>
      <c r="H726" s="186">
        <v>1098</v>
      </c>
      <c r="I726" s="186">
        <v>15</v>
      </c>
      <c r="J726" s="186">
        <v>4</v>
      </c>
    </row>
    <row r="727" spans="1:10">
      <c r="A727" s="188">
        <v>42656</v>
      </c>
      <c r="B727" s="186" t="s">
        <v>226</v>
      </c>
      <c r="C727" s="262" t="s">
        <v>490</v>
      </c>
      <c r="D727" s="186">
        <v>0</v>
      </c>
      <c r="E727" s="186">
        <v>7</v>
      </c>
      <c r="F727" s="186">
        <v>0</v>
      </c>
      <c r="G727" s="258">
        <v>2</v>
      </c>
      <c r="H727" s="186">
        <v>231</v>
      </c>
      <c r="I727" s="186">
        <v>7</v>
      </c>
      <c r="J727" s="186">
        <v>2</v>
      </c>
    </row>
    <row r="728" spans="1:10">
      <c r="A728" s="188">
        <v>42656</v>
      </c>
      <c r="B728" s="186" t="s">
        <v>226</v>
      </c>
      <c r="C728" s="262" t="s">
        <v>463</v>
      </c>
      <c r="D728" s="186">
        <v>0</v>
      </c>
      <c r="E728" s="186">
        <v>1</v>
      </c>
      <c r="F728" s="186">
        <v>0</v>
      </c>
      <c r="G728" s="258">
        <v>1</v>
      </c>
      <c r="H728" s="186">
        <v>0</v>
      </c>
      <c r="I728" s="186">
        <v>1</v>
      </c>
      <c r="J728" s="186">
        <v>1</v>
      </c>
    </row>
    <row r="729" spans="1:10">
      <c r="A729" s="188">
        <v>42656</v>
      </c>
      <c r="B729" s="186" t="s">
        <v>226</v>
      </c>
      <c r="C729" s="262" t="s">
        <v>489</v>
      </c>
      <c r="D729" s="186">
        <v>0</v>
      </c>
      <c r="E729" s="186">
        <v>2</v>
      </c>
      <c r="F729" s="186">
        <v>0</v>
      </c>
      <c r="G729" s="258">
        <v>1</v>
      </c>
      <c r="H729" s="186">
        <v>202</v>
      </c>
      <c r="I729" s="186">
        <v>2</v>
      </c>
      <c r="J729" s="186">
        <v>1</v>
      </c>
    </row>
    <row r="730" spans="1:10">
      <c r="A730" s="188">
        <v>42656</v>
      </c>
      <c r="B730" s="186" t="s">
        <v>226</v>
      </c>
      <c r="C730" s="262" t="s">
        <v>466</v>
      </c>
      <c r="D730" s="186">
        <v>1</v>
      </c>
      <c r="E730" s="186">
        <v>15</v>
      </c>
      <c r="F730" s="186">
        <v>0</v>
      </c>
      <c r="G730" s="258">
        <v>1</v>
      </c>
      <c r="H730" s="186">
        <v>402</v>
      </c>
      <c r="I730" s="186">
        <v>15</v>
      </c>
      <c r="J730" s="186">
        <v>1</v>
      </c>
    </row>
    <row r="731" spans="1:10">
      <c r="A731" s="188">
        <v>42656</v>
      </c>
      <c r="B731" s="186" t="s">
        <v>226</v>
      </c>
      <c r="C731" s="262" t="s">
        <v>461</v>
      </c>
      <c r="D731" s="186">
        <v>0</v>
      </c>
      <c r="E731" s="186">
        <v>0</v>
      </c>
      <c r="F731" s="186">
        <v>0</v>
      </c>
      <c r="G731" s="258">
        <v>0</v>
      </c>
      <c r="H731" s="186">
        <v>870</v>
      </c>
      <c r="I731" s="186">
        <v>0</v>
      </c>
      <c r="J731" s="186">
        <v>0</v>
      </c>
    </row>
    <row r="732" spans="1:10">
      <c r="A732" s="188">
        <v>42656</v>
      </c>
      <c r="B732" s="186" t="s">
        <v>226</v>
      </c>
      <c r="C732" s="262" t="s">
        <v>462</v>
      </c>
      <c r="D732" s="186">
        <v>0</v>
      </c>
      <c r="E732" s="186">
        <v>0</v>
      </c>
      <c r="F732" s="186">
        <v>0</v>
      </c>
      <c r="G732" s="258">
        <v>0</v>
      </c>
      <c r="H732" s="186">
        <v>339</v>
      </c>
      <c r="I732" s="186">
        <v>0</v>
      </c>
      <c r="J732" s="186">
        <v>0</v>
      </c>
    </row>
    <row r="733" spans="1:10">
      <c r="A733" s="188">
        <v>42656</v>
      </c>
      <c r="B733" s="186" t="s">
        <v>226</v>
      </c>
      <c r="C733" s="262" t="s">
        <v>464</v>
      </c>
      <c r="D733" s="186">
        <v>0</v>
      </c>
      <c r="E733" s="186">
        <v>0</v>
      </c>
      <c r="F733" s="186">
        <v>0</v>
      </c>
      <c r="G733" s="258">
        <v>0</v>
      </c>
      <c r="H733" s="186">
        <v>143</v>
      </c>
      <c r="I733" s="186">
        <v>0</v>
      </c>
      <c r="J733" s="186">
        <v>0</v>
      </c>
    </row>
    <row r="734" spans="1:10">
      <c r="A734" s="188">
        <v>42656</v>
      </c>
      <c r="B734" s="186" t="s">
        <v>226</v>
      </c>
      <c r="C734" s="262" t="s">
        <v>460</v>
      </c>
      <c r="D734" s="186">
        <v>0</v>
      </c>
      <c r="E734" s="186">
        <v>0</v>
      </c>
      <c r="F734" s="186">
        <v>0</v>
      </c>
      <c r="G734" s="258">
        <v>0</v>
      </c>
      <c r="H734" s="186">
        <v>1</v>
      </c>
      <c r="I734" s="186">
        <v>0</v>
      </c>
      <c r="J734" s="186">
        <v>0</v>
      </c>
    </row>
    <row r="735" spans="1:10">
      <c r="A735" s="188">
        <v>42656</v>
      </c>
      <c r="B735" s="186" t="s">
        <v>226</v>
      </c>
      <c r="C735" s="262" t="s">
        <v>479</v>
      </c>
      <c r="D735" s="186">
        <v>0</v>
      </c>
      <c r="E735" s="186">
        <v>0</v>
      </c>
      <c r="F735" s="186">
        <v>0</v>
      </c>
      <c r="G735" s="258">
        <v>0</v>
      </c>
      <c r="H735" s="186">
        <v>235</v>
      </c>
      <c r="I735" s="186">
        <v>0</v>
      </c>
      <c r="J735" s="186">
        <v>0</v>
      </c>
    </row>
    <row r="736" spans="1:10">
      <c r="A736" s="188">
        <v>42656</v>
      </c>
      <c r="B736" s="186" t="s">
        <v>226</v>
      </c>
      <c r="C736" s="262" t="s">
        <v>479</v>
      </c>
      <c r="D736" s="186">
        <v>0</v>
      </c>
      <c r="E736" s="186">
        <v>0</v>
      </c>
      <c r="F736" s="186">
        <v>0</v>
      </c>
      <c r="G736" s="258">
        <v>0</v>
      </c>
      <c r="H736" s="186">
        <v>235</v>
      </c>
      <c r="I736" s="186">
        <v>0</v>
      </c>
      <c r="J736" s="186">
        <v>0</v>
      </c>
    </row>
    <row r="737" spans="1:10">
      <c r="A737" s="188">
        <v>42656</v>
      </c>
      <c r="B737" s="186" t="s">
        <v>226</v>
      </c>
      <c r="C737" s="262" t="s">
        <v>468</v>
      </c>
      <c r="D737" s="186">
        <v>0</v>
      </c>
      <c r="E737" s="186">
        <v>0</v>
      </c>
      <c r="F737" s="186">
        <v>0</v>
      </c>
      <c r="G737" s="258">
        <v>0</v>
      </c>
      <c r="H737" s="186">
        <v>58</v>
      </c>
      <c r="I737" s="186">
        <v>0</v>
      </c>
      <c r="J737" s="186">
        <v>0</v>
      </c>
    </row>
    <row r="738" spans="1:10">
      <c r="A738" s="188">
        <v>42656</v>
      </c>
      <c r="B738" s="186" t="s">
        <v>226</v>
      </c>
      <c r="C738" s="262" t="s">
        <v>469</v>
      </c>
      <c r="D738" s="186">
        <v>0</v>
      </c>
      <c r="E738" s="186">
        <v>0</v>
      </c>
      <c r="F738" s="186">
        <v>0</v>
      </c>
      <c r="G738" s="258">
        <v>0</v>
      </c>
      <c r="H738" s="186">
        <v>709</v>
      </c>
      <c r="I738" s="186">
        <v>0</v>
      </c>
      <c r="J738" s="186">
        <v>0</v>
      </c>
    </row>
    <row r="739" spans="1:10">
      <c r="A739" s="188">
        <v>42656</v>
      </c>
      <c r="B739" s="186" t="s">
        <v>226</v>
      </c>
      <c r="C739" s="262" t="s">
        <v>470</v>
      </c>
      <c r="D739" s="186">
        <v>0</v>
      </c>
      <c r="E739" s="186">
        <v>0</v>
      </c>
      <c r="F739" s="186">
        <v>0</v>
      </c>
      <c r="G739" s="258">
        <v>0</v>
      </c>
      <c r="H739" s="186">
        <v>109</v>
      </c>
      <c r="I739" s="186">
        <v>0</v>
      </c>
      <c r="J739" s="186">
        <v>0</v>
      </c>
    </row>
    <row r="740" spans="1:10">
      <c r="A740" s="188">
        <v>42656</v>
      </c>
      <c r="B740" s="186" t="s">
        <v>226</v>
      </c>
      <c r="C740" s="262" t="s">
        <v>471</v>
      </c>
      <c r="D740" s="186">
        <v>0</v>
      </c>
      <c r="E740" s="186">
        <v>0</v>
      </c>
      <c r="F740" s="186">
        <v>0</v>
      </c>
      <c r="G740" s="258">
        <v>0</v>
      </c>
      <c r="H740" s="186">
        <v>52</v>
      </c>
      <c r="I740" s="186">
        <v>0</v>
      </c>
      <c r="J740" s="186">
        <v>0</v>
      </c>
    </row>
    <row r="741" spans="1:10">
      <c r="A741" s="188">
        <v>42656</v>
      </c>
      <c r="B741" s="186" t="s">
        <v>554</v>
      </c>
      <c r="C741" s="262" t="s">
        <v>466</v>
      </c>
      <c r="D741" s="186">
        <v>0</v>
      </c>
      <c r="E741" s="186">
        <v>16</v>
      </c>
      <c r="F741" s="186">
        <v>0</v>
      </c>
      <c r="G741" s="258">
        <v>11</v>
      </c>
      <c r="H741" s="186">
        <v>27</v>
      </c>
      <c r="I741" s="186">
        <v>16</v>
      </c>
      <c r="J741" s="186">
        <v>11</v>
      </c>
    </row>
    <row r="742" spans="1:10">
      <c r="A742" s="188">
        <v>42656</v>
      </c>
      <c r="B742" s="186" t="s">
        <v>554</v>
      </c>
      <c r="C742" s="262" t="s">
        <v>465</v>
      </c>
      <c r="D742" s="186">
        <v>0</v>
      </c>
      <c r="E742" s="186">
        <v>4</v>
      </c>
      <c r="F742" s="186">
        <v>0</v>
      </c>
      <c r="G742" s="258">
        <v>3</v>
      </c>
      <c r="H742" s="186">
        <v>26</v>
      </c>
      <c r="I742" s="186">
        <v>4</v>
      </c>
      <c r="J742" s="186">
        <v>3</v>
      </c>
    </row>
    <row r="743" spans="1:10">
      <c r="A743" s="188">
        <v>42656</v>
      </c>
      <c r="B743" s="186" t="s">
        <v>554</v>
      </c>
      <c r="C743" s="262" t="s">
        <v>489</v>
      </c>
      <c r="D743" s="186">
        <v>0</v>
      </c>
      <c r="E743" s="186">
        <v>1</v>
      </c>
      <c r="F743" s="186">
        <v>0</v>
      </c>
      <c r="G743" s="258">
        <v>1</v>
      </c>
      <c r="H743" s="186">
        <v>124</v>
      </c>
      <c r="I743" s="186">
        <v>1</v>
      </c>
      <c r="J743" s="186">
        <v>1</v>
      </c>
    </row>
    <row r="744" spans="1:10">
      <c r="A744" s="188">
        <v>42656</v>
      </c>
      <c r="B744" s="186" t="s">
        <v>554</v>
      </c>
      <c r="C744" s="262" t="s">
        <v>510</v>
      </c>
      <c r="D744" s="186">
        <v>0</v>
      </c>
      <c r="E744" s="186">
        <v>1</v>
      </c>
      <c r="F744" s="186">
        <v>0</v>
      </c>
      <c r="G744" s="258">
        <v>1</v>
      </c>
      <c r="H744" s="186">
        <v>106</v>
      </c>
      <c r="I744" s="186">
        <v>1</v>
      </c>
      <c r="J744" s="186">
        <v>1</v>
      </c>
    </row>
    <row r="745" spans="1:10">
      <c r="A745" s="188">
        <v>42656</v>
      </c>
      <c r="B745" s="186" t="s">
        <v>554</v>
      </c>
      <c r="C745" s="262" t="s">
        <v>461</v>
      </c>
      <c r="D745" s="186">
        <v>0</v>
      </c>
      <c r="E745" s="186">
        <v>0</v>
      </c>
      <c r="F745" s="186">
        <v>0</v>
      </c>
      <c r="G745" s="258">
        <v>0</v>
      </c>
      <c r="H745" s="186">
        <v>306</v>
      </c>
      <c r="I745" s="186">
        <v>0</v>
      </c>
      <c r="J745" s="186">
        <v>0</v>
      </c>
    </row>
    <row r="746" spans="1:10">
      <c r="A746" s="188">
        <v>42656</v>
      </c>
      <c r="B746" s="186" t="s">
        <v>554</v>
      </c>
      <c r="C746" s="262" t="s">
        <v>463</v>
      </c>
      <c r="D746" s="186">
        <v>0</v>
      </c>
      <c r="E746" s="186">
        <v>0</v>
      </c>
      <c r="F746" s="186">
        <v>0</v>
      </c>
      <c r="G746" s="258">
        <v>0</v>
      </c>
      <c r="H746" s="186">
        <v>430</v>
      </c>
      <c r="I746" s="186">
        <v>0</v>
      </c>
      <c r="J746" s="186">
        <v>0</v>
      </c>
    </row>
    <row r="747" spans="1:10">
      <c r="A747" s="188">
        <v>42656</v>
      </c>
      <c r="B747" s="186" t="s">
        <v>554</v>
      </c>
      <c r="C747" s="262" t="s">
        <v>464</v>
      </c>
      <c r="D747" s="186">
        <v>0</v>
      </c>
      <c r="E747" s="186">
        <v>0</v>
      </c>
      <c r="F747" s="186">
        <v>0</v>
      </c>
      <c r="G747" s="258">
        <v>0</v>
      </c>
      <c r="H747" s="186">
        <v>53</v>
      </c>
      <c r="I747" s="186">
        <v>0</v>
      </c>
      <c r="J747" s="186">
        <v>0</v>
      </c>
    </row>
    <row r="748" spans="1:10">
      <c r="A748" s="188">
        <v>42656</v>
      </c>
      <c r="B748" s="186" t="s">
        <v>554</v>
      </c>
      <c r="C748" s="262" t="s">
        <v>490</v>
      </c>
      <c r="D748" s="186">
        <v>0</v>
      </c>
      <c r="E748" s="186">
        <v>0</v>
      </c>
      <c r="F748" s="186">
        <v>0</v>
      </c>
      <c r="G748" s="258">
        <v>0</v>
      </c>
      <c r="H748" s="186">
        <v>29</v>
      </c>
      <c r="I748" s="186">
        <v>0</v>
      </c>
      <c r="J748" s="186">
        <v>0</v>
      </c>
    </row>
    <row r="749" spans="1:10">
      <c r="A749" s="188">
        <v>42656</v>
      </c>
      <c r="B749" s="186" t="s">
        <v>554</v>
      </c>
      <c r="C749" s="262" t="s">
        <v>460</v>
      </c>
      <c r="D749" s="186">
        <v>0</v>
      </c>
      <c r="E749" s="186">
        <v>0</v>
      </c>
      <c r="F749" s="186">
        <v>0</v>
      </c>
      <c r="G749" s="258">
        <v>0</v>
      </c>
      <c r="H749" s="186">
        <v>158</v>
      </c>
      <c r="I749" s="186">
        <v>0</v>
      </c>
      <c r="J749" s="186">
        <v>0</v>
      </c>
    </row>
    <row r="750" spans="1:10">
      <c r="A750" s="188">
        <v>42656</v>
      </c>
      <c r="B750" s="186" t="s">
        <v>554</v>
      </c>
      <c r="C750" s="262" t="s">
        <v>472</v>
      </c>
      <c r="D750" s="186">
        <v>0</v>
      </c>
      <c r="E750" s="186">
        <v>0</v>
      </c>
      <c r="F750" s="186">
        <v>0</v>
      </c>
      <c r="G750" s="258">
        <v>0</v>
      </c>
      <c r="H750" s="186">
        <v>2</v>
      </c>
      <c r="I750" s="186">
        <v>0</v>
      </c>
      <c r="J750" s="186">
        <v>0</v>
      </c>
    </row>
    <row r="751" spans="1:10">
      <c r="A751" s="188">
        <v>42656</v>
      </c>
      <c r="B751" s="186" t="s">
        <v>554</v>
      </c>
      <c r="C751" s="262" t="s">
        <v>460</v>
      </c>
      <c r="D751" s="186">
        <v>0</v>
      </c>
      <c r="E751" s="186">
        <v>0</v>
      </c>
      <c r="F751" s="186">
        <v>0</v>
      </c>
      <c r="G751" s="258">
        <v>0</v>
      </c>
      <c r="H751" s="186">
        <v>158</v>
      </c>
      <c r="I751" s="186">
        <v>0</v>
      </c>
      <c r="J751" s="186">
        <v>0</v>
      </c>
    </row>
    <row r="752" spans="1:10">
      <c r="A752" s="188">
        <v>42656</v>
      </c>
      <c r="B752" s="186" t="s">
        <v>554</v>
      </c>
      <c r="C752" s="262" t="s">
        <v>472</v>
      </c>
      <c r="D752" s="186">
        <v>0</v>
      </c>
      <c r="E752" s="186">
        <v>0</v>
      </c>
      <c r="F752" s="186">
        <v>0</v>
      </c>
      <c r="G752" s="258">
        <v>0</v>
      </c>
      <c r="H752" s="186">
        <v>2</v>
      </c>
      <c r="I752" s="186">
        <v>0</v>
      </c>
      <c r="J752" s="186">
        <v>0</v>
      </c>
    </row>
    <row r="753" spans="1:10">
      <c r="A753" s="188">
        <v>42656</v>
      </c>
      <c r="B753" s="186" t="s">
        <v>554</v>
      </c>
      <c r="C753" s="262" t="s">
        <v>479</v>
      </c>
      <c r="D753" s="186">
        <v>0</v>
      </c>
      <c r="E753" s="186">
        <v>0</v>
      </c>
      <c r="F753" s="186">
        <v>0</v>
      </c>
      <c r="G753" s="258">
        <v>0</v>
      </c>
      <c r="H753" s="186">
        <v>125</v>
      </c>
      <c r="I753" s="186">
        <v>0</v>
      </c>
      <c r="J753" s="186">
        <v>0</v>
      </c>
    </row>
    <row r="754" spans="1:10">
      <c r="A754" s="188">
        <v>42656</v>
      </c>
      <c r="B754" s="186" t="s">
        <v>554</v>
      </c>
      <c r="C754" s="262" t="s">
        <v>480</v>
      </c>
      <c r="D754" s="186">
        <v>0</v>
      </c>
      <c r="E754" s="186">
        <v>1</v>
      </c>
      <c r="F754" s="186">
        <v>0</v>
      </c>
      <c r="G754" s="258">
        <v>0</v>
      </c>
      <c r="H754" s="186">
        <v>41</v>
      </c>
      <c r="I754" s="186">
        <v>1</v>
      </c>
      <c r="J754" s="186">
        <v>0</v>
      </c>
    </row>
    <row r="755" spans="1:10">
      <c r="A755" s="188">
        <v>42656</v>
      </c>
      <c r="B755" s="186" t="s">
        <v>554</v>
      </c>
      <c r="C755" s="262" t="s">
        <v>508</v>
      </c>
      <c r="D755" s="186">
        <v>0</v>
      </c>
      <c r="E755" s="186">
        <v>0</v>
      </c>
      <c r="F755" s="186">
        <v>0</v>
      </c>
      <c r="G755" s="258">
        <v>0</v>
      </c>
      <c r="H755" s="186">
        <v>2</v>
      </c>
      <c r="I755" s="186">
        <v>0</v>
      </c>
      <c r="J755" s="186">
        <v>0</v>
      </c>
    </row>
    <row r="756" spans="1:10">
      <c r="A756" s="188">
        <v>42656</v>
      </c>
      <c r="B756" s="186" t="s">
        <v>554</v>
      </c>
      <c r="C756" s="262" t="s">
        <v>468</v>
      </c>
      <c r="D756" s="186">
        <v>0</v>
      </c>
      <c r="E756" s="186">
        <v>0</v>
      </c>
      <c r="F756" s="186">
        <v>0</v>
      </c>
      <c r="G756" s="258">
        <v>0</v>
      </c>
      <c r="H756" s="186">
        <v>22</v>
      </c>
      <c r="I756" s="186">
        <v>0</v>
      </c>
      <c r="J756" s="186">
        <v>0</v>
      </c>
    </row>
    <row r="757" spans="1:10">
      <c r="A757" s="188">
        <v>42656</v>
      </c>
      <c r="B757" s="186" t="s">
        <v>554</v>
      </c>
      <c r="C757" s="262" t="s">
        <v>469</v>
      </c>
      <c r="D757" s="186">
        <v>0</v>
      </c>
      <c r="E757" s="186">
        <v>0</v>
      </c>
      <c r="F757" s="186">
        <v>0</v>
      </c>
      <c r="G757" s="258">
        <v>0</v>
      </c>
      <c r="H757" s="186">
        <v>145</v>
      </c>
      <c r="I757" s="186">
        <v>0</v>
      </c>
      <c r="J757" s="186">
        <v>0</v>
      </c>
    </row>
    <row r="758" spans="1:10">
      <c r="A758" s="188">
        <v>42656</v>
      </c>
      <c r="B758" s="186" t="s">
        <v>554</v>
      </c>
      <c r="C758" s="262" t="s">
        <v>470</v>
      </c>
      <c r="D758" s="186">
        <v>0</v>
      </c>
      <c r="E758" s="186">
        <v>0</v>
      </c>
      <c r="F758" s="186">
        <v>0</v>
      </c>
      <c r="G758" s="258">
        <v>0</v>
      </c>
      <c r="H758" s="186">
        <v>89</v>
      </c>
      <c r="I758" s="186">
        <v>0</v>
      </c>
      <c r="J758" s="186">
        <v>0</v>
      </c>
    </row>
    <row r="759" spans="1:10">
      <c r="A759" s="188">
        <v>42656</v>
      </c>
      <c r="B759" s="186" t="s">
        <v>554</v>
      </c>
      <c r="C759" s="262" t="s">
        <v>471</v>
      </c>
      <c r="D759" s="186">
        <v>0</v>
      </c>
      <c r="E759" s="186">
        <v>0</v>
      </c>
      <c r="F759" s="186">
        <v>0</v>
      </c>
      <c r="G759" s="258">
        <v>0</v>
      </c>
      <c r="H759" s="186">
        <v>22</v>
      </c>
      <c r="I759" s="186">
        <v>0</v>
      </c>
      <c r="J759" s="186">
        <v>0</v>
      </c>
    </row>
    <row r="760" spans="1:10">
      <c r="A760" s="188">
        <v>42657</v>
      </c>
      <c r="B760" s="186" t="s">
        <v>459</v>
      </c>
      <c r="C760" s="262" t="s">
        <v>460</v>
      </c>
      <c r="D760" s="186">
        <v>3</v>
      </c>
      <c r="E760" s="186">
        <v>57</v>
      </c>
      <c r="F760" s="186">
        <v>0</v>
      </c>
      <c r="G760" s="258">
        <v>4</v>
      </c>
      <c r="H760" s="186">
        <v>2677</v>
      </c>
      <c r="I760" s="186">
        <v>57</v>
      </c>
      <c r="J760" s="186">
        <v>4</v>
      </c>
    </row>
    <row r="761" spans="1:10">
      <c r="A761" s="188">
        <v>42657</v>
      </c>
      <c r="B761" s="186" t="s">
        <v>459</v>
      </c>
      <c r="C761" s="262" t="s">
        <v>467</v>
      </c>
      <c r="D761" s="186">
        <v>4</v>
      </c>
      <c r="E761" s="186">
        <v>32</v>
      </c>
      <c r="F761" s="186">
        <v>0</v>
      </c>
      <c r="G761" s="258">
        <v>3</v>
      </c>
      <c r="H761" s="186">
        <v>1810</v>
      </c>
      <c r="I761" s="186">
        <v>32</v>
      </c>
      <c r="J761" s="186">
        <v>3</v>
      </c>
    </row>
    <row r="762" spans="1:10">
      <c r="A762" s="188">
        <v>42657</v>
      </c>
      <c r="B762" s="186" t="s">
        <v>459</v>
      </c>
      <c r="C762" s="262" t="s">
        <v>466</v>
      </c>
      <c r="D762" s="186">
        <v>0</v>
      </c>
      <c r="E762" s="186">
        <v>11</v>
      </c>
      <c r="F762" s="186">
        <v>0</v>
      </c>
      <c r="G762" s="258">
        <v>2</v>
      </c>
      <c r="H762" s="186">
        <v>263</v>
      </c>
      <c r="I762" s="186">
        <v>11</v>
      </c>
      <c r="J762" s="186">
        <v>2</v>
      </c>
    </row>
    <row r="763" spans="1:10">
      <c r="A763" s="188">
        <v>42657</v>
      </c>
      <c r="B763" s="186" t="s">
        <v>459</v>
      </c>
      <c r="C763" s="262" t="s">
        <v>470</v>
      </c>
      <c r="D763" s="186">
        <v>0</v>
      </c>
      <c r="E763" s="186">
        <v>4</v>
      </c>
      <c r="F763" s="186">
        <v>0</v>
      </c>
      <c r="G763" s="258">
        <v>2</v>
      </c>
      <c r="H763" s="186">
        <v>960</v>
      </c>
      <c r="I763" s="186">
        <v>4</v>
      </c>
      <c r="J763" s="186">
        <v>2</v>
      </c>
    </row>
    <row r="764" spans="1:10">
      <c r="A764" s="188">
        <v>42657</v>
      </c>
      <c r="B764" s="186" t="s">
        <v>459</v>
      </c>
      <c r="C764" s="262" t="s">
        <v>487</v>
      </c>
      <c r="D764" s="186">
        <v>0</v>
      </c>
      <c r="E764" s="186">
        <v>1</v>
      </c>
      <c r="F764" s="186">
        <v>0</v>
      </c>
      <c r="G764" s="258">
        <v>1</v>
      </c>
      <c r="H764" s="186">
        <v>0</v>
      </c>
      <c r="I764" s="186">
        <v>1</v>
      </c>
      <c r="J764" s="186">
        <v>1</v>
      </c>
    </row>
    <row r="765" spans="1:10">
      <c r="A765" s="188">
        <v>42657</v>
      </c>
      <c r="B765" s="186" t="s">
        <v>459</v>
      </c>
      <c r="C765" s="262" t="s">
        <v>508</v>
      </c>
      <c r="D765" s="186">
        <v>0</v>
      </c>
      <c r="E765" s="186">
        <v>4</v>
      </c>
      <c r="F765" s="186">
        <v>0</v>
      </c>
      <c r="G765" s="258">
        <v>1</v>
      </c>
      <c r="H765" s="186">
        <v>80</v>
      </c>
      <c r="I765" s="186">
        <v>4</v>
      </c>
      <c r="J765" s="186">
        <v>1</v>
      </c>
    </row>
    <row r="766" spans="1:10">
      <c r="A766" s="188">
        <v>42657</v>
      </c>
      <c r="B766" s="186" t="s">
        <v>459</v>
      </c>
      <c r="C766" s="262" t="s">
        <v>461</v>
      </c>
      <c r="D766" s="186">
        <v>0</v>
      </c>
      <c r="E766" s="186">
        <v>0</v>
      </c>
      <c r="F766" s="186">
        <v>0</v>
      </c>
      <c r="G766" s="258">
        <v>0</v>
      </c>
      <c r="H766" s="186">
        <v>5169</v>
      </c>
      <c r="I766" s="186">
        <v>0</v>
      </c>
      <c r="J766" s="186">
        <v>0</v>
      </c>
    </row>
    <row r="767" spans="1:10">
      <c r="A767" s="188">
        <v>42657</v>
      </c>
      <c r="B767" s="186" t="s">
        <v>459</v>
      </c>
      <c r="C767" s="262" t="s">
        <v>464</v>
      </c>
      <c r="D767" s="186">
        <v>0</v>
      </c>
      <c r="E767" s="186">
        <v>0</v>
      </c>
      <c r="F767" s="186">
        <v>0</v>
      </c>
      <c r="G767" s="258">
        <v>0</v>
      </c>
      <c r="H767" s="186">
        <v>365</v>
      </c>
      <c r="I767" s="186">
        <v>0</v>
      </c>
      <c r="J767" s="186">
        <v>0</v>
      </c>
    </row>
    <row r="768" spans="1:10">
      <c r="A768" s="188">
        <v>42657</v>
      </c>
      <c r="B768" s="186" t="s">
        <v>459</v>
      </c>
      <c r="C768" s="262" t="s">
        <v>465</v>
      </c>
      <c r="D768" s="186">
        <v>0</v>
      </c>
      <c r="E768" s="186">
        <v>2</v>
      </c>
      <c r="F768" s="186">
        <v>0</v>
      </c>
      <c r="G768" s="258">
        <v>0</v>
      </c>
      <c r="H768" s="186">
        <v>176</v>
      </c>
      <c r="I768" s="186">
        <v>2</v>
      </c>
      <c r="J768" s="186">
        <v>0</v>
      </c>
    </row>
    <row r="769" spans="1:10">
      <c r="A769" s="188">
        <v>42657</v>
      </c>
      <c r="B769" s="186" t="s">
        <v>459</v>
      </c>
      <c r="C769" s="262" t="s">
        <v>472</v>
      </c>
      <c r="D769" s="186">
        <v>0</v>
      </c>
      <c r="E769" s="186">
        <v>0</v>
      </c>
      <c r="F769" s="186">
        <v>0</v>
      </c>
      <c r="G769" s="258">
        <v>0</v>
      </c>
      <c r="H769" s="186">
        <v>1</v>
      </c>
      <c r="I769" s="186">
        <v>0</v>
      </c>
      <c r="J769" s="186">
        <v>0</v>
      </c>
    </row>
    <row r="770" spans="1:10">
      <c r="A770" s="188">
        <v>42657</v>
      </c>
      <c r="B770" s="186" t="s">
        <v>459</v>
      </c>
      <c r="C770" s="262" t="s">
        <v>465</v>
      </c>
      <c r="D770" s="186">
        <v>0</v>
      </c>
      <c r="E770" s="186">
        <v>2</v>
      </c>
      <c r="F770" s="186">
        <v>0</v>
      </c>
      <c r="G770" s="258">
        <v>0</v>
      </c>
      <c r="H770" s="186">
        <v>176</v>
      </c>
      <c r="I770" s="186">
        <v>2</v>
      </c>
      <c r="J770" s="186">
        <v>0</v>
      </c>
    </row>
    <row r="771" spans="1:10">
      <c r="A771" s="188">
        <v>42657</v>
      </c>
      <c r="B771" s="186" t="s">
        <v>459</v>
      </c>
      <c r="C771" s="262" t="s">
        <v>472</v>
      </c>
      <c r="D771" s="186">
        <v>0</v>
      </c>
      <c r="E771" s="186">
        <v>0</v>
      </c>
      <c r="F771" s="186">
        <v>0</v>
      </c>
      <c r="G771" s="258">
        <v>0</v>
      </c>
      <c r="H771" s="186">
        <v>1</v>
      </c>
      <c r="I771" s="186">
        <v>0</v>
      </c>
      <c r="J771" s="186">
        <v>0</v>
      </c>
    </row>
    <row r="772" spans="1:10">
      <c r="A772" s="188">
        <v>42657</v>
      </c>
      <c r="B772" s="186" t="s">
        <v>459</v>
      </c>
      <c r="C772" s="262" t="s">
        <v>468</v>
      </c>
      <c r="D772" s="186">
        <v>0</v>
      </c>
      <c r="E772" s="186">
        <v>0</v>
      </c>
      <c r="F772" s="186">
        <v>0</v>
      </c>
      <c r="G772" s="258">
        <v>0</v>
      </c>
      <c r="H772" s="186">
        <v>69</v>
      </c>
      <c r="I772" s="186">
        <v>0</v>
      </c>
      <c r="J772" s="186">
        <v>0</v>
      </c>
    </row>
    <row r="773" spans="1:10">
      <c r="A773" s="188">
        <v>42657</v>
      </c>
      <c r="B773" s="186" t="s">
        <v>459</v>
      </c>
      <c r="C773" s="262" t="s">
        <v>469</v>
      </c>
      <c r="D773" s="186">
        <v>0</v>
      </c>
      <c r="E773" s="186">
        <v>0</v>
      </c>
      <c r="F773" s="186">
        <v>0</v>
      </c>
      <c r="G773" s="258">
        <v>0</v>
      </c>
      <c r="H773" s="186">
        <v>902</v>
      </c>
      <c r="I773" s="186">
        <v>0</v>
      </c>
      <c r="J773" s="186">
        <v>0</v>
      </c>
    </row>
    <row r="774" spans="1:10">
      <c r="A774" s="188">
        <v>42657</v>
      </c>
      <c r="B774" s="186" t="s">
        <v>459</v>
      </c>
      <c r="C774" s="262" t="s">
        <v>471</v>
      </c>
      <c r="D774" s="186">
        <v>0</v>
      </c>
      <c r="E774" s="186">
        <v>0</v>
      </c>
      <c r="F774" s="186">
        <v>0</v>
      </c>
      <c r="G774" s="258">
        <v>0</v>
      </c>
      <c r="H774" s="186">
        <v>69</v>
      </c>
      <c r="I774" s="186">
        <v>0</v>
      </c>
      <c r="J774" s="186">
        <v>0</v>
      </c>
    </row>
    <row r="775" spans="1:10">
      <c r="A775" s="188">
        <v>42657</v>
      </c>
      <c r="B775" s="186" t="s">
        <v>474</v>
      </c>
      <c r="C775" s="262" t="s">
        <v>465</v>
      </c>
      <c r="D775" s="186">
        <v>0</v>
      </c>
      <c r="E775" s="186">
        <v>3</v>
      </c>
      <c r="F775" s="186">
        <v>0</v>
      </c>
      <c r="G775" s="258">
        <v>1</v>
      </c>
      <c r="H775" s="186">
        <v>236</v>
      </c>
      <c r="I775" s="186">
        <v>3</v>
      </c>
      <c r="J775" s="186">
        <v>1</v>
      </c>
    </row>
    <row r="776" spans="1:10">
      <c r="A776" s="188">
        <v>42657</v>
      </c>
      <c r="B776" s="186" t="s">
        <v>474</v>
      </c>
      <c r="C776" s="262" t="s">
        <v>466</v>
      </c>
      <c r="D776" s="186">
        <v>0</v>
      </c>
      <c r="E776" s="186">
        <v>15</v>
      </c>
      <c r="F776" s="186">
        <v>0</v>
      </c>
      <c r="G776" s="258">
        <v>1</v>
      </c>
      <c r="H776" s="186">
        <v>579</v>
      </c>
      <c r="I776" s="186">
        <v>15</v>
      </c>
      <c r="J776" s="186">
        <v>1</v>
      </c>
    </row>
    <row r="777" spans="1:10">
      <c r="A777" s="188">
        <v>42657</v>
      </c>
      <c r="B777" s="186" t="s">
        <v>474</v>
      </c>
      <c r="C777" s="262" t="s">
        <v>462</v>
      </c>
      <c r="D777" s="186">
        <v>0</v>
      </c>
      <c r="E777" s="186">
        <v>0</v>
      </c>
      <c r="F777" s="186">
        <v>0</v>
      </c>
      <c r="G777" s="258">
        <v>0</v>
      </c>
      <c r="H777" s="186">
        <v>45</v>
      </c>
      <c r="I777" s="186">
        <v>0</v>
      </c>
      <c r="J777" s="186">
        <v>0</v>
      </c>
    </row>
    <row r="778" spans="1:10">
      <c r="A778" s="188">
        <v>42657</v>
      </c>
      <c r="B778" s="186" t="s">
        <v>474</v>
      </c>
      <c r="C778" s="262" t="s">
        <v>464</v>
      </c>
      <c r="D778" s="186">
        <v>0</v>
      </c>
      <c r="E778" s="186">
        <v>0</v>
      </c>
      <c r="F778" s="186">
        <v>0</v>
      </c>
      <c r="G778" s="258">
        <v>0</v>
      </c>
      <c r="H778" s="186">
        <v>46</v>
      </c>
      <c r="I778" s="186">
        <v>0</v>
      </c>
      <c r="J778" s="186">
        <v>0</v>
      </c>
    </row>
    <row r="779" spans="1:10">
      <c r="A779" s="188">
        <v>42657</v>
      </c>
      <c r="B779" s="186" t="s">
        <v>474</v>
      </c>
      <c r="C779" s="262" t="s">
        <v>472</v>
      </c>
      <c r="D779" s="186">
        <v>0</v>
      </c>
      <c r="E779" s="186">
        <v>0</v>
      </c>
      <c r="F779" s="186">
        <v>0</v>
      </c>
      <c r="G779" s="258">
        <v>0</v>
      </c>
      <c r="H779" s="186">
        <v>1</v>
      </c>
      <c r="I779" s="186">
        <v>0</v>
      </c>
      <c r="J779" s="186">
        <v>0</v>
      </c>
    </row>
    <row r="780" spans="1:10">
      <c r="A780" s="188">
        <v>42657</v>
      </c>
      <c r="B780" s="186" t="s">
        <v>474</v>
      </c>
      <c r="C780" s="262" t="s">
        <v>479</v>
      </c>
      <c r="D780" s="186">
        <v>0</v>
      </c>
      <c r="E780" s="186">
        <v>0</v>
      </c>
      <c r="F780" s="186">
        <v>0</v>
      </c>
      <c r="G780" s="258">
        <v>0</v>
      </c>
      <c r="H780" s="186">
        <v>1</v>
      </c>
      <c r="I780" s="186">
        <v>0</v>
      </c>
      <c r="J780" s="186">
        <v>0</v>
      </c>
    </row>
    <row r="781" spans="1:10">
      <c r="A781" s="188">
        <v>42657</v>
      </c>
      <c r="B781" s="186" t="s">
        <v>474</v>
      </c>
      <c r="C781" s="262" t="s">
        <v>480</v>
      </c>
      <c r="D781" s="186">
        <v>0</v>
      </c>
      <c r="E781" s="186">
        <v>1</v>
      </c>
      <c r="F781" s="186">
        <v>0</v>
      </c>
      <c r="G781" s="258">
        <v>0</v>
      </c>
      <c r="H781" s="186">
        <v>36</v>
      </c>
      <c r="I781" s="186">
        <v>1</v>
      </c>
      <c r="J781" s="186">
        <v>0</v>
      </c>
    </row>
    <row r="782" spans="1:10">
      <c r="A782" s="188">
        <v>42657</v>
      </c>
      <c r="B782" s="186" t="s">
        <v>474</v>
      </c>
      <c r="C782" s="262" t="s">
        <v>468</v>
      </c>
      <c r="D782" s="186">
        <v>0</v>
      </c>
      <c r="E782" s="186">
        <v>0</v>
      </c>
      <c r="F782" s="186">
        <v>0</v>
      </c>
      <c r="G782" s="258">
        <v>0</v>
      </c>
      <c r="H782" s="186">
        <v>4</v>
      </c>
      <c r="I782" s="186">
        <v>0</v>
      </c>
      <c r="J782" s="186">
        <v>0</v>
      </c>
    </row>
    <row r="783" spans="1:10">
      <c r="A783" s="188">
        <v>42657</v>
      </c>
      <c r="B783" s="186" t="s">
        <v>474</v>
      </c>
      <c r="C783" s="262" t="s">
        <v>469</v>
      </c>
      <c r="D783" s="186">
        <v>0</v>
      </c>
      <c r="E783" s="186">
        <v>0</v>
      </c>
      <c r="F783" s="186">
        <v>0</v>
      </c>
      <c r="G783" s="258">
        <v>0</v>
      </c>
      <c r="H783" s="186">
        <v>75</v>
      </c>
      <c r="I783" s="186">
        <v>0</v>
      </c>
      <c r="J783" s="186">
        <v>0</v>
      </c>
    </row>
    <row r="784" spans="1:10">
      <c r="A784" s="188">
        <v>42657</v>
      </c>
      <c r="B784" s="186" t="s">
        <v>474</v>
      </c>
      <c r="C784" s="262" t="s">
        <v>470</v>
      </c>
      <c r="D784" s="186">
        <v>0</v>
      </c>
      <c r="E784" s="186">
        <v>0</v>
      </c>
      <c r="F784" s="186">
        <v>0</v>
      </c>
      <c r="G784" s="258">
        <v>0</v>
      </c>
      <c r="H784" s="186">
        <v>149</v>
      </c>
      <c r="I784" s="186">
        <v>0</v>
      </c>
      <c r="J784" s="186">
        <v>0</v>
      </c>
    </row>
    <row r="785" spans="1:10">
      <c r="A785" s="188">
        <v>42657</v>
      </c>
      <c r="B785" s="186" t="s">
        <v>474</v>
      </c>
      <c r="C785" s="262" t="s">
        <v>471</v>
      </c>
      <c r="D785" s="186">
        <v>0</v>
      </c>
      <c r="E785" s="186">
        <v>0</v>
      </c>
      <c r="F785" s="186">
        <v>0</v>
      </c>
      <c r="G785" s="258">
        <v>0</v>
      </c>
      <c r="H785" s="186">
        <v>4</v>
      </c>
      <c r="I785" s="186">
        <v>0</v>
      </c>
      <c r="J785" s="186">
        <v>0</v>
      </c>
    </row>
    <row r="786" spans="1:10">
      <c r="A786" s="188">
        <v>42657</v>
      </c>
      <c r="B786" s="186" t="s">
        <v>193</v>
      </c>
      <c r="C786" s="262" t="s">
        <v>484</v>
      </c>
      <c r="D786" s="186">
        <v>0</v>
      </c>
      <c r="E786" s="186">
        <v>3</v>
      </c>
      <c r="F786" s="186">
        <v>0</v>
      </c>
      <c r="G786" s="258">
        <v>1</v>
      </c>
      <c r="H786" s="186">
        <v>0</v>
      </c>
      <c r="I786" s="186">
        <v>3</v>
      </c>
      <c r="J786" s="186">
        <v>1</v>
      </c>
    </row>
    <row r="787" spans="1:10">
      <c r="A787" s="188">
        <v>42657</v>
      </c>
      <c r="B787" s="186" t="s">
        <v>193</v>
      </c>
      <c r="C787" s="262" t="s">
        <v>465</v>
      </c>
      <c r="D787" s="186">
        <v>0</v>
      </c>
      <c r="E787" s="186">
        <v>1</v>
      </c>
      <c r="F787" s="186">
        <v>0</v>
      </c>
      <c r="G787" s="258">
        <v>1</v>
      </c>
      <c r="H787" s="186">
        <v>0</v>
      </c>
      <c r="I787" s="186">
        <v>1</v>
      </c>
      <c r="J787" s="186">
        <v>1</v>
      </c>
    </row>
    <row r="788" spans="1:10">
      <c r="A788" s="188">
        <v>42657</v>
      </c>
      <c r="B788" s="186" t="s">
        <v>193</v>
      </c>
      <c r="C788" s="262" t="s">
        <v>463</v>
      </c>
      <c r="D788" s="186">
        <v>0</v>
      </c>
      <c r="E788" s="186">
        <v>0</v>
      </c>
      <c r="F788" s="186">
        <v>0</v>
      </c>
      <c r="G788" s="258">
        <v>0</v>
      </c>
      <c r="H788" s="186">
        <v>0</v>
      </c>
      <c r="I788" s="186">
        <v>0</v>
      </c>
      <c r="J788" s="186">
        <v>0</v>
      </c>
    </row>
    <row r="789" spans="1:10">
      <c r="A789" s="188">
        <v>42657</v>
      </c>
      <c r="B789" s="186" t="s">
        <v>227</v>
      </c>
      <c r="C789" s="262" t="s">
        <v>484</v>
      </c>
      <c r="D789" s="186">
        <v>0</v>
      </c>
      <c r="E789" s="186">
        <v>0</v>
      </c>
      <c r="F789" s="186">
        <v>0</v>
      </c>
      <c r="G789" s="258">
        <v>0</v>
      </c>
      <c r="H789" s="186">
        <v>54</v>
      </c>
      <c r="I789" s="186">
        <v>0</v>
      </c>
      <c r="J789" s="186">
        <v>0</v>
      </c>
    </row>
    <row r="790" spans="1:10">
      <c r="A790" s="188">
        <v>42657</v>
      </c>
      <c r="B790" s="186" t="s">
        <v>227</v>
      </c>
      <c r="C790" s="262" t="s">
        <v>487</v>
      </c>
      <c r="D790" s="186">
        <v>0</v>
      </c>
      <c r="E790" s="186">
        <v>0</v>
      </c>
      <c r="F790" s="186">
        <v>0</v>
      </c>
      <c r="G790" s="258">
        <v>0</v>
      </c>
      <c r="H790" s="186">
        <v>130</v>
      </c>
      <c r="I790" s="186">
        <v>0</v>
      </c>
      <c r="J790" s="186">
        <v>0</v>
      </c>
    </row>
    <row r="791" spans="1:10">
      <c r="A791" s="188">
        <v>42657</v>
      </c>
      <c r="B791" s="186" t="s">
        <v>227</v>
      </c>
      <c r="C791" s="262" t="s">
        <v>462</v>
      </c>
      <c r="D791" s="186">
        <v>0</v>
      </c>
      <c r="E791" s="186">
        <v>0</v>
      </c>
      <c r="F791" s="186">
        <v>0</v>
      </c>
      <c r="G791" s="258">
        <v>0</v>
      </c>
      <c r="H791" s="186">
        <v>386</v>
      </c>
      <c r="I791" s="186">
        <v>0</v>
      </c>
      <c r="J791" s="186">
        <v>0</v>
      </c>
    </row>
    <row r="792" spans="1:10">
      <c r="A792" s="188">
        <v>42657</v>
      </c>
      <c r="B792" s="186" t="s">
        <v>227</v>
      </c>
      <c r="C792" s="262" t="s">
        <v>464</v>
      </c>
      <c r="D792" s="186">
        <v>0</v>
      </c>
      <c r="E792" s="186">
        <v>0</v>
      </c>
      <c r="F792" s="186">
        <v>0</v>
      </c>
      <c r="G792" s="258">
        <v>0</v>
      </c>
      <c r="H792" s="186">
        <v>46</v>
      </c>
      <c r="I792" s="186">
        <v>0</v>
      </c>
      <c r="J792" s="186">
        <v>0</v>
      </c>
    </row>
    <row r="793" spans="1:10">
      <c r="A793" s="188">
        <v>42657</v>
      </c>
      <c r="B793" s="186" t="s">
        <v>227</v>
      </c>
      <c r="C793" s="262" t="s">
        <v>460</v>
      </c>
      <c r="D793" s="186">
        <v>0</v>
      </c>
      <c r="E793" s="186">
        <v>0</v>
      </c>
      <c r="F793" s="186">
        <v>0</v>
      </c>
      <c r="G793" s="258">
        <v>0</v>
      </c>
      <c r="H793" s="186">
        <v>1</v>
      </c>
      <c r="I793" s="186">
        <v>0</v>
      </c>
      <c r="J793" s="186">
        <v>0</v>
      </c>
    </row>
    <row r="794" spans="1:10">
      <c r="A794" s="188">
        <v>42657</v>
      </c>
      <c r="B794" s="186" t="s">
        <v>227</v>
      </c>
      <c r="C794" s="262" t="s">
        <v>465</v>
      </c>
      <c r="D794" s="186">
        <v>0</v>
      </c>
      <c r="E794" s="186">
        <v>3</v>
      </c>
      <c r="F794" s="186">
        <v>0</v>
      </c>
      <c r="G794" s="258">
        <v>0</v>
      </c>
      <c r="H794" s="186">
        <v>237</v>
      </c>
      <c r="I794" s="186">
        <v>3</v>
      </c>
      <c r="J794" s="186">
        <v>0</v>
      </c>
    </row>
    <row r="795" spans="1:10">
      <c r="A795" s="188">
        <v>42657</v>
      </c>
      <c r="B795" s="186" t="s">
        <v>227</v>
      </c>
      <c r="C795" s="262" t="s">
        <v>479</v>
      </c>
      <c r="D795" s="186">
        <v>0</v>
      </c>
      <c r="E795" s="186">
        <v>0</v>
      </c>
      <c r="F795" s="186">
        <v>0</v>
      </c>
      <c r="G795" s="258">
        <v>0</v>
      </c>
      <c r="H795" s="186">
        <v>123</v>
      </c>
      <c r="I795" s="186">
        <v>0</v>
      </c>
      <c r="J795" s="186">
        <v>0</v>
      </c>
    </row>
    <row r="796" spans="1:10">
      <c r="A796" s="188">
        <v>42657</v>
      </c>
      <c r="B796" s="186" t="s">
        <v>227</v>
      </c>
      <c r="C796" s="262" t="s">
        <v>508</v>
      </c>
      <c r="D796" s="186">
        <v>0</v>
      </c>
      <c r="E796" s="186">
        <v>0</v>
      </c>
      <c r="F796" s="186">
        <v>0</v>
      </c>
      <c r="G796" s="258">
        <v>0</v>
      </c>
      <c r="H796" s="186">
        <v>25</v>
      </c>
      <c r="I796" s="186">
        <v>0</v>
      </c>
      <c r="J796" s="186">
        <v>0</v>
      </c>
    </row>
    <row r="797" spans="1:10">
      <c r="A797" s="188">
        <v>42657</v>
      </c>
      <c r="B797" s="186" t="s">
        <v>227</v>
      </c>
      <c r="C797" s="262" t="s">
        <v>468</v>
      </c>
      <c r="D797" s="186">
        <v>0</v>
      </c>
      <c r="E797" s="186">
        <v>0</v>
      </c>
      <c r="F797" s="186">
        <v>0</v>
      </c>
      <c r="G797" s="258">
        <v>0</v>
      </c>
      <c r="H797" s="186">
        <v>50</v>
      </c>
      <c r="I797" s="186">
        <v>0</v>
      </c>
      <c r="J797" s="186">
        <v>0</v>
      </c>
    </row>
    <row r="798" spans="1:10">
      <c r="A798" s="188">
        <v>42657</v>
      </c>
      <c r="B798" s="186" t="s">
        <v>227</v>
      </c>
      <c r="C798" s="262" t="s">
        <v>469</v>
      </c>
      <c r="D798" s="186">
        <v>0</v>
      </c>
      <c r="E798" s="186">
        <v>0</v>
      </c>
      <c r="F798" s="186">
        <v>0</v>
      </c>
      <c r="G798" s="258">
        <v>0</v>
      </c>
      <c r="H798" s="186">
        <v>835</v>
      </c>
      <c r="I798" s="186">
        <v>0</v>
      </c>
      <c r="J798" s="186">
        <v>0</v>
      </c>
    </row>
    <row r="799" spans="1:10">
      <c r="A799" s="188">
        <v>42657</v>
      </c>
      <c r="B799" s="186" t="s">
        <v>227</v>
      </c>
      <c r="C799" s="262" t="s">
        <v>470</v>
      </c>
      <c r="D799" s="186">
        <v>0</v>
      </c>
      <c r="E799" s="186">
        <v>0</v>
      </c>
      <c r="F799" s="186">
        <v>0</v>
      </c>
      <c r="G799" s="258">
        <v>0</v>
      </c>
      <c r="H799" s="186">
        <v>118</v>
      </c>
      <c r="I799" s="186">
        <v>0</v>
      </c>
      <c r="J799" s="186">
        <v>0</v>
      </c>
    </row>
    <row r="800" spans="1:10">
      <c r="A800" s="188">
        <v>42657</v>
      </c>
      <c r="B800" s="186" t="s">
        <v>227</v>
      </c>
      <c r="C800" s="262" t="s">
        <v>471</v>
      </c>
      <c r="D800" s="186">
        <v>0</v>
      </c>
      <c r="E800" s="186">
        <v>0</v>
      </c>
      <c r="F800" s="186">
        <v>0</v>
      </c>
      <c r="G800" s="258">
        <v>0</v>
      </c>
      <c r="H800" s="186">
        <v>59</v>
      </c>
      <c r="I800" s="186">
        <v>0</v>
      </c>
      <c r="J800" s="186">
        <v>0</v>
      </c>
    </row>
    <row r="801" spans="1:10">
      <c r="A801" s="188">
        <v>42657</v>
      </c>
      <c r="B801" s="186" t="s">
        <v>226</v>
      </c>
      <c r="C801" s="262" t="s">
        <v>465</v>
      </c>
      <c r="D801" s="186">
        <v>1</v>
      </c>
      <c r="E801" s="186">
        <v>16</v>
      </c>
      <c r="F801" s="186">
        <v>0</v>
      </c>
      <c r="G801" s="258">
        <v>5</v>
      </c>
      <c r="H801" s="186">
        <v>1159</v>
      </c>
      <c r="I801" s="186">
        <v>16</v>
      </c>
      <c r="J801" s="186">
        <v>5</v>
      </c>
    </row>
    <row r="802" spans="1:10">
      <c r="A802" s="188">
        <v>42657</v>
      </c>
      <c r="B802" s="186" t="s">
        <v>226</v>
      </c>
      <c r="C802" s="262" t="s">
        <v>490</v>
      </c>
      <c r="D802" s="186">
        <v>1</v>
      </c>
      <c r="E802" s="186">
        <v>8</v>
      </c>
      <c r="F802" s="186">
        <v>0</v>
      </c>
      <c r="G802" s="258">
        <v>2</v>
      </c>
      <c r="H802" s="186">
        <v>269</v>
      </c>
      <c r="I802" s="186">
        <v>8</v>
      </c>
      <c r="J802" s="186">
        <v>2</v>
      </c>
    </row>
    <row r="803" spans="1:10">
      <c r="A803" s="188">
        <v>42657</v>
      </c>
      <c r="B803" s="186" t="s">
        <v>226</v>
      </c>
      <c r="C803" s="262" t="s">
        <v>489</v>
      </c>
      <c r="D803" s="186">
        <v>0</v>
      </c>
      <c r="E803" s="186">
        <v>2</v>
      </c>
      <c r="F803" s="186">
        <v>0</v>
      </c>
      <c r="G803" s="258">
        <v>2</v>
      </c>
      <c r="H803" s="186">
        <v>247</v>
      </c>
      <c r="I803" s="186">
        <v>2</v>
      </c>
      <c r="J803" s="186">
        <v>2</v>
      </c>
    </row>
    <row r="804" spans="1:10">
      <c r="A804" s="188">
        <v>42657</v>
      </c>
      <c r="B804" s="186" t="s">
        <v>226</v>
      </c>
      <c r="C804" s="262" t="s">
        <v>463</v>
      </c>
      <c r="D804" s="186">
        <v>0</v>
      </c>
      <c r="E804" s="186">
        <v>1</v>
      </c>
      <c r="F804" s="186">
        <v>0</v>
      </c>
      <c r="G804" s="258">
        <v>1</v>
      </c>
      <c r="H804" s="186">
        <v>0</v>
      </c>
      <c r="I804" s="186">
        <v>1</v>
      </c>
      <c r="J804" s="186">
        <v>1</v>
      </c>
    </row>
    <row r="805" spans="1:10">
      <c r="A805" s="188">
        <v>42657</v>
      </c>
      <c r="B805" s="186" t="s">
        <v>226</v>
      </c>
      <c r="C805" s="262" t="s">
        <v>466</v>
      </c>
      <c r="D805" s="186">
        <v>0</v>
      </c>
      <c r="E805" s="186">
        <v>15</v>
      </c>
      <c r="F805" s="186">
        <v>0</v>
      </c>
      <c r="G805" s="258">
        <v>1</v>
      </c>
      <c r="H805" s="186">
        <v>402</v>
      </c>
      <c r="I805" s="186">
        <v>15</v>
      </c>
      <c r="J805" s="186">
        <v>1</v>
      </c>
    </row>
    <row r="806" spans="1:10">
      <c r="A806" s="188">
        <v>42657</v>
      </c>
      <c r="B806" s="186" t="s">
        <v>226</v>
      </c>
      <c r="C806" s="262" t="s">
        <v>461</v>
      </c>
      <c r="D806" s="186">
        <v>0</v>
      </c>
      <c r="E806" s="186">
        <v>0</v>
      </c>
      <c r="F806" s="186">
        <v>0</v>
      </c>
      <c r="G806" s="258">
        <v>0</v>
      </c>
      <c r="H806" s="186">
        <v>974</v>
      </c>
      <c r="I806" s="186">
        <v>0</v>
      </c>
      <c r="J806" s="186">
        <v>0</v>
      </c>
    </row>
    <row r="807" spans="1:10">
      <c r="A807" s="188">
        <v>42657</v>
      </c>
      <c r="B807" s="186" t="s">
        <v>226</v>
      </c>
      <c r="C807" s="262" t="s">
        <v>462</v>
      </c>
      <c r="D807" s="186">
        <v>0</v>
      </c>
      <c r="E807" s="186">
        <v>0</v>
      </c>
      <c r="F807" s="186">
        <v>0</v>
      </c>
      <c r="G807" s="258">
        <v>0</v>
      </c>
      <c r="H807" s="186">
        <v>348</v>
      </c>
      <c r="I807" s="186">
        <v>0</v>
      </c>
      <c r="J807" s="186">
        <v>0</v>
      </c>
    </row>
    <row r="808" spans="1:10">
      <c r="A808" s="188">
        <v>42657</v>
      </c>
      <c r="B808" s="186" t="s">
        <v>226</v>
      </c>
      <c r="C808" s="262" t="s">
        <v>464</v>
      </c>
      <c r="D808" s="186">
        <v>0</v>
      </c>
      <c r="E808" s="186">
        <v>0</v>
      </c>
      <c r="F808" s="186">
        <v>0</v>
      </c>
      <c r="G808" s="258">
        <v>0</v>
      </c>
      <c r="H808" s="186">
        <v>148</v>
      </c>
      <c r="I808" s="186">
        <v>0</v>
      </c>
      <c r="J808" s="186">
        <v>0</v>
      </c>
    </row>
    <row r="809" spans="1:10">
      <c r="A809" s="188">
        <v>42657</v>
      </c>
      <c r="B809" s="186" t="s">
        <v>226</v>
      </c>
      <c r="C809" s="262" t="s">
        <v>460</v>
      </c>
      <c r="D809" s="186">
        <v>0</v>
      </c>
      <c r="E809" s="186">
        <v>0</v>
      </c>
      <c r="F809" s="186">
        <v>0</v>
      </c>
      <c r="G809" s="258">
        <v>0</v>
      </c>
      <c r="H809" s="186">
        <v>1</v>
      </c>
      <c r="I809" s="186">
        <v>0</v>
      </c>
      <c r="J809" s="186">
        <v>0</v>
      </c>
    </row>
    <row r="810" spans="1:10">
      <c r="A810" s="188">
        <v>42657</v>
      </c>
      <c r="B810" s="186" t="s">
        <v>226</v>
      </c>
      <c r="C810" s="262" t="s">
        <v>479</v>
      </c>
      <c r="D810" s="186">
        <v>0</v>
      </c>
      <c r="E810" s="186">
        <v>0</v>
      </c>
      <c r="F810" s="186">
        <v>0</v>
      </c>
      <c r="G810" s="258">
        <v>0</v>
      </c>
      <c r="H810" s="186">
        <v>279</v>
      </c>
      <c r="I810" s="186">
        <v>0</v>
      </c>
      <c r="J810" s="186">
        <v>0</v>
      </c>
    </row>
    <row r="811" spans="1:10">
      <c r="A811" s="188">
        <v>42657</v>
      </c>
      <c r="B811" s="186" t="s">
        <v>226</v>
      </c>
      <c r="C811" s="262" t="s">
        <v>479</v>
      </c>
      <c r="D811" s="186">
        <v>0</v>
      </c>
      <c r="E811" s="186">
        <v>0</v>
      </c>
      <c r="F811" s="186">
        <v>0</v>
      </c>
      <c r="G811" s="258">
        <v>0</v>
      </c>
      <c r="H811" s="186">
        <v>279</v>
      </c>
      <c r="I811" s="186">
        <v>0</v>
      </c>
      <c r="J811" s="186">
        <v>0</v>
      </c>
    </row>
    <row r="812" spans="1:10">
      <c r="A812" s="188">
        <v>42657</v>
      </c>
      <c r="B812" s="186" t="s">
        <v>226</v>
      </c>
      <c r="C812" s="262" t="s">
        <v>480</v>
      </c>
      <c r="D812" s="186">
        <v>0</v>
      </c>
      <c r="E812" s="186">
        <v>0</v>
      </c>
      <c r="F812" s="186">
        <v>0</v>
      </c>
      <c r="G812" s="258">
        <v>0</v>
      </c>
      <c r="H812" s="186">
        <v>29</v>
      </c>
      <c r="I812" s="186">
        <v>0</v>
      </c>
      <c r="J812" s="186">
        <v>0</v>
      </c>
    </row>
    <row r="813" spans="1:10">
      <c r="A813" s="188">
        <v>42657</v>
      </c>
      <c r="B813" s="186" t="s">
        <v>226</v>
      </c>
      <c r="C813" s="262" t="s">
        <v>468</v>
      </c>
      <c r="D813" s="186">
        <v>0</v>
      </c>
      <c r="E813" s="186">
        <v>0</v>
      </c>
      <c r="F813" s="186">
        <v>0</v>
      </c>
      <c r="G813" s="258">
        <v>0</v>
      </c>
      <c r="H813" s="186">
        <v>65</v>
      </c>
      <c r="I813" s="186">
        <v>0</v>
      </c>
      <c r="J813" s="186">
        <v>0</v>
      </c>
    </row>
    <row r="814" spans="1:10">
      <c r="A814" s="188">
        <v>42657</v>
      </c>
      <c r="B814" s="186" t="s">
        <v>226</v>
      </c>
      <c r="C814" s="262" t="s">
        <v>469</v>
      </c>
      <c r="D814" s="186">
        <v>0</v>
      </c>
      <c r="E814" s="186">
        <v>0</v>
      </c>
      <c r="F814" s="186">
        <v>0</v>
      </c>
      <c r="G814" s="258">
        <v>0</v>
      </c>
      <c r="H814" s="186">
        <v>731</v>
      </c>
      <c r="I814" s="186">
        <v>0</v>
      </c>
      <c r="J814" s="186">
        <v>0</v>
      </c>
    </row>
    <row r="815" spans="1:10">
      <c r="A815" s="188">
        <v>42657</v>
      </c>
      <c r="B815" s="186" t="s">
        <v>226</v>
      </c>
      <c r="C815" s="262" t="s">
        <v>470</v>
      </c>
      <c r="D815" s="186">
        <v>0</v>
      </c>
      <c r="E815" s="186">
        <v>0</v>
      </c>
      <c r="F815" s="186">
        <v>0</v>
      </c>
      <c r="G815" s="258">
        <v>0</v>
      </c>
      <c r="H815" s="186">
        <v>120</v>
      </c>
      <c r="I815" s="186">
        <v>0</v>
      </c>
      <c r="J815" s="186">
        <v>0</v>
      </c>
    </row>
    <row r="816" spans="1:10">
      <c r="A816" s="188">
        <v>42657</v>
      </c>
      <c r="B816" s="186" t="s">
        <v>226</v>
      </c>
      <c r="C816" s="262" t="s">
        <v>471</v>
      </c>
      <c r="D816" s="186">
        <v>0</v>
      </c>
      <c r="E816" s="186">
        <v>0</v>
      </c>
      <c r="F816" s="186">
        <v>0</v>
      </c>
      <c r="G816" s="258">
        <v>0</v>
      </c>
      <c r="H816" s="186">
        <v>54</v>
      </c>
      <c r="I816" s="186">
        <v>0</v>
      </c>
      <c r="J816" s="186">
        <v>0</v>
      </c>
    </row>
    <row r="817" spans="1:10">
      <c r="A817" s="188">
        <v>42657</v>
      </c>
      <c r="B817" s="186" t="s">
        <v>554</v>
      </c>
      <c r="C817" s="262" t="s">
        <v>466</v>
      </c>
      <c r="D817" s="186">
        <v>0</v>
      </c>
      <c r="E817" s="186">
        <v>17</v>
      </c>
      <c r="F817" s="186">
        <v>0</v>
      </c>
      <c r="G817" s="258">
        <v>11</v>
      </c>
      <c r="H817" s="186">
        <v>27</v>
      </c>
      <c r="I817" s="186">
        <v>17</v>
      </c>
      <c r="J817" s="186">
        <v>11</v>
      </c>
    </row>
    <row r="818" spans="1:10">
      <c r="A818" s="188">
        <v>42657</v>
      </c>
      <c r="B818" s="186" t="s">
        <v>554</v>
      </c>
      <c r="C818" s="262" t="s">
        <v>465</v>
      </c>
      <c r="D818" s="186">
        <v>0</v>
      </c>
      <c r="E818" s="186">
        <v>4</v>
      </c>
      <c r="F818" s="186">
        <v>0</v>
      </c>
      <c r="G818" s="258">
        <v>3</v>
      </c>
      <c r="H818" s="186">
        <v>26</v>
      </c>
      <c r="I818" s="186">
        <v>4</v>
      </c>
      <c r="J818" s="186">
        <v>3</v>
      </c>
    </row>
    <row r="819" spans="1:10">
      <c r="A819" s="188">
        <v>42657</v>
      </c>
      <c r="B819" s="186" t="s">
        <v>554</v>
      </c>
      <c r="C819" s="262" t="s">
        <v>489</v>
      </c>
      <c r="D819" s="186">
        <v>0</v>
      </c>
      <c r="E819" s="186">
        <v>1</v>
      </c>
      <c r="F819" s="186">
        <v>0</v>
      </c>
      <c r="G819" s="258">
        <v>1</v>
      </c>
      <c r="H819" s="186">
        <v>125</v>
      </c>
      <c r="I819" s="186">
        <v>1</v>
      </c>
      <c r="J819" s="186">
        <v>1</v>
      </c>
    </row>
    <row r="820" spans="1:10">
      <c r="A820" s="188">
        <v>42657</v>
      </c>
      <c r="B820" s="186" t="s">
        <v>554</v>
      </c>
      <c r="C820" s="262" t="s">
        <v>510</v>
      </c>
      <c r="D820" s="186">
        <v>0</v>
      </c>
      <c r="E820" s="186">
        <v>1</v>
      </c>
      <c r="F820" s="186">
        <v>0</v>
      </c>
      <c r="G820" s="258">
        <v>1</v>
      </c>
      <c r="H820" s="186">
        <v>106</v>
      </c>
      <c r="I820" s="186">
        <v>1</v>
      </c>
      <c r="J820" s="186">
        <v>1</v>
      </c>
    </row>
    <row r="821" spans="1:10">
      <c r="A821" s="188">
        <v>42657</v>
      </c>
      <c r="B821" s="186" t="s">
        <v>554</v>
      </c>
      <c r="C821" s="262" t="s">
        <v>461</v>
      </c>
      <c r="D821" s="186">
        <v>0</v>
      </c>
      <c r="E821" s="186">
        <v>0</v>
      </c>
      <c r="F821" s="186">
        <v>0</v>
      </c>
      <c r="G821" s="258">
        <v>0</v>
      </c>
      <c r="H821" s="186">
        <v>311</v>
      </c>
      <c r="I821" s="186">
        <v>0</v>
      </c>
      <c r="J821" s="186">
        <v>0</v>
      </c>
    </row>
    <row r="822" spans="1:10">
      <c r="A822" s="188">
        <v>42657</v>
      </c>
      <c r="B822" s="186" t="s">
        <v>554</v>
      </c>
      <c r="C822" s="262" t="s">
        <v>463</v>
      </c>
      <c r="D822" s="186">
        <v>0</v>
      </c>
      <c r="E822" s="186">
        <v>0</v>
      </c>
      <c r="F822" s="186">
        <v>0</v>
      </c>
      <c r="G822" s="258">
        <v>0</v>
      </c>
      <c r="H822" s="186">
        <v>434</v>
      </c>
      <c r="I822" s="186">
        <v>0</v>
      </c>
      <c r="J822" s="186">
        <v>0</v>
      </c>
    </row>
    <row r="823" spans="1:10">
      <c r="A823" s="188">
        <v>42657</v>
      </c>
      <c r="B823" s="186" t="s">
        <v>554</v>
      </c>
      <c r="C823" s="262" t="s">
        <v>464</v>
      </c>
      <c r="D823" s="186">
        <v>0</v>
      </c>
      <c r="E823" s="186">
        <v>0</v>
      </c>
      <c r="F823" s="186">
        <v>0</v>
      </c>
      <c r="G823" s="258">
        <v>0</v>
      </c>
      <c r="H823" s="186">
        <v>53</v>
      </c>
      <c r="I823" s="186">
        <v>0</v>
      </c>
      <c r="J823" s="186">
        <v>0</v>
      </c>
    </row>
    <row r="824" spans="1:10">
      <c r="A824" s="188">
        <v>42657</v>
      </c>
      <c r="B824" s="186" t="s">
        <v>554</v>
      </c>
      <c r="C824" s="262" t="s">
        <v>490</v>
      </c>
      <c r="D824" s="186">
        <v>0</v>
      </c>
      <c r="E824" s="186">
        <v>0</v>
      </c>
      <c r="F824" s="186">
        <v>0</v>
      </c>
      <c r="G824" s="258">
        <v>0</v>
      </c>
      <c r="H824" s="186">
        <v>31</v>
      </c>
      <c r="I824" s="186">
        <v>0</v>
      </c>
      <c r="J824" s="186">
        <v>0</v>
      </c>
    </row>
    <row r="825" spans="1:10">
      <c r="A825" s="188">
        <v>42657</v>
      </c>
      <c r="B825" s="186" t="s">
        <v>554</v>
      </c>
      <c r="C825" s="262" t="s">
        <v>460</v>
      </c>
      <c r="D825" s="186">
        <v>0</v>
      </c>
      <c r="E825" s="186">
        <v>0</v>
      </c>
      <c r="F825" s="186">
        <v>0</v>
      </c>
      <c r="G825" s="258">
        <v>0</v>
      </c>
      <c r="H825" s="186">
        <v>162</v>
      </c>
      <c r="I825" s="186">
        <v>0</v>
      </c>
      <c r="J825" s="186">
        <v>0</v>
      </c>
    </row>
    <row r="826" spans="1:10">
      <c r="A826" s="188">
        <v>42657</v>
      </c>
      <c r="B826" s="186" t="s">
        <v>554</v>
      </c>
      <c r="C826" s="262" t="s">
        <v>472</v>
      </c>
      <c r="D826" s="186">
        <v>0</v>
      </c>
      <c r="E826" s="186">
        <v>0</v>
      </c>
      <c r="F826" s="186">
        <v>0</v>
      </c>
      <c r="G826" s="258">
        <v>0</v>
      </c>
      <c r="H826" s="186">
        <v>2</v>
      </c>
      <c r="I826" s="186">
        <v>0</v>
      </c>
      <c r="J826" s="186">
        <v>0</v>
      </c>
    </row>
    <row r="827" spans="1:10">
      <c r="A827" s="188">
        <v>42657</v>
      </c>
      <c r="B827" s="186" t="s">
        <v>554</v>
      </c>
      <c r="C827" s="262" t="s">
        <v>460</v>
      </c>
      <c r="D827" s="186">
        <v>0</v>
      </c>
      <c r="E827" s="186">
        <v>0</v>
      </c>
      <c r="F827" s="186">
        <v>0</v>
      </c>
      <c r="G827" s="258">
        <v>0</v>
      </c>
      <c r="H827" s="186">
        <v>162</v>
      </c>
      <c r="I827" s="186">
        <v>0</v>
      </c>
      <c r="J827" s="186">
        <v>0</v>
      </c>
    </row>
    <row r="828" spans="1:10">
      <c r="A828" s="188">
        <v>42657</v>
      </c>
      <c r="B828" s="186" t="s">
        <v>554</v>
      </c>
      <c r="C828" s="262" t="s">
        <v>472</v>
      </c>
      <c r="D828" s="186">
        <v>0</v>
      </c>
      <c r="E828" s="186">
        <v>0</v>
      </c>
      <c r="F828" s="186">
        <v>0</v>
      </c>
      <c r="G828" s="258">
        <v>0</v>
      </c>
      <c r="H828" s="186">
        <v>2</v>
      </c>
      <c r="I828" s="186">
        <v>0</v>
      </c>
      <c r="J828" s="186">
        <v>0</v>
      </c>
    </row>
    <row r="829" spans="1:10">
      <c r="A829" s="188">
        <v>42657</v>
      </c>
      <c r="B829" s="186" t="s">
        <v>554</v>
      </c>
      <c r="C829" s="262" t="s">
        <v>479</v>
      </c>
      <c r="D829" s="186">
        <v>0</v>
      </c>
      <c r="E829" s="186">
        <v>0</v>
      </c>
      <c r="F829" s="186">
        <v>0</v>
      </c>
      <c r="G829" s="258">
        <v>0</v>
      </c>
      <c r="H829" s="186">
        <v>127</v>
      </c>
      <c r="I829" s="186">
        <v>0</v>
      </c>
      <c r="J829" s="186">
        <v>0</v>
      </c>
    </row>
    <row r="830" spans="1:10">
      <c r="A830" s="188">
        <v>42657</v>
      </c>
      <c r="B830" s="186" t="s">
        <v>554</v>
      </c>
      <c r="C830" s="262" t="s">
        <v>480</v>
      </c>
      <c r="D830" s="186">
        <v>0</v>
      </c>
      <c r="E830" s="186">
        <v>1</v>
      </c>
      <c r="F830" s="186">
        <v>0</v>
      </c>
      <c r="G830" s="258">
        <v>0</v>
      </c>
      <c r="H830" s="186">
        <v>41</v>
      </c>
      <c r="I830" s="186">
        <v>1</v>
      </c>
      <c r="J830" s="186">
        <v>0</v>
      </c>
    </row>
    <row r="831" spans="1:10">
      <c r="A831" s="188">
        <v>42657</v>
      </c>
      <c r="B831" s="186" t="s">
        <v>554</v>
      </c>
      <c r="C831" s="262" t="s">
        <v>508</v>
      </c>
      <c r="D831" s="186">
        <v>0</v>
      </c>
      <c r="E831" s="186">
        <v>0</v>
      </c>
      <c r="F831" s="186">
        <v>0</v>
      </c>
      <c r="G831" s="258">
        <v>0</v>
      </c>
      <c r="H831" s="186">
        <v>2</v>
      </c>
      <c r="I831" s="186">
        <v>0</v>
      </c>
      <c r="J831" s="186">
        <v>0</v>
      </c>
    </row>
    <row r="832" spans="1:10">
      <c r="A832" s="188">
        <v>42657</v>
      </c>
      <c r="B832" s="186" t="s">
        <v>554</v>
      </c>
      <c r="C832" s="262" t="s">
        <v>468</v>
      </c>
      <c r="D832" s="186">
        <v>0</v>
      </c>
      <c r="E832" s="186">
        <v>0</v>
      </c>
      <c r="F832" s="186">
        <v>0</v>
      </c>
      <c r="G832" s="258">
        <v>0</v>
      </c>
      <c r="H832" s="186">
        <v>22</v>
      </c>
      <c r="I832" s="186">
        <v>0</v>
      </c>
      <c r="J832" s="186">
        <v>0</v>
      </c>
    </row>
    <row r="833" spans="1:10">
      <c r="A833" s="188">
        <v>42657</v>
      </c>
      <c r="B833" s="186" t="s">
        <v>554</v>
      </c>
      <c r="C833" s="262" t="s">
        <v>469</v>
      </c>
      <c r="D833" s="186">
        <v>0</v>
      </c>
      <c r="E833" s="186">
        <v>0</v>
      </c>
      <c r="F833" s="186">
        <v>0</v>
      </c>
      <c r="G833" s="258">
        <v>0</v>
      </c>
      <c r="H833" s="186">
        <v>146</v>
      </c>
      <c r="I833" s="186">
        <v>0</v>
      </c>
      <c r="J833" s="186">
        <v>0</v>
      </c>
    </row>
    <row r="834" spans="1:10">
      <c r="A834" s="188">
        <v>42657</v>
      </c>
      <c r="B834" s="186" t="s">
        <v>554</v>
      </c>
      <c r="C834" s="262" t="s">
        <v>470</v>
      </c>
      <c r="D834" s="186">
        <v>0</v>
      </c>
      <c r="E834" s="186">
        <v>0</v>
      </c>
      <c r="F834" s="186">
        <v>0</v>
      </c>
      <c r="G834" s="258">
        <v>0</v>
      </c>
      <c r="H834" s="186">
        <v>92</v>
      </c>
      <c r="I834" s="186">
        <v>0</v>
      </c>
      <c r="J834" s="186">
        <v>0</v>
      </c>
    </row>
    <row r="835" spans="1:10">
      <c r="A835" s="188">
        <v>42657</v>
      </c>
      <c r="B835" s="186" t="s">
        <v>554</v>
      </c>
      <c r="C835" s="262" t="s">
        <v>471</v>
      </c>
      <c r="D835" s="186">
        <v>0</v>
      </c>
      <c r="E835" s="186">
        <v>0</v>
      </c>
      <c r="F835" s="186">
        <v>0</v>
      </c>
      <c r="G835" s="258">
        <v>0</v>
      </c>
      <c r="H835" s="186">
        <v>22</v>
      </c>
      <c r="I835" s="186">
        <v>0</v>
      </c>
      <c r="J835" s="186">
        <v>0</v>
      </c>
    </row>
  </sheetData>
  <autoFilter ref="A1:J271"/>
  <phoneticPr fontId="1" type="noConversion"/>
  <dataValidations count="1">
    <dataValidation type="list" allowBlank="1" showInputMessage="1" showErrorMessage="1" sqref="B1:B1048576">
      <formula1>"兰桂馥,掌娱纵横,趣游,前游,魔逗,中力为,鱼智,深圳玉璟"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H37"/>
  <sheetViews>
    <sheetView topLeftCell="A19" workbookViewId="0">
      <selection activeCell="J44" sqref="J44"/>
    </sheetView>
  </sheetViews>
  <sheetFormatPr defaultRowHeight="12.75"/>
  <cols>
    <col min="1" max="1" width="47.5703125" customWidth="1"/>
  </cols>
  <sheetData>
    <row r="1" spans="1:8" ht="17.25">
      <c r="A1" s="138" t="s">
        <v>134</v>
      </c>
    </row>
    <row r="2" spans="1:8" ht="17.25">
      <c r="A2" s="138"/>
    </row>
    <row r="3" spans="1:8" ht="34.5">
      <c r="A3" s="138" t="s">
        <v>135</v>
      </c>
    </row>
    <row r="4" spans="1:8" ht="34.5">
      <c r="A4" s="138" t="s">
        <v>136</v>
      </c>
    </row>
    <row r="5" spans="1:8" ht="16.5">
      <c r="A5" s="139"/>
    </row>
    <row r="6" spans="1:8" ht="34.5">
      <c r="A6" s="138" t="s">
        <v>137</v>
      </c>
    </row>
    <row r="7" spans="1:8" ht="34.5">
      <c r="A7" s="138" t="s">
        <v>138</v>
      </c>
    </row>
    <row r="8" spans="1:8" ht="17.25">
      <c r="A8" s="138" t="s">
        <v>139</v>
      </c>
    </row>
    <row r="9" spans="1:8" ht="14.25">
      <c r="A9" s="140"/>
    </row>
    <row r="10" spans="1:8" ht="17.25">
      <c r="A10" s="138" t="s">
        <v>140</v>
      </c>
    </row>
    <row r="11" spans="1:8" ht="18" thickBot="1">
      <c r="A11" s="321" t="s">
        <v>141</v>
      </c>
      <c r="B11" s="321"/>
      <c r="C11" s="321"/>
      <c r="D11" s="321"/>
      <c r="E11" s="321"/>
      <c r="F11" s="321"/>
      <c r="G11" s="321"/>
      <c r="H11" s="141"/>
    </row>
    <row r="12" spans="1:8" ht="18" thickBot="1">
      <c r="A12" s="142" t="s">
        <v>69</v>
      </c>
      <c r="B12" s="319" t="s">
        <v>142</v>
      </c>
      <c r="C12" s="320"/>
      <c r="D12" s="319" t="s">
        <v>143</v>
      </c>
      <c r="E12" s="320"/>
      <c r="F12" s="319" t="s">
        <v>144</v>
      </c>
      <c r="G12" s="320"/>
      <c r="H12" s="141"/>
    </row>
    <row r="13" spans="1:8" ht="18" thickBot="1">
      <c r="A13" s="143">
        <v>2.1</v>
      </c>
      <c r="B13" s="314" t="s">
        <v>145</v>
      </c>
      <c r="C13" s="315"/>
      <c r="D13" s="314" t="s">
        <v>146</v>
      </c>
      <c r="E13" s="315"/>
      <c r="F13" s="316" t="s">
        <v>147</v>
      </c>
      <c r="G13" s="317"/>
      <c r="H13" s="141"/>
    </row>
    <row r="14" spans="1:8" ht="18" thickBot="1">
      <c r="A14" s="143">
        <v>3.1</v>
      </c>
      <c r="B14" s="314" t="s">
        <v>148</v>
      </c>
      <c r="C14" s="315"/>
      <c r="D14" s="314" t="s">
        <v>149</v>
      </c>
      <c r="E14" s="315"/>
      <c r="F14" s="316" t="s">
        <v>150</v>
      </c>
      <c r="G14" s="317"/>
      <c r="H14" s="141"/>
    </row>
    <row r="15" spans="1:8" ht="18" thickBot="1">
      <c r="A15" s="143">
        <v>4.0999999999999996</v>
      </c>
      <c r="B15" s="314" t="s">
        <v>151</v>
      </c>
      <c r="C15" s="315"/>
      <c r="D15" s="314" t="s">
        <v>152</v>
      </c>
      <c r="E15" s="315"/>
      <c r="F15" s="316" t="s">
        <v>153</v>
      </c>
      <c r="G15" s="317"/>
      <c r="H15" s="141"/>
    </row>
    <row r="16" spans="1:8" ht="18" thickBot="1">
      <c r="A16" s="143">
        <v>5.0999999999999996</v>
      </c>
      <c r="B16" s="314" t="s">
        <v>154</v>
      </c>
      <c r="C16" s="315"/>
      <c r="D16" s="314" t="s">
        <v>155</v>
      </c>
      <c r="E16" s="315"/>
      <c r="F16" s="316" t="s">
        <v>153</v>
      </c>
      <c r="G16" s="317"/>
      <c r="H16" s="141"/>
    </row>
    <row r="17" spans="1:8" ht="17.25" thickBot="1">
      <c r="A17" s="318" t="s">
        <v>156</v>
      </c>
      <c r="B17" s="318"/>
      <c r="C17" s="318"/>
      <c r="D17" s="318"/>
      <c r="E17" s="318"/>
      <c r="F17" s="318"/>
      <c r="G17" s="318"/>
      <c r="H17" s="318"/>
    </row>
    <row r="18" spans="1:8" ht="15" thickBot="1">
      <c r="A18" s="319" t="s">
        <v>69</v>
      </c>
      <c r="B18" s="320"/>
      <c r="C18" s="319" t="s">
        <v>142</v>
      </c>
      <c r="D18" s="320"/>
      <c r="E18" s="319" t="s">
        <v>143</v>
      </c>
      <c r="F18" s="320"/>
      <c r="G18" s="319" t="s">
        <v>144</v>
      </c>
      <c r="H18" s="320"/>
    </row>
    <row r="19" spans="1:8" ht="15" thickBot="1">
      <c r="A19" s="312">
        <v>2.1</v>
      </c>
      <c r="B19" s="313"/>
      <c r="C19" s="314" t="s">
        <v>157</v>
      </c>
      <c r="D19" s="315"/>
      <c r="E19" s="314" t="s">
        <v>146</v>
      </c>
      <c r="F19" s="315"/>
      <c r="G19" s="316" t="s">
        <v>147</v>
      </c>
      <c r="H19" s="317"/>
    </row>
    <row r="20" spans="1:8" ht="15" thickBot="1">
      <c r="A20" s="312">
        <v>3.1</v>
      </c>
      <c r="B20" s="313"/>
      <c r="C20" s="314" t="s">
        <v>158</v>
      </c>
      <c r="D20" s="315"/>
      <c r="E20" s="314" t="s">
        <v>149</v>
      </c>
      <c r="F20" s="315"/>
      <c r="G20" s="316" t="s">
        <v>150</v>
      </c>
      <c r="H20" s="317"/>
    </row>
    <row r="21" spans="1:8" ht="15" thickBot="1">
      <c r="A21" s="312">
        <v>4.0999999999999996</v>
      </c>
      <c r="B21" s="313"/>
      <c r="C21" s="314" t="s">
        <v>159</v>
      </c>
      <c r="D21" s="315"/>
      <c r="E21" s="314" t="s">
        <v>152</v>
      </c>
      <c r="F21" s="315"/>
      <c r="G21" s="316" t="s">
        <v>153</v>
      </c>
      <c r="H21" s="317"/>
    </row>
    <row r="22" spans="1:8" ht="15" thickBot="1">
      <c r="A22" s="312">
        <v>5.0999999999999996</v>
      </c>
      <c r="B22" s="313"/>
      <c r="C22" s="314" t="s">
        <v>160</v>
      </c>
      <c r="D22" s="315"/>
      <c r="E22" s="314" t="s">
        <v>155</v>
      </c>
      <c r="F22" s="315"/>
      <c r="G22" s="316" t="s">
        <v>153</v>
      </c>
      <c r="H22" s="317"/>
    </row>
    <row r="23" spans="1:8">
      <c r="A23" s="144"/>
      <c r="B23" s="144"/>
      <c r="C23" s="144"/>
      <c r="D23" s="144"/>
      <c r="E23" s="144"/>
      <c r="F23" s="144"/>
      <c r="G23" s="144"/>
      <c r="H23" s="144"/>
    </row>
    <row r="24" spans="1:8" ht="18" thickBot="1">
      <c r="A24" s="138" t="s">
        <v>161</v>
      </c>
    </row>
    <row r="25" spans="1:8" ht="17.25" thickBot="1">
      <c r="A25" s="145" t="s">
        <v>162</v>
      </c>
      <c r="B25" s="146" t="s">
        <v>78</v>
      </c>
      <c r="C25" s="307" t="s">
        <v>79</v>
      </c>
      <c r="D25" s="308"/>
      <c r="E25" s="309"/>
    </row>
    <row r="26" spans="1:8" ht="33.75" thickBot="1">
      <c r="A26" s="147" t="s">
        <v>80</v>
      </c>
      <c r="B26" s="148" t="s">
        <v>81</v>
      </c>
      <c r="C26" s="148" t="s">
        <v>173</v>
      </c>
      <c r="D26" s="148" t="s">
        <v>82</v>
      </c>
      <c r="E26" s="148" t="s">
        <v>83</v>
      </c>
    </row>
    <row r="27" spans="1:8" ht="33.75" thickBot="1">
      <c r="A27" s="147" t="s">
        <v>10</v>
      </c>
      <c r="B27" s="148" t="s">
        <v>84</v>
      </c>
      <c r="C27" s="148" t="s">
        <v>173</v>
      </c>
      <c r="D27" s="148" t="s">
        <v>82</v>
      </c>
      <c r="E27" s="148" t="s">
        <v>83</v>
      </c>
    </row>
    <row r="28" spans="1:8" ht="17.25" thickBot="1">
      <c r="A28" s="310" t="s">
        <v>85</v>
      </c>
      <c r="B28" s="311"/>
      <c r="C28" s="148">
        <v>5</v>
      </c>
      <c r="D28" s="148">
        <v>10</v>
      </c>
      <c r="E28" s="148">
        <v>15</v>
      </c>
    </row>
    <row r="31" spans="1:8">
      <c r="A31" t="s">
        <v>174</v>
      </c>
    </row>
    <row r="33" spans="1:1">
      <c r="A33" t="s">
        <v>175</v>
      </c>
    </row>
    <row r="35" spans="1:1">
      <c r="A35" t="s">
        <v>176</v>
      </c>
    </row>
    <row r="37" spans="1:1">
      <c r="A37" t="s">
        <v>177</v>
      </c>
    </row>
  </sheetData>
  <mergeCells count="39">
    <mergeCell ref="A11:G11"/>
    <mergeCell ref="B12:C12"/>
    <mergeCell ref="D12:E12"/>
    <mergeCell ref="F12:G12"/>
    <mergeCell ref="B13:C13"/>
    <mergeCell ref="D13:E13"/>
    <mergeCell ref="F13:G13"/>
    <mergeCell ref="B14:C14"/>
    <mergeCell ref="D14:E14"/>
    <mergeCell ref="F14:G14"/>
    <mergeCell ref="B15:C15"/>
    <mergeCell ref="D15:E15"/>
    <mergeCell ref="F15:G15"/>
    <mergeCell ref="B16:C16"/>
    <mergeCell ref="D16:E16"/>
    <mergeCell ref="F16:G16"/>
    <mergeCell ref="A17:H17"/>
    <mergeCell ref="A18:B18"/>
    <mergeCell ref="C18:D18"/>
    <mergeCell ref="E18:F18"/>
    <mergeCell ref="G18:H18"/>
    <mergeCell ref="A19:B19"/>
    <mergeCell ref="C19:D19"/>
    <mergeCell ref="E19:F19"/>
    <mergeCell ref="G19:H19"/>
    <mergeCell ref="A20:B20"/>
    <mergeCell ref="C20:D20"/>
    <mergeCell ref="E20:F20"/>
    <mergeCell ref="G20:H20"/>
    <mergeCell ref="G21:H21"/>
    <mergeCell ref="A22:B22"/>
    <mergeCell ref="C22:D22"/>
    <mergeCell ref="E22:F22"/>
    <mergeCell ref="G22:H22"/>
    <mergeCell ref="C25:E25"/>
    <mergeCell ref="A28:B28"/>
    <mergeCell ref="A21:B21"/>
    <mergeCell ref="C21:D21"/>
    <mergeCell ref="E21:F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规则</vt:lpstr>
      <vt:lpstr>投诉次数</vt:lpstr>
      <vt:lpstr>总计概况</vt:lpstr>
      <vt:lpstr>应用投诉汇总</vt:lpstr>
      <vt:lpstr>投诉省份汇总</vt:lpstr>
      <vt:lpstr>每日投诉</vt:lpstr>
      <vt:lpstr>30天投诉记录</vt:lpstr>
      <vt:lpstr>兰桂馥</vt:lpstr>
      <vt:lpstr>掌娱纵横</vt:lpstr>
      <vt:lpstr>趣游</vt:lpstr>
      <vt:lpstr>无线精灵</vt:lpstr>
      <vt:lpstr>前游</vt:lpstr>
      <vt:lpstr>凯瑞</vt:lpstr>
      <vt:lpstr>魔逗</vt:lpstr>
      <vt:lpstr>中力为</vt:lpstr>
      <vt:lpstr>鱼智</vt:lpstr>
      <vt:lpstr>深圳玉璟</vt:lpstr>
      <vt:lpstr>魔谷</vt:lpstr>
      <vt:lpstr>欧朋</vt:lpstr>
      <vt:lpstr>广州骏伯</vt:lpstr>
      <vt:lpstr>掌门网</vt:lpstr>
      <vt:lpstr>玛语</vt:lpstr>
      <vt:lpstr>意利恒</vt:lpstr>
      <vt:lpstr>朔信</vt:lpstr>
      <vt:lpstr>掌上乐游</vt:lpstr>
      <vt:lpstr>指尖互通</vt:lpstr>
      <vt:lpstr>渠道应用投诉</vt:lpstr>
      <vt:lpstr>应用投诉</vt:lpstr>
      <vt:lpstr>渠道投诉省份</vt:lpstr>
      <vt:lpstr>投诉省份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yanyanqing</dc:creator>
  <cp:lastModifiedBy>mogu-0010</cp:lastModifiedBy>
  <dcterms:created xsi:type="dcterms:W3CDTF">2014-09-16T03:21:23Z</dcterms:created>
  <dcterms:modified xsi:type="dcterms:W3CDTF">2016-10-17T03:51:21Z</dcterms:modified>
</cp:coreProperties>
</file>